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Duncan\Dropbox\DU_MSDS\"/>
    </mc:Choice>
  </mc:AlternateContent>
  <xr:revisionPtr revIDLastSave="0" documentId="10_ncr:100000_{0F3BDFE1-B26C-476C-A13B-C3D10C0D699A}" xr6:coauthVersionLast="31" xr6:coauthVersionMax="31" xr10:uidLastSave="{00000000-0000-0000-0000-000000000000}"/>
  <bookViews>
    <workbookView xWindow="0" yWindow="0" windowWidth="15348" windowHeight="4452" xr2:uid="{00000000-000D-0000-FFFF-FFFF00000000}"/>
  </bookViews>
  <sheets>
    <sheet name="Results" sheetId="5" r:id="rId1"/>
    <sheet name="Distribution" sheetId="1" r:id="rId2"/>
    <sheet name="Account Dump" sheetId="6" r:id="rId3"/>
    <sheet name="Dupe Controller" sheetId="7" r:id="rId4"/>
    <sheet name="New Account Owner IDs" sheetId="8" r:id="rId5"/>
  </sheets>
  <definedNames>
    <definedName name="_xlnm._FilterDatabase" localSheetId="2" hidden="1">'Account Dump'!$A$1:$J$201</definedName>
    <definedName name="_xlnm._FilterDatabase" localSheetId="1" hidden="1">Distribution!$A$4:$I$39</definedName>
    <definedName name="OpenSolver_ChosenSolver" localSheetId="1" hidden="1">CBC</definedName>
    <definedName name="OpenSolver_DualsNewSheet" localSheetId="1" hidden="1">0</definedName>
    <definedName name="OpenSolver_LinearityCheck" localSheetId="1" hidden="1">1</definedName>
    <definedName name="OpenSolver_UpdateSensitivity" localSheetId="1" hidden="1">1</definedName>
    <definedName name="PivotData">OFFSET(Distribution!$AG$4,0,0,COUNTA(Distribution!$AG$4:$AG$23),3)</definedName>
    <definedName name="solver_adj" localSheetId="1" hidden="1">Distribution!$F$5:$F$129</definedName>
    <definedName name="solver_adj" localSheetId="0" hidden="1">Results!$F$5:$F$128</definedName>
    <definedName name="solver_cvg" localSheetId="1" hidden="1">0.0001</definedName>
    <definedName name="solver_drv" localSheetId="1" hidden="1">1</definedName>
    <definedName name="solver_eng" localSheetId="1" hidden="1">3</definedName>
    <definedName name="solver_eng" localSheetId="0" hidden="1">1</definedName>
    <definedName name="solver_est" localSheetId="1" hidden="1">1</definedName>
    <definedName name="solver_itr" localSheetId="1" hidden="1">2147483647</definedName>
    <definedName name="solver_lhs1" localSheetId="1" hidden="1">Distribution!$F$5:$F$129</definedName>
    <definedName name="solver_lhs1" localSheetId="0" hidden="1">Results!$F$5:$F$128</definedName>
    <definedName name="solver_lhs10" localSheetId="1" hidden="1">Distribution!$F$5:$F$15</definedName>
    <definedName name="solver_lhs11" localSheetId="1" hidden="1">Distribution!$F$5:$F$15</definedName>
    <definedName name="solver_lhs12" localSheetId="1" hidden="1">Distribution!$F$5:$F$15</definedName>
    <definedName name="solver_lhs2" localSheetId="1" hidden="1">Distribution!$F$5:$F$129</definedName>
    <definedName name="solver_lhs2" localSheetId="0" hidden="1">Results!$AH$5:$AH$11</definedName>
    <definedName name="solver_lhs3" localSheetId="1" hidden="1">Distribution!$F$5:$F$129</definedName>
    <definedName name="solver_lhs3" localSheetId="0" hidden="1">Results!$AH$5:$AH$11</definedName>
    <definedName name="solver_lhs4" localSheetId="1" hidden="1">Distribution!$AH$5:$AH$8</definedName>
    <definedName name="solver_lhs4" localSheetId="0" hidden="1">Results!$T$5:$T$10</definedName>
    <definedName name="solver_lhs5" localSheetId="1" hidden="1">Distribution!$AH$5:$AH$8</definedName>
    <definedName name="solver_lhs6" localSheetId="1" hidden="1">Distribution!$AH$5:$AH$10</definedName>
    <definedName name="solver_lhs7" localSheetId="1" hidden="1">Distribution!$F$5:$F$15</definedName>
    <definedName name="solver_lhs8" localSheetId="1" hidden="1">Distribution!$F$5:$F$15</definedName>
    <definedName name="solver_lhs9" localSheetId="1" hidden="1">Distribution!$F$5:$F$15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eg" localSheetId="0" hidden="1">1</definedName>
    <definedName name="solver_nod" localSheetId="1" hidden="1">2147483647</definedName>
    <definedName name="solver_num" localSheetId="1" hidden="1">5</definedName>
    <definedName name="solver_num" localSheetId="0" hidden="1">3</definedName>
    <definedName name="solver_nwt" localSheetId="1" hidden="1">1</definedName>
    <definedName name="solver_opt" localSheetId="1" hidden="1">Distribution!$T$1</definedName>
    <definedName name="solver_opt" localSheetId="0" hidden="1">Results!$T$1</definedName>
    <definedName name="solver_pre" localSheetId="1" hidden="1">0.000001</definedName>
    <definedName name="solver_rbv" localSheetId="1" hidden="1">2</definedName>
    <definedName name="solver_rel1" localSheetId="1" hidden="1">1</definedName>
    <definedName name="solver_rel1" localSheetId="0" hidden="1">4</definedName>
    <definedName name="solver_rel10" localSheetId="1" hidden="1">1</definedName>
    <definedName name="solver_rel11" localSheetId="1" hidden="1">3</definedName>
    <definedName name="solver_rel12" localSheetId="1" hidden="1">4</definedName>
    <definedName name="solver_rel2" localSheetId="1" hidden="1">3</definedName>
    <definedName name="solver_rel2" localSheetId="0" hidden="1">3</definedName>
    <definedName name="solver_rel3" localSheetId="1" hidden="1">4</definedName>
    <definedName name="solver_rel3" localSheetId="0" hidden="1">1</definedName>
    <definedName name="solver_rel4" localSheetId="1" hidden="1">3</definedName>
    <definedName name="solver_rel4" localSheetId="0" hidden="1">3</definedName>
    <definedName name="solver_rel5" localSheetId="1" hidden="1">1</definedName>
    <definedName name="solver_rel6" localSheetId="1" hidden="1">3</definedName>
    <definedName name="solver_rel7" localSheetId="1" hidden="1">1</definedName>
    <definedName name="solver_rel8" localSheetId="1" hidden="1">3</definedName>
    <definedName name="solver_rel9" localSheetId="1" hidden="1">4</definedName>
    <definedName name="solver_rhs1" localSheetId="1" hidden="1">4</definedName>
    <definedName name="solver_rhs1" localSheetId="0" hidden="1">integer</definedName>
    <definedName name="solver_rhs10" localSheetId="1" hidden="1">6</definedName>
    <definedName name="solver_rhs11" localSheetId="1" hidden="1">1</definedName>
    <definedName name="solver_rhs12" localSheetId="1" hidden="1">integer</definedName>
    <definedName name="solver_rhs2" localSheetId="1" hidden="1">1</definedName>
    <definedName name="solver_rhs2" localSheetId="0" hidden="1">0</definedName>
    <definedName name="solver_rhs3" localSheetId="1" hidden="1">integer</definedName>
    <definedName name="solver_rhs3" localSheetId="0" hidden="1">0</definedName>
    <definedName name="solver_rhs4" localSheetId="1" hidden="1">29</definedName>
    <definedName name="solver_rhs4" localSheetId="0" hidden="1">0</definedName>
    <definedName name="solver_rhs5" localSheetId="1" hidden="1">35</definedName>
    <definedName name="solver_rhs6" localSheetId="1" hidden="1">Distribution!$M$2-2</definedName>
    <definedName name="solver_rhs7" localSheetId="1" hidden="1">6</definedName>
    <definedName name="solver_rhs8" localSheetId="1" hidden="1">1</definedName>
    <definedName name="solver_rhs9" localSheetId="1" hidden="1">integer</definedName>
    <definedName name="solver_rlx" localSheetId="1" hidden="1">2</definedName>
    <definedName name="solver_rsd" localSheetId="1" hidden="1">0</definedName>
    <definedName name="solver_scl" localSheetId="1" hidden="1">2</definedName>
    <definedName name="solver_sho" localSheetId="1" hidden="1">2</definedName>
    <definedName name="solver_ssz" localSheetId="1" hidden="1">0</definedName>
    <definedName name="solver_tim" localSheetId="1" hidden="1">2147483647</definedName>
    <definedName name="solver_tol" localSheetId="1" hidden="1">0</definedName>
    <definedName name="solver_typ" localSheetId="1" hidden="1">2</definedName>
    <definedName name="solver_typ" localSheetId="0" hidden="1">2</definedName>
    <definedName name="solver_val" localSheetId="1" hidden="1">0</definedName>
    <definedName name="solver_val" localSheetId="0" hidden="1">0</definedName>
    <definedName name="solver_ver" localSheetId="1" hidden="1">3</definedName>
    <definedName name="solver_ver" localSheetId="0" hidden="1">3</definedName>
  </definedNames>
  <calcPr calcId="179017"/>
  <pivotCaches>
    <pivotCache cacheId="4" r:id="rId6"/>
  </pivotCaches>
</workbook>
</file>

<file path=xl/calcChain.xml><?xml version="1.0" encoding="utf-8"?>
<calcChain xmlns="http://schemas.openxmlformats.org/spreadsheetml/2006/main">
  <c r="I2" i="6" l="1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132" i="6" l="1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A145" i="7" s="1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A185" i="7" s="1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A163" i="7" l="1"/>
  <c r="B163" i="7"/>
  <c r="C163" i="7"/>
  <c r="D163" i="7"/>
  <c r="A155" i="7"/>
  <c r="B155" i="7"/>
  <c r="C155" i="7"/>
  <c r="D155" i="7"/>
  <c r="A147" i="7"/>
  <c r="B147" i="7"/>
  <c r="C147" i="7"/>
  <c r="D147" i="7"/>
  <c r="A139" i="7"/>
  <c r="B139" i="7"/>
  <c r="C139" i="7"/>
  <c r="D139" i="7"/>
  <c r="A178" i="7"/>
  <c r="B178" i="7"/>
  <c r="C178" i="7"/>
  <c r="D178" i="7"/>
  <c r="A154" i="7"/>
  <c r="B154" i="7"/>
  <c r="C154" i="7"/>
  <c r="D154" i="7"/>
  <c r="A146" i="7"/>
  <c r="B146" i="7"/>
  <c r="C146" i="7"/>
  <c r="D146" i="7"/>
  <c r="A138" i="7"/>
  <c r="B138" i="7"/>
  <c r="C138" i="7"/>
  <c r="D138" i="7"/>
  <c r="A187" i="7"/>
  <c r="B187" i="7"/>
  <c r="C187" i="7"/>
  <c r="D187" i="7"/>
  <c r="A161" i="7"/>
  <c r="B161" i="7"/>
  <c r="C161" i="7"/>
  <c r="D161" i="7"/>
  <c r="B145" i="7"/>
  <c r="C145" i="7"/>
  <c r="D145" i="7"/>
  <c r="A137" i="7"/>
  <c r="B137" i="7"/>
  <c r="C137" i="7"/>
  <c r="D137" i="7"/>
  <c r="A179" i="7"/>
  <c r="B179" i="7"/>
  <c r="C179" i="7"/>
  <c r="D179" i="7"/>
  <c r="A186" i="7"/>
  <c r="B186" i="7"/>
  <c r="C186" i="7"/>
  <c r="D186" i="7"/>
  <c r="A177" i="7"/>
  <c r="B177" i="7"/>
  <c r="C177" i="7"/>
  <c r="D177" i="7"/>
  <c r="A176" i="7"/>
  <c r="B176" i="7"/>
  <c r="C176" i="7"/>
  <c r="D176" i="7"/>
  <c r="A152" i="7"/>
  <c r="B152" i="7"/>
  <c r="C152" i="7"/>
  <c r="D152" i="7"/>
  <c r="A144" i="7"/>
  <c r="B144" i="7"/>
  <c r="C144" i="7"/>
  <c r="D144" i="7"/>
  <c r="A136" i="7"/>
  <c r="B136" i="7"/>
  <c r="C136" i="7"/>
  <c r="D136" i="7"/>
  <c r="A162" i="7"/>
  <c r="B162" i="7"/>
  <c r="C162" i="7"/>
  <c r="D162" i="7"/>
  <c r="B185" i="7"/>
  <c r="C185" i="7"/>
  <c r="D185" i="7"/>
  <c r="A200" i="7"/>
  <c r="B200" i="7"/>
  <c r="C200" i="7"/>
  <c r="D200" i="7"/>
  <c r="A184" i="7"/>
  <c r="B184" i="7"/>
  <c r="C184" i="7"/>
  <c r="D184" i="7"/>
  <c r="A199" i="7"/>
  <c r="B199" i="7"/>
  <c r="C199" i="7"/>
  <c r="D199" i="7"/>
  <c r="A191" i="7"/>
  <c r="C191" i="7"/>
  <c r="D191" i="7"/>
  <c r="B191" i="7"/>
  <c r="A183" i="7"/>
  <c r="C183" i="7"/>
  <c r="D183" i="7"/>
  <c r="B183" i="7"/>
  <c r="A175" i="7"/>
  <c r="C175" i="7"/>
  <c r="B175" i="7"/>
  <c r="D175" i="7"/>
  <c r="A167" i="7"/>
  <c r="C167" i="7"/>
  <c r="D167" i="7"/>
  <c r="B167" i="7"/>
  <c r="A159" i="7"/>
  <c r="C159" i="7"/>
  <c r="D159" i="7"/>
  <c r="B159" i="7"/>
  <c r="A151" i="7"/>
  <c r="C151" i="7"/>
  <c r="D151" i="7"/>
  <c r="B151" i="7"/>
  <c r="A143" i="7"/>
  <c r="C143" i="7"/>
  <c r="D143" i="7"/>
  <c r="B143" i="7"/>
  <c r="A135" i="7"/>
  <c r="C135" i="7"/>
  <c r="D135" i="7"/>
  <c r="B135" i="7"/>
  <c r="A171" i="7"/>
  <c r="B171" i="7"/>
  <c r="C171" i="7"/>
  <c r="D171" i="7"/>
  <c r="B201" i="7"/>
  <c r="C201" i="7"/>
  <c r="D201" i="7"/>
  <c r="A153" i="7"/>
  <c r="B153" i="7"/>
  <c r="C153" i="7"/>
  <c r="D153" i="7"/>
  <c r="A192" i="7"/>
  <c r="B192" i="7"/>
  <c r="C192" i="7"/>
  <c r="D192" i="7"/>
  <c r="A198" i="7"/>
  <c r="C198" i="7"/>
  <c r="D198" i="7"/>
  <c r="B198" i="7"/>
  <c r="A182" i="7"/>
  <c r="C182" i="7"/>
  <c r="D182" i="7"/>
  <c r="B182" i="7"/>
  <c r="A174" i="7"/>
  <c r="C174" i="7"/>
  <c r="D174" i="7"/>
  <c r="B174" i="7"/>
  <c r="A166" i="7"/>
  <c r="C166" i="7"/>
  <c r="D166" i="7"/>
  <c r="B166" i="7"/>
  <c r="A158" i="7"/>
  <c r="C158" i="7"/>
  <c r="D158" i="7"/>
  <c r="B158" i="7"/>
  <c r="A150" i="7"/>
  <c r="C150" i="7"/>
  <c r="D150" i="7"/>
  <c r="B150" i="7"/>
  <c r="A142" i="7"/>
  <c r="C142" i="7"/>
  <c r="D142" i="7"/>
  <c r="B142" i="7"/>
  <c r="A134" i="7"/>
  <c r="C134" i="7"/>
  <c r="D134" i="7"/>
  <c r="B134" i="7"/>
  <c r="A170" i="7"/>
  <c r="B170" i="7"/>
  <c r="C170" i="7"/>
  <c r="D170" i="7"/>
  <c r="A193" i="7"/>
  <c r="B193" i="7"/>
  <c r="C193" i="7"/>
  <c r="D193" i="7"/>
  <c r="A168" i="7"/>
  <c r="B168" i="7"/>
  <c r="C168" i="7"/>
  <c r="D168" i="7"/>
  <c r="A190" i="7"/>
  <c r="C190" i="7"/>
  <c r="D190" i="7"/>
  <c r="B190" i="7"/>
  <c r="A197" i="7"/>
  <c r="D197" i="7"/>
  <c r="B197" i="7"/>
  <c r="C197" i="7"/>
  <c r="A189" i="7"/>
  <c r="D189" i="7"/>
  <c r="B189" i="7"/>
  <c r="C189" i="7"/>
  <c r="A181" i="7"/>
  <c r="D181" i="7"/>
  <c r="B181" i="7"/>
  <c r="C181" i="7"/>
  <c r="A173" i="7"/>
  <c r="D173" i="7"/>
  <c r="B173" i="7"/>
  <c r="C173" i="7"/>
  <c r="A165" i="7"/>
  <c r="D165" i="7"/>
  <c r="B165" i="7"/>
  <c r="C165" i="7"/>
  <c r="A157" i="7"/>
  <c r="D157" i="7"/>
  <c r="B157" i="7"/>
  <c r="C157" i="7"/>
  <c r="A149" i="7"/>
  <c r="D149" i="7"/>
  <c r="B149" i="7"/>
  <c r="C149" i="7"/>
  <c r="A141" i="7"/>
  <c r="D141" i="7"/>
  <c r="B141" i="7"/>
  <c r="C141" i="7"/>
  <c r="A133" i="7"/>
  <c r="D133" i="7"/>
  <c r="B133" i="7"/>
  <c r="C133" i="7"/>
  <c r="A195" i="7"/>
  <c r="B195" i="7"/>
  <c r="C195" i="7"/>
  <c r="D195" i="7"/>
  <c r="A194" i="7"/>
  <c r="B194" i="7"/>
  <c r="C194" i="7"/>
  <c r="D194" i="7"/>
  <c r="A169" i="7"/>
  <c r="B169" i="7"/>
  <c r="C169" i="7"/>
  <c r="D169" i="7"/>
  <c r="A160" i="7"/>
  <c r="B160" i="7"/>
  <c r="C160" i="7"/>
  <c r="D160" i="7"/>
  <c r="A201" i="7"/>
  <c r="A196" i="7"/>
  <c r="D196" i="7"/>
  <c r="B196" i="7"/>
  <c r="C196" i="7"/>
  <c r="A188" i="7"/>
  <c r="D188" i="7"/>
  <c r="B188" i="7"/>
  <c r="C188" i="7"/>
  <c r="A180" i="7"/>
  <c r="D180" i="7"/>
  <c r="B180" i="7"/>
  <c r="C180" i="7"/>
  <c r="A172" i="7"/>
  <c r="D172" i="7"/>
  <c r="B172" i="7"/>
  <c r="C172" i="7"/>
  <c r="A164" i="7"/>
  <c r="D164" i="7"/>
  <c r="B164" i="7"/>
  <c r="C164" i="7"/>
  <c r="A156" i="7"/>
  <c r="D156" i="7"/>
  <c r="B156" i="7"/>
  <c r="C156" i="7"/>
  <c r="A148" i="7"/>
  <c r="D148" i="7"/>
  <c r="B148" i="7"/>
  <c r="C148" i="7"/>
  <c r="A140" i="7"/>
  <c r="D140" i="7"/>
  <c r="B140" i="7"/>
  <c r="C140" i="7"/>
  <c r="A132" i="7"/>
  <c r="D132" i="7"/>
  <c r="B132" i="7"/>
  <c r="C132" i="7"/>
  <c r="F3" i="7"/>
  <c r="F4" i="7"/>
  <c r="F5" i="7"/>
  <c r="F6" i="7"/>
  <c r="F7" i="7"/>
  <c r="F8" i="7"/>
  <c r="F9" i="7"/>
  <c r="F10" i="7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F2" i="7"/>
  <c r="G84" i="1" l="1"/>
  <c r="G83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5" i="1"/>
  <c r="A12" i="7" l="1"/>
  <c r="B13" i="7"/>
  <c r="B14" i="7"/>
  <c r="A17" i="7"/>
  <c r="A20" i="7"/>
  <c r="B21" i="7"/>
  <c r="D22" i="7"/>
  <c r="A25" i="7"/>
  <c r="A28" i="7"/>
  <c r="F29" i="7"/>
  <c r="B30" i="7"/>
  <c r="A33" i="7"/>
  <c r="B37" i="7"/>
  <c r="B38" i="7"/>
  <c r="A41" i="7"/>
  <c r="F45" i="7"/>
  <c r="C49" i="7"/>
  <c r="C53" i="7"/>
  <c r="D55" i="7"/>
  <c r="C57" i="7"/>
  <c r="F61" i="7"/>
  <c r="C65" i="7"/>
  <c r="D67" i="7"/>
  <c r="C69" i="7"/>
  <c r="F70" i="7"/>
  <c r="C73" i="7"/>
  <c r="D75" i="7"/>
  <c r="C77" i="7"/>
  <c r="C81" i="7"/>
  <c r="C85" i="7"/>
  <c r="C89" i="7"/>
  <c r="F90" i="7"/>
  <c r="D91" i="7"/>
  <c r="F93" i="7"/>
  <c r="C97" i="7"/>
  <c r="C101" i="7"/>
  <c r="D103" i="7"/>
  <c r="C105" i="7"/>
  <c r="C109" i="7"/>
  <c r="F110" i="7"/>
  <c r="C113" i="7"/>
  <c r="F114" i="7"/>
  <c r="C117" i="7"/>
  <c r="C121" i="7"/>
  <c r="F125" i="7"/>
  <c r="D127" i="7"/>
  <c r="C129" i="7"/>
  <c r="F134" i="7"/>
  <c r="F154" i="7"/>
  <c r="F158" i="7"/>
  <c r="F161" i="7"/>
  <c r="F162" i="7"/>
  <c r="F165" i="7"/>
  <c r="F169" i="7"/>
  <c r="F170" i="7"/>
  <c r="F173" i="7"/>
  <c r="F177" i="7"/>
  <c r="F181" i="7"/>
  <c r="F182" i="7"/>
  <c r="F185" i="7"/>
  <c r="F186" i="7"/>
  <c r="F190" i="7"/>
  <c r="F193" i="7"/>
  <c r="F197" i="7"/>
  <c r="F198" i="7"/>
  <c r="B33" i="7" l="1"/>
  <c r="D65" i="7"/>
  <c r="D129" i="7"/>
  <c r="I201" i="7"/>
  <c r="D105" i="7"/>
  <c r="B41" i="7"/>
  <c r="F174" i="7"/>
  <c r="F133" i="7"/>
  <c r="D97" i="7"/>
  <c r="F157" i="7"/>
  <c r="F178" i="7"/>
  <c r="D73" i="7"/>
  <c r="F194" i="7"/>
  <c r="D121" i="7"/>
  <c r="D89" i="7"/>
  <c r="D57" i="7"/>
  <c r="D113" i="7"/>
  <c r="D81" i="7"/>
  <c r="D49" i="7"/>
  <c r="B22" i="7"/>
  <c r="D14" i="7"/>
  <c r="F38" i="7"/>
  <c r="B25" i="7"/>
  <c r="F13" i="7"/>
  <c r="D125" i="7"/>
  <c r="D117" i="7"/>
  <c r="D109" i="7"/>
  <c r="D101" i="7"/>
  <c r="D93" i="7"/>
  <c r="D85" i="7"/>
  <c r="D77" i="7"/>
  <c r="D69" i="7"/>
  <c r="D61" i="7"/>
  <c r="D53" i="7"/>
  <c r="D45" i="7"/>
  <c r="D38" i="7"/>
  <c r="D30" i="7"/>
  <c r="B17" i="7"/>
  <c r="F69" i="7"/>
  <c r="C125" i="7"/>
  <c r="C93" i="7"/>
  <c r="C61" i="7"/>
  <c r="C45" i="7"/>
  <c r="F187" i="7"/>
  <c r="F179" i="7"/>
  <c r="F171" i="7"/>
  <c r="F159" i="7"/>
  <c r="F151" i="7"/>
  <c r="F139" i="7"/>
  <c r="F131" i="7"/>
  <c r="A131" i="7"/>
  <c r="B131" i="7"/>
  <c r="F123" i="7"/>
  <c r="A123" i="7"/>
  <c r="B123" i="7"/>
  <c r="C123" i="7"/>
  <c r="F115" i="7"/>
  <c r="A115" i="7"/>
  <c r="B115" i="7"/>
  <c r="C115" i="7"/>
  <c r="F107" i="7"/>
  <c r="A107" i="7"/>
  <c r="B107" i="7"/>
  <c r="C107" i="7"/>
  <c r="F99" i="7"/>
  <c r="A99" i="7"/>
  <c r="B99" i="7"/>
  <c r="C99" i="7"/>
  <c r="F87" i="7"/>
  <c r="A87" i="7"/>
  <c r="B87" i="7"/>
  <c r="C87" i="7"/>
  <c r="F79" i="7"/>
  <c r="A79" i="7"/>
  <c r="B79" i="7"/>
  <c r="C79" i="7"/>
  <c r="F71" i="7"/>
  <c r="A71" i="7"/>
  <c r="B71" i="7"/>
  <c r="C71" i="7"/>
  <c r="F59" i="7"/>
  <c r="A59" i="7"/>
  <c r="B59" i="7"/>
  <c r="C59" i="7"/>
  <c r="F51" i="7"/>
  <c r="A51" i="7"/>
  <c r="B51" i="7"/>
  <c r="C51" i="7"/>
  <c r="F43" i="7"/>
  <c r="A43" i="7"/>
  <c r="B43" i="7"/>
  <c r="C43" i="7"/>
  <c r="F35" i="7"/>
  <c r="C35" i="7"/>
  <c r="A35" i="7"/>
  <c r="B35" i="7"/>
  <c r="D35" i="7"/>
  <c r="F23" i="7"/>
  <c r="C23" i="7"/>
  <c r="A23" i="7"/>
  <c r="B23" i="7"/>
  <c r="D23" i="7"/>
  <c r="F15" i="7"/>
  <c r="C15" i="7"/>
  <c r="A15" i="7"/>
  <c r="B15" i="7"/>
  <c r="D15" i="7"/>
  <c r="D99" i="7"/>
  <c r="D51" i="7"/>
  <c r="D87" i="7"/>
  <c r="D131" i="7"/>
  <c r="D123" i="7"/>
  <c r="D107" i="7"/>
  <c r="D59" i="7"/>
  <c r="D43" i="7"/>
  <c r="F195" i="7"/>
  <c r="F199" i="7"/>
  <c r="F191" i="7"/>
  <c r="F183" i="7"/>
  <c r="F175" i="7"/>
  <c r="F167" i="7"/>
  <c r="F163" i="7"/>
  <c r="F155" i="7"/>
  <c r="F147" i="7"/>
  <c r="F143" i="7"/>
  <c r="F135" i="7"/>
  <c r="F127" i="7"/>
  <c r="A127" i="7"/>
  <c r="B127" i="7"/>
  <c r="F119" i="7"/>
  <c r="A119" i="7"/>
  <c r="B119" i="7"/>
  <c r="C119" i="7"/>
  <c r="F111" i="7"/>
  <c r="A111" i="7"/>
  <c r="B111" i="7"/>
  <c r="C111" i="7"/>
  <c r="F103" i="7"/>
  <c r="A103" i="7"/>
  <c r="B103" i="7"/>
  <c r="C103" i="7"/>
  <c r="F95" i="7"/>
  <c r="A95" i="7"/>
  <c r="B95" i="7"/>
  <c r="C95" i="7"/>
  <c r="F91" i="7"/>
  <c r="A91" i="7"/>
  <c r="B91" i="7"/>
  <c r="C91" i="7"/>
  <c r="F83" i="7"/>
  <c r="A83" i="7"/>
  <c r="B83" i="7"/>
  <c r="C83" i="7"/>
  <c r="F75" i="7"/>
  <c r="A75" i="7"/>
  <c r="B75" i="7"/>
  <c r="C75" i="7"/>
  <c r="F67" i="7"/>
  <c r="A67" i="7"/>
  <c r="B67" i="7"/>
  <c r="C67" i="7"/>
  <c r="F63" i="7"/>
  <c r="A63" i="7"/>
  <c r="B63" i="7"/>
  <c r="C63" i="7"/>
  <c r="F55" i="7"/>
  <c r="A55" i="7"/>
  <c r="B55" i="7"/>
  <c r="C55" i="7"/>
  <c r="F47" i="7"/>
  <c r="A47" i="7"/>
  <c r="B47" i="7"/>
  <c r="C47" i="7"/>
  <c r="F39" i="7"/>
  <c r="C39" i="7"/>
  <c r="A39" i="7"/>
  <c r="B39" i="7"/>
  <c r="D39" i="7"/>
  <c r="F31" i="7"/>
  <c r="C31" i="7"/>
  <c r="A31" i="7"/>
  <c r="B31" i="7"/>
  <c r="D31" i="7"/>
  <c r="F27" i="7"/>
  <c r="C27" i="7"/>
  <c r="A27" i="7"/>
  <c r="B27" i="7"/>
  <c r="D27" i="7"/>
  <c r="F19" i="7"/>
  <c r="C19" i="7"/>
  <c r="A19" i="7"/>
  <c r="B19" i="7"/>
  <c r="D19" i="7"/>
  <c r="F11" i="7"/>
  <c r="C11" i="7"/>
  <c r="A11" i="7"/>
  <c r="B11" i="7"/>
  <c r="D11" i="7"/>
  <c r="D115" i="7"/>
  <c r="D83" i="7"/>
  <c r="D119" i="7"/>
  <c r="D71" i="7"/>
  <c r="F200" i="7"/>
  <c r="F196" i="7"/>
  <c r="F192" i="7"/>
  <c r="F188" i="7"/>
  <c r="F184" i="7"/>
  <c r="F180" i="7"/>
  <c r="F176" i="7"/>
  <c r="F172" i="7"/>
  <c r="F168" i="7"/>
  <c r="F164" i="7"/>
  <c r="F160" i="7"/>
  <c r="F156" i="7"/>
  <c r="F152" i="7"/>
  <c r="F148" i="7"/>
  <c r="F144" i="7"/>
  <c r="F140" i="7"/>
  <c r="F136" i="7"/>
  <c r="F132" i="7"/>
  <c r="F128" i="7"/>
  <c r="A128" i="7"/>
  <c r="B128" i="7"/>
  <c r="C128" i="7"/>
  <c r="D128" i="7"/>
  <c r="F124" i="7"/>
  <c r="A124" i="7"/>
  <c r="B124" i="7"/>
  <c r="C124" i="7"/>
  <c r="D124" i="7"/>
  <c r="F120" i="7"/>
  <c r="A120" i="7"/>
  <c r="B120" i="7"/>
  <c r="C120" i="7"/>
  <c r="D120" i="7"/>
  <c r="F116" i="7"/>
  <c r="A116" i="7"/>
  <c r="B116" i="7"/>
  <c r="C116" i="7"/>
  <c r="D116" i="7"/>
  <c r="F112" i="7"/>
  <c r="A112" i="7"/>
  <c r="B112" i="7"/>
  <c r="C112" i="7"/>
  <c r="D112" i="7"/>
  <c r="F108" i="7"/>
  <c r="A108" i="7"/>
  <c r="B108" i="7"/>
  <c r="C108" i="7"/>
  <c r="D108" i="7"/>
  <c r="F104" i="7"/>
  <c r="A104" i="7"/>
  <c r="B104" i="7"/>
  <c r="C104" i="7"/>
  <c r="D104" i="7"/>
  <c r="F100" i="7"/>
  <c r="A100" i="7"/>
  <c r="B100" i="7"/>
  <c r="C100" i="7"/>
  <c r="D100" i="7"/>
  <c r="F96" i="7"/>
  <c r="A96" i="7"/>
  <c r="B96" i="7"/>
  <c r="C96" i="7"/>
  <c r="D96" i="7"/>
  <c r="F92" i="7"/>
  <c r="A92" i="7"/>
  <c r="B92" i="7"/>
  <c r="C92" i="7"/>
  <c r="D92" i="7"/>
  <c r="F88" i="7"/>
  <c r="A88" i="7"/>
  <c r="B88" i="7"/>
  <c r="C88" i="7"/>
  <c r="D88" i="7"/>
  <c r="F84" i="7"/>
  <c r="A84" i="7"/>
  <c r="B84" i="7"/>
  <c r="C84" i="7"/>
  <c r="D84" i="7"/>
  <c r="F80" i="7"/>
  <c r="A80" i="7"/>
  <c r="B80" i="7"/>
  <c r="C80" i="7"/>
  <c r="D80" i="7"/>
  <c r="F76" i="7"/>
  <c r="A76" i="7"/>
  <c r="B76" i="7"/>
  <c r="C76" i="7"/>
  <c r="D76" i="7"/>
  <c r="F72" i="7"/>
  <c r="A72" i="7"/>
  <c r="B72" i="7"/>
  <c r="C72" i="7"/>
  <c r="D72" i="7"/>
  <c r="F68" i="7"/>
  <c r="A68" i="7"/>
  <c r="B68" i="7"/>
  <c r="C68" i="7"/>
  <c r="D68" i="7"/>
  <c r="F64" i="7"/>
  <c r="A64" i="7"/>
  <c r="B64" i="7"/>
  <c r="C64" i="7"/>
  <c r="D64" i="7"/>
  <c r="F60" i="7"/>
  <c r="A60" i="7"/>
  <c r="B60" i="7"/>
  <c r="C60" i="7"/>
  <c r="D60" i="7"/>
  <c r="F56" i="7"/>
  <c r="A56" i="7"/>
  <c r="B56" i="7"/>
  <c r="C56" i="7"/>
  <c r="D56" i="7"/>
  <c r="F52" i="7"/>
  <c r="A52" i="7"/>
  <c r="B52" i="7"/>
  <c r="C52" i="7"/>
  <c r="D52" i="7"/>
  <c r="F48" i="7"/>
  <c r="A48" i="7"/>
  <c r="B48" i="7"/>
  <c r="C48" i="7"/>
  <c r="D48" i="7"/>
  <c r="F44" i="7"/>
  <c r="A44" i="7"/>
  <c r="B44" i="7"/>
  <c r="C44" i="7"/>
  <c r="D44" i="7"/>
  <c r="F40" i="7"/>
  <c r="C40" i="7"/>
  <c r="B40" i="7"/>
  <c r="D40" i="7"/>
  <c r="A40" i="7"/>
  <c r="F36" i="7"/>
  <c r="C36" i="7"/>
  <c r="B36" i="7"/>
  <c r="D36" i="7"/>
  <c r="F32" i="7"/>
  <c r="C32" i="7"/>
  <c r="B32" i="7"/>
  <c r="D32" i="7"/>
  <c r="A32" i="7"/>
  <c r="F28" i="7"/>
  <c r="C28" i="7"/>
  <c r="B28" i="7"/>
  <c r="D28" i="7"/>
  <c r="F24" i="7"/>
  <c r="C24" i="7"/>
  <c r="B24" i="7"/>
  <c r="D24" i="7"/>
  <c r="A24" i="7"/>
  <c r="F20" i="7"/>
  <c r="C20" i="7"/>
  <c r="B20" i="7"/>
  <c r="D20" i="7"/>
  <c r="F16" i="7"/>
  <c r="C16" i="7"/>
  <c r="B16" i="7"/>
  <c r="D16" i="7"/>
  <c r="A16" i="7"/>
  <c r="F12" i="7"/>
  <c r="C12" i="7"/>
  <c r="B12" i="7"/>
  <c r="D12" i="7"/>
  <c r="C131" i="7"/>
  <c r="C127" i="7"/>
  <c r="D111" i="7"/>
  <c r="D95" i="7"/>
  <c r="D79" i="7"/>
  <c r="D63" i="7"/>
  <c r="D47" i="7"/>
  <c r="A36" i="7"/>
  <c r="F150" i="7"/>
  <c r="F138" i="7"/>
  <c r="A130" i="7"/>
  <c r="F130" i="7"/>
  <c r="B130" i="7"/>
  <c r="F126" i="7"/>
  <c r="A126" i="7"/>
  <c r="B126" i="7"/>
  <c r="A122" i="7"/>
  <c r="B122" i="7"/>
  <c r="A118" i="7"/>
  <c r="F118" i="7"/>
  <c r="B118" i="7"/>
  <c r="A114" i="7"/>
  <c r="B114" i="7"/>
  <c r="A110" i="7"/>
  <c r="B110" i="7"/>
  <c r="F106" i="7"/>
  <c r="A106" i="7"/>
  <c r="B106" i="7"/>
  <c r="A102" i="7"/>
  <c r="B102" i="7"/>
  <c r="A98" i="7"/>
  <c r="F98" i="7"/>
  <c r="B98" i="7"/>
  <c r="F94" i="7"/>
  <c r="A94" i="7"/>
  <c r="B94" i="7"/>
  <c r="A90" i="7"/>
  <c r="B90" i="7"/>
  <c r="A86" i="7"/>
  <c r="F86" i="7"/>
  <c r="B86" i="7"/>
  <c r="A82" i="7"/>
  <c r="B82" i="7"/>
  <c r="A78" i="7"/>
  <c r="B78" i="7"/>
  <c r="F74" i="7"/>
  <c r="A74" i="7"/>
  <c r="B74" i="7"/>
  <c r="A70" i="7"/>
  <c r="B70" i="7"/>
  <c r="A66" i="7"/>
  <c r="F66" i="7"/>
  <c r="B66" i="7"/>
  <c r="F62" i="7"/>
  <c r="A62" i="7"/>
  <c r="B62" i="7"/>
  <c r="F58" i="7"/>
  <c r="A58" i="7"/>
  <c r="B58" i="7"/>
  <c r="A54" i="7"/>
  <c r="B54" i="7"/>
  <c r="F50" i="7"/>
  <c r="A50" i="7"/>
  <c r="B50" i="7"/>
  <c r="F46" i="7"/>
  <c r="A46" i="7"/>
  <c r="B46" i="7"/>
  <c r="C42" i="7"/>
  <c r="F42" i="7"/>
  <c r="A42" i="7"/>
  <c r="C38" i="7"/>
  <c r="A38" i="7"/>
  <c r="C34" i="7"/>
  <c r="F34" i="7"/>
  <c r="A34" i="7"/>
  <c r="C30" i="7"/>
  <c r="F30" i="7"/>
  <c r="A30" i="7"/>
  <c r="C26" i="7"/>
  <c r="F26" i="7"/>
  <c r="A26" i="7"/>
  <c r="C22" i="7"/>
  <c r="A22" i="7"/>
  <c r="C18" i="7"/>
  <c r="F18" i="7"/>
  <c r="A18" i="7"/>
  <c r="C14" i="7"/>
  <c r="F14" i="7"/>
  <c r="A14" i="7"/>
  <c r="C10" i="7"/>
  <c r="A10" i="7"/>
  <c r="D130" i="7"/>
  <c r="D126" i="7"/>
  <c r="D122" i="7"/>
  <c r="D118" i="7"/>
  <c r="D114" i="7"/>
  <c r="D110" i="7"/>
  <c r="D106" i="7"/>
  <c r="D102" i="7"/>
  <c r="D98" i="7"/>
  <c r="D94" i="7"/>
  <c r="D90" i="7"/>
  <c r="D86" i="7"/>
  <c r="D82" i="7"/>
  <c r="D78" i="7"/>
  <c r="D74" i="7"/>
  <c r="D70" i="7"/>
  <c r="D66" i="7"/>
  <c r="D62" i="7"/>
  <c r="D58" i="7"/>
  <c r="D54" i="7"/>
  <c r="D50" i="7"/>
  <c r="D46" i="7"/>
  <c r="D42" i="7"/>
  <c r="D34" i="7"/>
  <c r="B29" i="7"/>
  <c r="D26" i="7"/>
  <c r="D18" i="7"/>
  <c r="D10" i="7"/>
  <c r="F201" i="7"/>
  <c r="F189" i="7"/>
  <c r="F166" i="7"/>
  <c r="F146" i="7"/>
  <c r="F102" i="7"/>
  <c r="F82" i="7"/>
  <c r="F153" i="7"/>
  <c r="F149" i="7"/>
  <c r="F145" i="7"/>
  <c r="F141" i="7"/>
  <c r="F137" i="7"/>
  <c r="F129" i="7"/>
  <c r="A129" i="7"/>
  <c r="B129" i="7"/>
  <c r="A125" i="7"/>
  <c r="B125" i="7"/>
  <c r="F121" i="7"/>
  <c r="A121" i="7"/>
  <c r="B121" i="7"/>
  <c r="F117" i="7"/>
  <c r="A117" i="7"/>
  <c r="B117" i="7"/>
  <c r="F113" i="7"/>
  <c r="A113" i="7"/>
  <c r="B113" i="7"/>
  <c r="A109" i="7"/>
  <c r="F109" i="7"/>
  <c r="B109" i="7"/>
  <c r="F105" i="7"/>
  <c r="A105" i="7"/>
  <c r="B105" i="7"/>
  <c r="A101" i="7"/>
  <c r="B101" i="7"/>
  <c r="F97" i="7"/>
  <c r="A97" i="7"/>
  <c r="B97" i="7"/>
  <c r="A93" i="7"/>
  <c r="B93" i="7"/>
  <c r="F89" i="7"/>
  <c r="A89" i="7"/>
  <c r="B89" i="7"/>
  <c r="F85" i="7"/>
  <c r="A85" i="7"/>
  <c r="B85" i="7"/>
  <c r="F81" i="7"/>
  <c r="A81" i="7"/>
  <c r="B81" i="7"/>
  <c r="A77" i="7"/>
  <c r="F77" i="7"/>
  <c r="B77" i="7"/>
  <c r="F73" i="7"/>
  <c r="A73" i="7"/>
  <c r="B73" i="7"/>
  <c r="A69" i="7"/>
  <c r="B69" i="7"/>
  <c r="F65" i="7"/>
  <c r="A65" i="7"/>
  <c r="B65" i="7"/>
  <c r="A61" i="7"/>
  <c r="B61" i="7"/>
  <c r="F57" i="7"/>
  <c r="A57" i="7"/>
  <c r="B57" i="7"/>
  <c r="A53" i="7"/>
  <c r="F53" i="7"/>
  <c r="B53" i="7"/>
  <c r="F49" i="7"/>
  <c r="A49" i="7"/>
  <c r="B49" i="7"/>
  <c r="A45" i="7"/>
  <c r="B45" i="7"/>
  <c r="F41" i="7"/>
  <c r="C41" i="7"/>
  <c r="D41" i="7"/>
  <c r="C37" i="7"/>
  <c r="D37" i="7"/>
  <c r="F37" i="7"/>
  <c r="F33" i="7"/>
  <c r="C33" i="7"/>
  <c r="D33" i="7"/>
  <c r="C29" i="7"/>
  <c r="D29" i="7"/>
  <c r="F25" i="7"/>
  <c r="C25" i="7"/>
  <c r="D25" i="7"/>
  <c r="C21" i="7"/>
  <c r="D21" i="7"/>
  <c r="F21" i="7"/>
  <c r="F17" i="7"/>
  <c r="C17" i="7"/>
  <c r="D17" i="7"/>
  <c r="C13" i="7"/>
  <c r="D13" i="7"/>
  <c r="H201" i="7"/>
  <c r="C130" i="7"/>
  <c r="C126" i="7"/>
  <c r="C122" i="7"/>
  <c r="C118" i="7"/>
  <c r="C114" i="7"/>
  <c r="C110" i="7"/>
  <c r="C106" i="7"/>
  <c r="C102" i="7"/>
  <c r="C98" i="7"/>
  <c r="C94" i="7"/>
  <c r="C90" i="7"/>
  <c r="C86" i="7"/>
  <c r="C82" i="7"/>
  <c r="C78" i="7"/>
  <c r="C74" i="7"/>
  <c r="C70" i="7"/>
  <c r="C66" i="7"/>
  <c r="C62" i="7"/>
  <c r="C58" i="7"/>
  <c r="C54" i="7"/>
  <c r="C50" i="7"/>
  <c r="C46" i="7"/>
  <c r="B42" i="7"/>
  <c r="A37" i="7"/>
  <c r="B34" i="7"/>
  <c r="A29" i="7"/>
  <c r="B26" i="7"/>
  <c r="A21" i="7"/>
  <c r="B18" i="7"/>
  <c r="A13" i="7"/>
  <c r="B10" i="7"/>
  <c r="F142" i="7"/>
  <c r="F122" i="7"/>
  <c r="F101" i="7"/>
  <c r="F78" i="7"/>
  <c r="F54" i="7"/>
  <c r="F22" i="7"/>
  <c r="I9" i="7"/>
  <c r="M4" i="1"/>
  <c r="N4" i="1"/>
  <c r="O4" i="1"/>
  <c r="P4" i="1"/>
  <c r="Q4" i="1"/>
  <c r="R4" i="1"/>
  <c r="S4" i="1"/>
  <c r="T4" i="1"/>
  <c r="U4" i="1"/>
  <c r="V4" i="1"/>
  <c r="W4" i="1"/>
  <c r="X4" i="1"/>
  <c r="Y4" i="1"/>
  <c r="Z4" i="1"/>
  <c r="AA4" i="1"/>
  <c r="AB4" i="1"/>
  <c r="AC4" i="1"/>
  <c r="AD4" i="1"/>
  <c r="AE4" i="1"/>
  <c r="L4" i="1"/>
  <c r="M25" i="5"/>
  <c r="AG6" i="1"/>
  <c r="AH6" i="1" s="1"/>
  <c r="AG7" i="1"/>
  <c r="AH7" i="1" s="1"/>
  <c r="AG8" i="1"/>
  <c r="AH8" i="1" s="1"/>
  <c r="AG9" i="1"/>
  <c r="AH9" i="1" s="1"/>
  <c r="AG10" i="1"/>
  <c r="AH10" i="1" s="1"/>
  <c r="AG11" i="1"/>
  <c r="AH11" i="1" s="1"/>
  <c r="AG12" i="1"/>
  <c r="AH12" i="1"/>
  <c r="AG13" i="1"/>
  <c r="AH13" i="1" s="1"/>
  <c r="AG14" i="1"/>
  <c r="AH14" i="1" s="1"/>
  <c r="AG15" i="1"/>
  <c r="AH15" i="1" s="1"/>
  <c r="AG16" i="1"/>
  <c r="AH16" i="1" s="1"/>
  <c r="AG17" i="1"/>
  <c r="AH17" i="1" s="1"/>
  <c r="AG5" i="1"/>
  <c r="AH5" i="1" s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L8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AA8" i="1"/>
  <c r="AB8" i="1"/>
  <c r="AC8" i="1"/>
  <c r="AD8" i="1"/>
  <c r="AE8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AA9" i="1"/>
  <c r="AB9" i="1"/>
  <c r="AC9" i="1"/>
  <c r="AD9" i="1"/>
  <c r="AE9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AB10" i="1"/>
  <c r="AC10" i="1"/>
  <c r="AD10" i="1"/>
  <c r="AE10" i="1"/>
  <c r="L11" i="1"/>
  <c r="M11" i="1"/>
  <c r="N11" i="1"/>
  <c r="O11" i="1"/>
  <c r="P11" i="1"/>
  <c r="Q11" i="1"/>
  <c r="R11" i="1"/>
  <c r="S11" i="1"/>
  <c r="T11" i="1"/>
  <c r="U11" i="1"/>
  <c r="V11" i="1"/>
  <c r="W11" i="1"/>
  <c r="X11" i="1"/>
  <c r="Y11" i="1"/>
  <c r="Z11" i="1"/>
  <c r="AA11" i="1"/>
  <c r="AB11" i="1"/>
  <c r="AC11" i="1"/>
  <c r="AD11" i="1"/>
  <c r="AE11" i="1"/>
  <c r="L12" i="1"/>
  <c r="M12" i="1"/>
  <c r="N12" i="1"/>
  <c r="O12" i="1"/>
  <c r="P12" i="1"/>
  <c r="Q12" i="1"/>
  <c r="R12" i="1"/>
  <c r="S12" i="1"/>
  <c r="T12" i="1"/>
  <c r="U12" i="1"/>
  <c r="V12" i="1"/>
  <c r="W12" i="1"/>
  <c r="X12" i="1"/>
  <c r="Y12" i="1"/>
  <c r="Z12" i="1"/>
  <c r="AA12" i="1"/>
  <c r="AB12" i="1"/>
  <c r="AC12" i="1"/>
  <c r="AD12" i="1"/>
  <c r="AE12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AA13" i="1"/>
  <c r="AB13" i="1"/>
  <c r="AC13" i="1"/>
  <c r="AD13" i="1"/>
  <c r="AE13" i="1"/>
  <c r="L14" i="1"/>
  <c r="M14" i="1"/>
  <c r="N14" i="1"/>
  <c r="O14" i="1"/>
  <c r="P14" i="1"/>
  <c r="Q14" i="1"/>
  <c r="R14" i="1"/>
  <c r="S14" i="1"/>
  <c r="T14" i="1"/>
  <c r="U14" i="1"/>
  <c r="V14" i="1"/>
  <c r="W14" i="1"/>
  <c r="X14" i="1"/>
  <c r="Y14" i="1"/>
  <c r="Z14" i="1"/>
  <c r="AA14" i="1"/>
  <c r="AB14" i="1"/>
  <c r="AC14" i="1"/>
  <c r="AD14" i="1"/>
  <c r="AE14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AA19" i="1"/>
  <c r="AB19" i="1"/>
  <c r="AC19" i="1"/>
  <c r="AD19" i="1"/>
  <c r="AE19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AB20" i="1"/>
  <c r="AC20" i="1"/>
  <c r="AD20" i="1"/>
  <c r="AE20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AA21" i="1"/>
  <c r="AB21" i="1"/>
  <c r="AC21" i="1"/>
  <c r="AD21" i="1"/>
  <c r="AE21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AB22" i="1"/>
  <c r="AC22" i="1"/>
  <c r="AD22" i="1"/>
  <c r="AE22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AB23" i="1"/>
  <c r="AC23" i="1"/>
  <c r="AD23" i="1"/>
  <c r="AE23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AA24" i="1"/>
  <c r="AB24" i="1"/>
  <c r="AC24" i="1"/>
  <c r="AD24" i="1"/>
  <c r="AE24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Z25" i="1"/>
  <c r="AA25" i="1"/>
  <c r="AB25" i="1"/>
  <c r="AC25" i="1"/>
  <c r="AD25" i="1"/>
  <c r="AE25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L28" i="1"/>
  <c r="M28" i="1"/>
  <c r="N28" i="1"/>
  <c r="O28" i="1"/>
  <c r="P28" i="1"/>
  <c r="Q28" i="1"/>
  <c r="R28" i="1"/>
  <c r="S28" i="1"/>
  <c r="T28" i="1"/>
  <c r="U28" i="1"/>
  <c r="V28" i="1"/>
  <c r="W28" i="1"/>
  <c r="X28" i="1"/>
  <c r="Y28" i="1"/>
  <c r="Z28" i="1"/>
  <c r="AA28" i="1"/>
  <c r="AB28" i="1"/>
  <c r="AC28" i="1"/>
  <c r="AD28" i="1"/>
  <c r="AE28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L30" i="1"/>
  <c r="M30" i="1"/>
  <c r="N30" i="1"/>
  <c r="O30" i="1"/>
  <c r="P30" i="1"/>
  <c r="Q30" i="1"/>
  <c r="R30" i="1"/>
  <c r="S30" i="1"/>
  <c r="T30" i="1"/>
  <c r="U30" i="1"/>
  <c r="V30" i="1"/>
  <c r="W30" i="1"/>
  <c r="X30" i="1"/>
  <c r="Y30" i="1"/>
  <c r="Z30" i="1"/>
  <c r="AA30" i="1"/>
  <c r="AB30" i="1"/>
  <c r="AC30" i="1"/>
  <c r="AD30" i="1"/>
  <c r="AE30" i="1"/>
  <c r="L31" i="1"/>
  <c r="M31" i="1"/>
  <c r="N31" i="1"/>
  <c r="O31" i="1"/>
  <c r="P31" i="1"/>
  <c r="Q31" i="1"/>
  <c r="R31" i="1"/>
  <c r="S31" i="1"/>
  <c r="T31" i="1"/>
  <c r="U31" i="1"/>
  <c r="V31" i="1"/>
  <c r="W31" i="1"/>
  <c r="X31" i="1"/>
  <c r="Y31" i="1"/>
  <c r="Z31" i="1"/>
  <c r="AA31" i="1"/>
  <c r="AB31" i="1"/>
  <c r="AC31" i="1"/>
  <c r="AD31" i="1"/>
  <c r="AE31" i="1"/>
  <c r="L32" i="1"/>
  <c r="M32" i="1"/>
  <c r="N32" i="1"/>
  <c r="O32" i="1"/>
  <c r="P32" i="1"/>
  <c r="Q32" i="1"/>
  <c r="R32" i="1"/>
  <c r="S32" i="1"/>
  <c r="T32" i="1"/>
  <c r="U32" i="1"/>
  <c r="V32" i="1"/>
  <c r="W32" i="1"/>
  <c r="X32" i="1"/>
  <c r="Y32" i="1"/>
  <c r="Z32" i="1"/>
  <c r="AA32" i="1"/>
  <c r="AB32" i="1"/>
  <c r="AC32" i="1"/>
  <c r="AD32" i="1"/>
  <c r="AE32" i="1"/>
  <c r="L33" i="1"/>
  <c r="M33" i="1"/>
  <c r="N33" i="1"/>
  <c r="O33" i="1"/>
  <c r="P33" i="1"/>
  <c r="Q33" i="1"/>
  <c r="R33" i="1"/>
  <c r="S33" i="1"/>
  <c r="T33" i="1"/>
  <c r="U33" i="1"/>
  <c r="V33" i="1"/>
  <c r="W33" i="1"/>
  <c r="X33" i="1"/>
  <c r="Y33" i="1"/>
  <c r="Z33" i="1"/>
  <c r="AA33" i="1"/>
  <c r="AB33" i="1"/>
  <c r="AC33" i="1"/>
  <c r="AD33" i="1"/>
  <c r="AE33" i="1"/>
  <c r="L34" i="1"/>
  <c r="M34" i="1"/>
  <c r="N34" i="1"/>
  <c r="O34" i="1"/>
  <c r="P34" i="1"/>
  <c r="Q34" i="1"/>
  <c r="R34" i="1"/>
  <c r="S34" i="1"/>
  <c r="T34" i="1"/>
  <c r="U34" i="1"/>
  <c r="V34" i="1"/>
  <c r="W34" i="1"/>
  <c r="X34" i="1"/>
  <c r="Y34" i="1"/>
  <c r="Z34" i="1"/>
  <c r="AA34" i="1"/>
  <c r="AB34" i="1"/>
  <c r="AC34" i="1"/>
  <c r="AD34" i="1"/>
  <c r="AE34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L36" i="1"/>
  <c r="M36" i="1"/>
  <c r="N36" i="1"/>
  <c r="O36" i="1"/>
  <c r="P36" i="1"/>
  <c r="Q36" i="1"/>
  <c r="R36" i="1"/>
  <c r="S36" i="1"/>
  <c r="T36" i="1"/>
  <c r="U36" i="1"/>
  <c r="V36" i="1"/>
  <c r="W36" i="1"/>
  <c r="X36" i="1"/>
  <c r="Y36" i="1"/>
  <c r="Z36" i="1"/>
  <c r="AA36" i="1"/>
  <c r="AB36" i="1"/>
  <c r="AC36" i="1"/>
  <c r="AD36" i="1"/>
  <c r="AE36" i="1"/>
  <c r="L37" i="1"/>
  <c r="M37" i="1"/>
  <c r="N37" i="1"/>
  <c r="O37" i="1"/>
  <c r="P37" i="1"/>
  <c r="Q37" i="1"/>
  <c r="R37" i="1"/>
  <c r="S37" i="1"/>
  <c r="T37" i="1"/>
  <c r="U37" i="1"/>
  <c r="V37" i="1"/>
  <c r="W37" i="1"/>
  <c r="X37" i="1"/>
  <c r="Y37" i="1"/>
  <c r="Z37" i="1"/>
  <c r="AA37" i="1"/>
  <c r="AB37" i="1"/>
  <c r="AC37" i="1"/>
  <c r="AD37" i="1"/>
  <c r="AE37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AE38" i="1"/>
  <c r="L39" i="1"/>
  <c r="M39" i="1"/>
  <c r="N39" i="1"/>
  <c r="O39" i="1"/>
  <c r="P39" i="1"/>
  <c r="Q39" i="1"/>
  <c r="R39" i="1"/>
  <c r="S39" i="1"/>
  <c r="T39" i="1"/>
  <c r="U39" i="1"/>
  <c r="V39" i="1"/>
  <c r="W39" i="1"/>
  <c r="X39" i="1"/>
  <c r="Y39" i="1"/>
  <c r="Z39" i="1"/>
  <c r="AA39" i="1"/>
  <c r="AB39" i="1"/>
  <c r="AC39" i="1"/>
  <c r="AD39" i="1"/>
  <c r="AE39" i="1"/>
  <c r="L40" i="1"/>
  <c r="M40" i="1"/>
  <c r="N40" i="1"/>
  <c r="O40" i="1"/>
  <c r="P40" i="1"/>
  <c r="Q40" i="1"/>
  <c r="R40" i="1"/>
  <c r="S40" i="1"/>
  <c r="T40" i="1"/>
  <c r="U40" i="1"/>
  <c r="V40" i="1"/>
  <c r="W40" i="1"/>
  <c r="X40" i="1"/>
  <c r="Y40" i="1"/>
  <c r="Z40" i="1"/>
  <c r="AA40" i="1"/>
  <c r="AB40" i="1"/>
  <c r="AC40" i="1"/>
  <c r="AD40" i="1"/>
  <c r="AE40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L64" i="1"/>
  <c r="M64" i="1"/>
  <c r="N64" i="1"/>
  <c r="O64" i="1"/>
  <c r="P64" i="1"/>
  <c r="Q64" i="1"/>
  <c r="R64" i="1"/>
  <c r="S64" i="1"/>
  <c r="T64" i="1"/>
  <c r="U64" i="1"/>
  <c r="V64" i="1"/>
  <c r="W64" i="1"/>
  <c r="X64" i="1"/>
  <c r="Y64" i="1"/>
  <c r="Z64" i="1"/>
  <c r="AA64" i="1"/>
  <c r="AB64" i="1"/>
  <c r="AC64" i="1"/>
  <c r="AD64" i="1"/>
  <c r="AE64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Z65" i="1"/>
  <c r="AA65" i="1"/>
  <c r="AB65" i="1"/>
  <c r="AC65" i="1"/>
  <c r="AD65" i="1"/>
  <c r="AE65" i="1"/>
  <c r="L66" i="1"/>
  <c r="M66" i="1"/>
  <c r="N66" i="1"/>
  <c r="O66" i="1"/>
  <c r="P66" i="1"/>
  <c r="Q66" i="1"/>
  <c r="R66" i="1"/>
  <c r="S66" i="1"/>
  <c r="T66" i="1"/>
  <c r="U66" i="1"/>
  <c r="V66" i="1"/>
  <c r="W66" i="1"/>
  <c r="X66" i="1"/>
  <c r="Y66" i="1"/>
  <c r="Z66" i="1"/>
  <c r="AA66" i="1"/>
  <c r="AB66" i="1"/>
  <c r="AC66" i="1"/>
  <c r="AD66" i="1"/>
  <c r="AE66" i="1"/>
  <c r="L67" i="1"/>
  <c r="M67" i="1"/>
  <c r="N67" i="1"/>
  <c r="O67" i="1"/>
  <c r="P67" i="1"/>
  <c r="Q67" i="1"/>
  <c r="R67" i="1"/>
  <c r="S67" i="1"/>
  <c r="T67" i="1"/>
  <c r="U67" i="1"/>
  <c r="V67" i="1"/>
  <c r="W67" i="1"/>
  <c r="X67" i="1"/>
  <c r="Y67" i="1"/>
  <c r="Z67" i="1"/>
  <c r="AA67" i="1"/>
  <c r="AB67" i="1"/>
  <c r="AC67" i="1"/>
  <c r="AD67" i="1"/>
  <c r="AE67" i="1"/>
  <c r="L68" i="1"/>
  <c r="M68" i="1"/>
  <c r="N68" i="1"/>
  <c r="O68" i="1"/>
  <c r="P68" i="1"/>
  <c r="Q68" i="1"/>
  <c r="R68" i="1"/>
  <c r="S68" i="1"/>
  <c r="T68" i="1"/>
  <c r="U68" i="1"/>
  <c r="V68" i="1"/>
  <c r="W68" i="1"/>
  <c r="X68" i="1"/>
  <c r="Y68" i="1"/>
  <c r="Z68" i="1"/>
  <c r="AA68" i="1"/>
  <c r="AB68" i="1"/>
  <c r="AC68" i="1"/>
  <c r="AD68" i="1"/>
  <c r="AE68" i="1"/>
  <c r="L69" i="1"/>
  <c r="M69" i="1"/>
  <c r="N69" i="1"/>
  <c r="O69" i="1"/>
  <c r="P69" i="1"/>
  <c r="Q69" i="1"/>
  <c r="R69" i="1"/>
  <c r="S69" i="1"/>
  <c r="T69" i="1"/>
  <c r="U69" i="1"/>
  <c r="V69" i="1"/>
  <c r="W69" i="1"/>
  <c r="X69" i="1"/>
  <c r="Y69" i="1"/>
  <c r="Z69" i="1"/>
  <c r="AA69" i="1"/>
  <c r="AB69" i="1"/>
  <c r="AC69" i="1"/>
  <c r="AD69" i="1"/>
  <c r="AE69" i="1"/>
  <c r="L70" i="1"/>
  <c r="M70" i="1"/>
  <c r="N70" i="1"/>
  <c r="O70" i="1"/>
  <c r="P70" i="1"/>
  <c r="Q70" i="1"/>
  <c r="R70" i="1"/>
  <c r="S70" i="1"/>
  <c r="T70" i="1"/>
  <c r="U70" i="1"/>
  <c r="V70" i="1"/>
  <c r="W70" i="1"/>
  <c r="X70" i="1"/>
  <c r="Y70" i="1"/>
  <c r="Z70" i="1"/>
  <c r="AA70" i="1"/>
  <c r="AB70" i="1"/>
  <c r="AC70" i="1"/>
  <c r="AD70" i="1"/>
  <c r="AE70" i="1"/>
  <c r="L71" i="1"/>
  <c r="M71" i="1"/>
  <c r="N71" i="1"/>
  <c r="O71" i="1"/>
  <c r="P71" i="1"/>
  <c r="Q71" i="1"/>
  <c r="R71" i="1"/>
  <c r="S71" i="1"/>
  <c r="T71" i="1"/>
  <c r="U71" i="1"/>
  <c r="V71" i="1"/>
  <c r="W71" i="1"/>
  <c r="X71" i="1"/>
  <c r="Y71" i="1"/>
  <c r="Z71" i="1"/>
  <c r="AA71" i="1"/>
  <c r="AB71" i="1"/>
  <c r="AC71" i="1"/>
  <c r="AD71" i="1"/>
  <c r="AE71" i="1"/>
  <c r="L72" i="1"/>
  <c r="M72" i="1"/>
  <c r="N72" i="1"/>
  <c r="O72" i="1"/>
  <c r="P72" i="1"/>
  <c r="Q72" i="1"/>
  <c r="R72" i="1"/>
  <c r="S72" i="1"/>
  <c r="T72" i="1"/>
  <c r="U72" i="1"/>
  <c r="V72" i="1"/>
  <c r="W72" i="1"/>
  <c r="X72" i="1"/>
  <c r="Y72" i="1"/>
  <c r="Z72" i="1"/>
  <c r="AA72" i="1"/>
  <c r="AB72" i="1"/>
  <c r="AC72" i="1"/>
  <c r="AD72" i="1"/>
  <c r="AE72" i="1"/>
  <c r="L73" i="1"/>
  <c r="M73" i="1"/>
  <c r="N73" i="1"/>
  <c r="O73" i="1"/>
  <c r="P73" i="1"/>
  <c r="Q73" i="1"/>
  <c r="R73" i="1"/>
  <c r="S73" i="1"/>
  <c r="T73" i="1"/>
  <c r="U73" i="1"/>
  <c r="V73" i="1"/>
  <c r="W73" i="1"/>
  <c r="X73" i="1"/>
  <c r="Y73" i="1"/>
  <c r="Z73" i="1"/>
  <c r="AA73" i="1"/>
  <c r="AB73" i="1"/>
  <c r="AC73" i="1"/>
  <c r="AD73" i="1"/>
  <c r="AE73" i="1"/>
  <c r="L74" i="1"/>
  <c r="M74" i="1"/>
  <c r="N74" i="1"/>
  <c r="O74" i="1"/>
  <c r="P74" i="1"/>
  <c r="Q74" i="1"/>
  <c r="R74" i="1"/>
  <c r="S74" i="1"/>
  <c r="T74" i="1"/>
  <c r="U74" i="1"/>
  <c r="V74" i="1"/>
  <c r="W74" i="1"/>
  <c r="X74" i="1"/>
  <c r="Y74" i="1"/>
  <c r="Z74" i="1"/>
  <c r="AA74" i="1"/>
  <c r="AB74" i="1"/>
  <c r="AC74" i="1"/>
  <c r="AD74" i="1"/>
  <c r="AE74" i="1"/>
  <c r="L75" i="1"/>
  <c r="M75" i="1"/>
  <c r="N75" i="1"/>
  <c r="O75" i="1"/>
  <c r="P75" i="1"/>
  <c r="Q75" i="1"/>
  <c r="R75" i="1"/>
  <c r="S75" i="1"/>
  <c r="T75" i="1"/>
  <c r="U75" i="1"/>
  <c r="V75" i="1"/>
  <c r="W75" i="1"/>
  <c r="X75" i="1"/>
  <c r="Y75" i="1"/>
  <c r="Z75" i="1"/>
  <c r="AA75" i="1"/>
  <c r="AB75" i="1"/>
  <c r="AC75" i="1"/>
  <c r="AD75" i="1"/>
  <c r="AE75" i="1"/>
  <c r="L76" i="1"/>
  <c r="M76" i="1"/>
  <c r="N76" i="1"/>
  <c r="O76" i="1"/>
  <c r="P76" i="1"/>
  <c r="Q76" i="1"/>
  <c r="R76" i="1"/>
  <c r="S76" i="1"/>
  <c r="T76" i="1"/>
  <c r="U76" i="1"/>
  <c r="V76" i="1"/>
  <c r="W76" i="1"/>
  <c r="X76" i="1"/>
  <c r="Y76" i="1"/>
  <c r="Z76" i="1"/>
  <c r="AA76" i="1"/>
  <c r="AB76" i="1"/>
  <c r="AC76" i="1"/>
  <c r="AD76" i="1"/>
  <c r="AE76" i="1"/>
  <c r="L77" i="1"/>
  <c r="M77" i="1"/>
  <c r="N77" i="1"/>
  <c r="O77" i="1"/>
  <c r="P77" i="1"/>
  <c r="Q77" i="1"/>
  <c r="R77" i="1"/>
  <c r="S77" i="1"/>
  <c r="T77" i="1"/>
  <c r="U77" i="1"/>
  <c r="V77" i="1"/>
  <c r="W77" i="1"/>
  <c r="X77" i="1"/>
  <c r="Y77" i="1"/>
  <c r="Z77" i="1"/>
  <c r="AA77" i="1"/>
  <c r="AB77" i="1"/>
  <c r="AC77" i="1"/>
  <c r="AD77" i="1"/>
  <c r="AE77" i="1"/>
  <c r="L78" i="1"/>
  <c r="M78" i="1"/>
  <c r="N78" i="1"/>
  <c r="O78" i="1"/>
  <c r="P78" i="1"/>
  <c r="Q78" i="1"/>
  <c r="R78" i="1"/>
  <c r="S78" i="1"/>
  <c r="T78" i="1"/>
  <c r="U78" i="1"/>
  <c r="V78" i="1"/>
  <c r="W78" i="1"/>
  <c r="X78" i="1"/>
  <c r="Y78" i="1"/>
  <c r="Z78" i="1"/>
  <c r="AA78" i="1"/>
  <c r="AB78" i="1"/>
  <c r="AC78" i="1"/>
  <c r="AD78" i="1"/>
  <c r="AE78" i="1"/>
  <c r="L79" i="1"/>
  <c r="M79" i="1"/>
  <c r="N79" i="1"/>
  <c r="O79" i="1"/>
  <c r="P79" i="1"/>
  <c r="Q79" i="1"/>
  <c r="R79" i="1"/>
  <c r="S79" i="1"/>
  <c r="T79" i="1"/>
  <c r="U79" i="1"/>
  <c r="V79" i="1"/>
  <c r="W79" i="1"/>
  <c r="X79" i="1"/>
  <c r="Y79" i="1"/>
  <c r="Z79" i="1"/>
  <c r="AA79" i="1"/>
  <c r="AB79" i="1"/>
  <c r="AC79" i="1"/>
  <c r="AD79" i="1"/>
  <c r="AE79" i="1"/>
  <c r="L80" i="1"/>
  <c r="M80" i="1"/>
  <c r="N80" i="1"/>
  <c r="O80" i="1"/>
  <c r="P80" i="1"/>
  <c r="Q80" i="1"/>
  <c r="R80" i="1"/>
  <c r="S80" i="1"/>
  <c r="T80" i="1"/>
  <c r="U80" i="1"/>
  <c r="V80" i="1"/>
  <c r="W80" i="1"/>
  <c r="X80" i="1"/>
  <c r="Y80" i="1"/>
  <c r="Z80" i="1"/>
  <c r="AA80" i="1"/>
  <c r="AB80" i="1"/>
  <c r="AC80" i="1"/>
  <c r="AD80" i="1"/>
  <c r="AE80" i="1"/>
  <c r="L81" i="1"/>
  <c r="M81" i="1"/>
  <c r="N81" i="1"/>
  <c r="O81" i="1"/>
  <c r="P81" i="1"/>
  <c r="Q81" i="1"/>
  <c r="R81" i="1"/>
  <c r="S81" i="1"/>
  <c r="T81" i="1"/>
  <c r="U81" i="1"/>
  <c r="V81" i="1"/>
  <c r="W81" i="1"/>
  <c r="X81" i="1"/>
  <c r="Y81" i="1"/>
  <c r="Z81" i="1"/>
  <c r="AA81" i="1"/>
  <c r="AB81" i="1"/>
  <c r="AC81" i="1"/>
  <c r="AD81" i="1"/>
  <c r="AE81" i="1"/>
  <c r="L82" i="1"/>
  <c r="M82" i="1"/>
  <c r="N82" i="1"/>
  <c r="O82" i="1"/>
  <c r="P82" i="1"/>
  <c r="Q82" i="1"/>
  <c r="R82" i="1"/>
  <c r="S82" i="1"/>
  <c r="T82" i="1"/>
  <c r="U82" i="1"/>
  <c r="V82" i="1"/>
  <c r="W82" i="1"/>
  <c r="X82" i="1"/>
  <c r="Y82" i="1"/>
  <c r="Z82" i="1"/>
  <c r="AA82" i="1"/>
  <c r="AB82" i="1"/>
  <c r="AC82" i="1"/>
  <c r="AD82" i="1"/>
  <c r="AE82" i="1"/>
  <c r="L83" i="1"/>
  <c r="M83" i="1"/>
  <c r="N83" i="1"/>
  <c r="O83" i="1"/>
  <c r="P83" i="1"/>
  <c r="Q83" i="1"/>
  <c r="R83" i="1"/>
  <c r="S83" i="1"/>
  <c r="T83" i="1"/>
  <c r="U83" i="1"/>
  <c r="V83" i="1"/>
  <c r="W83" i="1"/>
  <c r="X83" i="1"/>
  <c r="Y83" i="1"/>
  <c r="Z83" i="1"/>
  <c r="AA83" i="1"/>
  <c r="AB83" i="1"/>
  <c r="AC83" i="1"/>
  <c r="AD83" i="1"/>
  <c r="AE83" i="1"/>
  <c r="L84" i="1"/>
  <c r="M84" i="1"/>
  <c r="N84" i="1"/>
  <c r="O84" i="1"/>
  <c r="P84" i="1"/>
  <c r="Q84" i="1"/>
  <c r="R84" i="1"/>
  <c r="S84" i="1"/>
  <c r="T84" i="1"/>
  <c r="U84" i="1"/>
  <c r="V84" i="1"/>
  <c r="W84" i="1"/>
  <c r="X84" i="1"/>
  <c r="Y84" i="1"/>
  <c r="Z84" i="1"/>
  <c r="AA84" i="1"/>
  <c r="AB84" i="1"/>
  <c r="AC84" i="1"/>
  <c r="AD84" i="1"/>
  <c r="AE84" i="1"/>
  <c r="L85" i="1"/>
  <c r="M85" i="1"/>
  <c r="N85" i="1"/>
  <c r="O85" i="1"/>
  <c r="P85" i="1"/>
  <c r="Q85" i="1"/>
  <c r="R85" i="1"/>
  <c r="S85" i="1"/>
  <c r="T85" i="1"/>
  <c r="U85" i="1"/>
  <c r="V85" i="1"/>
  <c r="W85" i="1"/>
  <c r="X85" i="1"/>
  <c r="Y85" i="1"/>
  <c r="Z85" i="1"/>
  <c r="AA85" i="1"/>
  <c r="AB85" i="1"/>
  <c r="AC85" i="1"/>
  <c r="AD85" i="1"/>
  <c r="AE85" i="1"/>
  <c r="L86" i="1"/>
  <c r="M86" i="1"/>
  <c r="N86" i="1"/>
  <c r="O86" i="1"/>
  <c r="P86" i="1"/>
  <c r="Q86" i="1"/>
  <c r="R86" i="1"/>
  <c r="S86" i="1"/>
  <c r="T86" i="1"/>
  <c r="U86" i="1"/>
  <c r="V86" i="1"/>
  <c r="W86" i="1"/>
  <c r="X86" i="1"/>
  <c r="Y86" i="1"/>
  <c r="Z86" i="1"/>
  <c r="AA86" i="1"/>
  <c r="AB86" i="1"/>
  <c r="AC86" i="1"/>
  <c r="AD86" i="1"/>
  <c r="AE86" i="1"/>
  <c r="L87" i="1"/>
  <c r="M87" i="1"/>
  <c r="N87" i="1"/>
  <c r="O87" i="1"/>
  <c r="P87" i="1"/>
  <c r="Q87" i="1"/>
  <c r="R87" i="1"/>
  <c r="S87" i="1"/>
  <c r="T87" i="1"/>
  <c r="U87" i="1"/>
  <c r="V87" i="1"/>
  <c r="W87" i="1"/>
  <c r="X87" i="1"/>
  <c r="Y87" i="1"/>
  <c r="Z87" i="1"/>
  <c r="AA87" i="1"/>
  <c r="AB87" i="1"/>
  <c r="AC87" i="1"/>
  <c r="AD87" i="1"/>
  <c r="AE87" i="1"/>
  <c r="L88" i="1"/>
  <c r="M88" i="1"/>
  <c r="N88" i="1"/>
  <c r="O88" i="1"/>
  <c r="P88" i="1"/>
  <c r="Q88" i="1"/>
  <c r="R88" i="1"/>
  <c r="S88" i="1"/>
  <c r="T88" i="1"/>
  <c r="U88" i="1"/>
  <c r="V88" i="1"/>
  <c r="W88" i="1"/>
  <c r="X88" i="1"/>
  <c r="Y88" i="1"/>
  <c r="Z88" i="1"/>
  <c r="AA88" i="1"/>
  <c r="AB88" i="1"/>
  <c r="AC88" i="1"/>
  <c r="AD88" i="1"/>
  <c r="AE88" i="1"/>
  <c r="L89" i="1"/>
  <c r="M89" i="1"/>
  <c r="N89" i="1"/>
  <c r="O89" i="1"/>
  <c r="P89" i="1"/>
  <c r="Q89" i="1"/>
  <c r="R89" i="1"/>
  <c r="S89" i="1"/>
  <c r="T89" i="1"/>
  <c r="U89" i="1"/>
  <c r="V89" i="1"/>
  <c r="W89" i="1"/>
  <c r="X89" i="1"/>
  <c r="Y89" i="1"/>
  <c r="Z89" i="1"/>
  <c r="AA89" i="1"/>
  <c r="AB89" i="1"/>
  <c r="AC89" i="1"/>
  <c r="AD89" i="1"/>
  <c r="AE89" i="1"/>
  <c r="L90" i="1"/>
  <c r="M90" i="1"/>
  <c r="N90" i="1"/>
  <c r="O90" i="1"/>
  <c r="P90" i="1"/>
  <c r="Q90" i="1"/>
  <c r="R90" i="1"/>
  <c r="S90" i="1"/>
  <c r="T90" i="1"/>
  <c r="U90" i="1"/>
  <c r="V90" i="1"/>
  <c r="W90" i="1"/>
  <c r="X90" i="1"/>
  <c r="Y90" i="1"/>
  <c r="Z90" i="1"/>
  <c r="AA90" i="1"/>
  <c r="AB90" i="1"/>
  <c r="AC90" i="1"/>
  <c r="AD90" i="1"/>
  <c r="AE90" i="1"/>
  <c r="L91" i="1"/>
  <c r="M91" i="1"/>
  <c r="N91" i="1"/>
  <c r="O91" i="1"/>
  <c r="P91" i="1"/>
  <c r="Q91" i="1"/>
  <c r="R91" i="1"/>
  <c r="S91" i="1"/>
  <c r="T91" i="1"/>
  <c r="U91" i="1"/>
  <c r="V91" i="1"/>
  <c r="W91" i="1"/>
  <c r="X91" i="1"/>
  <c r="Y91" i="1"/>
  <c r="Z91" i="1"/>
  <c r="AA91" i="1"/>
  <c r="AB91" i="1"/>
  <c r="AC91" i="1"/>
  <c r="AD91" i="1"/>
  <c r="AE91" i="1"/>
  <c r="L92" i="1"/>
  <c r="M92" i="1"/>
  <c r="N92" i="1"/>
  <c r="O92" i="1"/>
  <c r="P92" i="1"/>
  <c r="Q92" i="1"/>
  <c r="R92" i="1"/>
  <c r="S92" i="1"/>
  <c r="T92" i="1"/>
  <c r="U92" i="1"/>
  <c r="V92" i="1"/>
  <c r="W92" i="1"/>
  <c r="X92" i="1"/>
  <c r="Y92" i="1"/>
  <c r="Z92" i="1"/>
  <c r="AA92" i="1"/>
  <c r="AB92" i="1"/>
  <c r="AC92" i="1"/>
  <c r="AD92" i="1"/>
  <c r="AE92" i="1"/>
  <c r="L93" i="1"/>
  <c r="M93" i="1"/>
  <c r="N93" i="1"/>
  <c r="O93" i="1"/>
  <c r="P93" i="1"/>
  <c r="Q93" i="1"/>
  <c r="R93" i="1"/>
  <c r="S93" i="1"/>
  <c r="T93" i="1"/>
  <c r="U93" i="1"/>
  <c r="V93" i="1"/>
  <c r="W93" i="1"/>
  <c r="X93" i="1"/>
  <c r="Y93" i="1"/>
  <c r="Z93" i="1"/>
  <c r="AA93" i="1"/>
  <c r="AB93" i="1"/>
  <c r="AC93" i="1"/>
  <c r="AD93" i="1"/>
  <c r="AE93" i="1"/>
  <c r="L94" i="1"/>
  <c r="M94" i="1"/>
  <c r="N94" i="1"/>
  <c r="O94" i="1"/>
  <c r="P94" i="1"/>
  <c r="Q94" i="1"/>
  <c r="R94" i="1"/>
  <c r="S94" i="1"/>
  <c r="T94" i="1"/>
  <c r="U94" i="1"/>
  <c r="V94" i="1"/>
  <c r="W94" i="1"/>
  <c r="X94" i="1"/>
  <c r="Y94" i="1"/>
  <c r="Z94" i="1"/>
  <c r="AA94" i="1"/>
  <c r="AB94" i="1"/>
  <c r="AC94" i="1"/>
  <c r="AD94" i="1"/>
  <c r="AE94" i="1"/>
  <c r="L95" i="1"/>
  <c r="M95" i="1"/>
  <c r="N95" i="1"/>
  <c r="O95" i="1"/>
  <c r="P95" i="1"/>
  <c r="Q95" i="1"/>
  <c r="R95" i="1"/>
  <c r="S95" i="1"/>
  <c r="T95" i="1"/>
  <c r="U95" i="1"/>
  <c r="V95" i="1"/>
  <c r="W95" i="1"/>
  <c r="X95" i="1"/>
  <c r="Y95" i="1"/>
  <c r="Z95" i="1"/>
  <c r="AA95" i="1"/>
  <c r="AB95" i="1"/>
  <c r="AC95" i="1"/>
  <c r="AD95" i="1"/>
  <c r="AE95" i="1"/>
  <c r="L96" i="1"/>
  <c r="M96" i="1"/>
  <c r="N96" i="1"/>
  <c r="O96" i="1"/>
  <c r="P96" i="1"/>
  <c r="Q96" i="1"/>
  <c r="R96" i="1"/>
  <c r="S96" i="1"/>
  <c r="T96" i="1"/>
  <c r="U96" i="1"/>
  <c r="V96" i="1"/>
  <c r="W96" i="1"/>
  <c r="X96" i="1"/>
  <c r="Y96" i="1"/>
  <c r="Z96" i="1"/>
  <c r="AA96" i="1"/>
  <c r="AB96" i="1"/>
  <c r="AC96" i="1"/>
  <c r="AD96" i="1"/>
  <c r="AE96" i="1"/>
  <c r="L97" i="1"/>
  <c r="M97" i="1"/>
  <c r="N97" i="1"/>
  <c r="O97" i="1"/>
  <c r="P97" i="1"/>
  <c r="Q97" i="1"/>
  <c r="R97" i="1"/>
  <c r="S97" i="1"/>
  <c r="T97" i="1"/>
  <c r="U97" i="1"/>
  <c r="V97" i="1"/>
  <c r="W97" i="1"/>
  <c r="X97" i="1"/>
  <c r="Y97" i="1"/>
  <c r="Z97" i="1"/>
  <c r="AA97" i="1"/>
  <c r="AB97" i="1"/>
  <c r="AC97" i="1"/>
  <c r="AD97" i="1"/>
  <c r="AE97" i="1"/>
  <c r="L98" i="1"/>
  <c r="M98" i="1"/>
  <c r="N98" i="1"/>
  <c r="O98" i="1"/>
  <c r="P98" i="1"/>
  <c r="Q98" i="1"/>
  <c r="R98" i="1"/>
  <c r="S98" i="1"/>
  <c r="T98" i="1"/>
  <c r="U98" i="1"/>
  <c r="V98" i="1"/>
  <c r="W98" i="1"/>
  <c r="X98" i="1"/>
  <c r="Y98" i="1"/>
  <c r="Z98" i="1"/>
  <c r="AA98" i="1"/>
  <c r="AB98" i="1"/>
  <c r="AC98" i="1"/>
  <c r="AD98" i="1"/>
  <c r="AE98" i="1"/>
  <c r="L99" i="1"/>
  <c r="M99" i="1"/>
  <c r="N99" i="1"/>
  <c r="O99" i="1"/>
  <c r="P99" i="1"/>
  <c r="Q99" i="1"/>
  <c r="R99" i="1"/>
  <c r="S99" i="1"/>
  <c r="T99" i="1"/>
  <c r="U99" i="1"/>
  <c r="V99" i="1"/>
  <c r="W99" i="1"/>
  <c r="X99" i="1"/>
  <c r="Y99" i="1"/>
  <c r="Z99" i="1"/>
  <c r="AA99" i="1"/>
  <c r="AB99" i="1"/>
  <c r="AC99" i="1"/>
  <c r="AD99" i="1"/>
  <c r="AE99" i="1"/>
  <c r="L100" i="1"/>
  <c r="M100" i="1"/>
  <c r="N100" i="1"/>
  <c r="O100" i="1"/>
  <c r="P100" i="1"/>
  <c r="Q100" i="1"/>
  <c r="R100" i="1"/>
  <c r="S100" i="1"/>
  <c r="T100" i="1"/>
  <c r="U100" i="1"/>
  <c r="V100" i="1"/>
  <c r="W100" i="1"/>
  <c r="X100" i="1"/>
  <c r="Y100" i="1"/>
  <c r="Z100" i="1"/>
  <c r="AA100" i="1"/>
  <c r="AB100" i="1"/>
  <c r="AC100" i="1"/>
  <c r="AD100" i="1"/>
  <c r="AE100" i="1"/>
  <c r="L101" i="1"/>
  <c r="M101" i="1"/>
  <c r="N101" i="1"/>
  <c r="O101" i="1"/>
  <c r="P101" i="1"/>
  <c r="Q101" i="1"/>
  <c r="R101" i="1"/>
  <c r="S101" i="1"/>
  <c r="T101" i="1"/>
  <c r="U101" i="1"/>
  <c r="V101" i="1"/>
  <c r="W101" i="1"/>
  <c r="X101" i="1"/>
  <c r="Y101" i="1"/>
  <c r="Z101" i="1"/>
  <c r="AA101" i="1"/>
  <c r="AB101" i="1"/>
  <c r="AC101" i="1"/>
  <c r="AD101" i="1"/>
  <c r="AE101" i="1"/>
  <c r="L102" i="1"/>
  <c r="M102" i="1"/>
  <c r="N102" i="1"/>
  <c r="O102" i="1"/>
  <c r="P102" i="1"/>
  <c r="Q102" i="1"/>
  <c r="R102" i="1"/>
  <c r="S102" i="1"/>
  <c r="T102" i="1"/>
  <c r="U102" i="1"/>
  <c r="V102" i="1"/>
  <c r="W102" i="1"/>
  <c r="X102" i="1"/>
  <c r="Y102" i="1"/>
  <c r="Z102" i="1"/>
  <c r="AA102" i="1"/>
  <c r="AB102" i="1"/>
  <c r="AC102" i="1"/>
  <c r="AD102" i="1"/>
  <c r="AE102" i="1"/>
  <c r="L103" i="1"/>
  <c r="M103" i="1"/>
  <c r="N103" i="1"/>
  <c r="O103" i="1"/>
  <c r="P103" i="1"/>
  <c r="Q103" i="1"/>
  <c r="R103" i="1"/>
  <c r="S103" i="1"/>
  <c r="T103" i="1"/>
  <c r="U103" i="1"/>
  <c r="V103" i="1"/>
  <c r="W103" i="1"/>
  <c r="X103" i="1"/>
  <c r="Y103" i="1"/>
  <c r="Z103" i="1"/>
  <c r="AA103" i="1"/>
  <c r="AB103" i="1"/>
  <c r="AC103" i="1"/>
  <c r="AD103" i="1"/>
  <c r="AE103" i="1"/>
  <c r="L104" i="1"/>
  <c r="M104" i="1"/>
  <c r="N104" i="1"/>
  <c r="O104" i="1"/>
  <c r="P104" i="1"/>
  <c r="Q104" i="1"/>
  <c r="R104" i="1"/>
  <c r="S104" i="1"/>
  <c r="T104" i="1"/>
  <c r="U104" i="1"/>
  <c r="V104" i="1"/>
  <c r="W104" i="1"/>
  <c r="X104" i="1"/>
  <c r="Y104" i="1"/>
  <c r="Z104" i="1"/>
  <c r="AA104" i="1"/>
  <c r="AB104" i="1"/>
  <c r="AC104" i="1"/>
  <c r="AD104" i="1"/>
  <c r="AE104" i="1"/>
  <c r="L105" i="1"/>
  <c r="M105" i="1"/>
  <c r="N105" i="1"/>
  <c r="O105" i="1"/>
  <c r="P105" i="1"/>
  <c r="Q105" i="1"/>
  <c r="R105" i="1"/>
  <c r="S105" i="1"/>
  <c r="T105" i="1"/>
  <c r="U105" i="1"/>
  <c r="V105" i="1"/>
  <c r="W105" i="1"/>
  <c r="X105" i="1"/>
  <c r="Y105" i="1"/>
  <c r="Z105" i="1"/>
  <c r="AA105" i="1"/>
  <c r="AB105" i="1"/>
  <c r="AC105" i="1"/>
  <c r="AD105" i="1"/>
  <c r="AE105" i="1"/>
  <c r="L106" i="1"/>
  <c r="M106" i="1"/>
  <c r="N106" i="1"/>
  <c r="O106" i="1"/>
  <c r="P106" i="1"/>
  <c r="Q106" i="1"/>
  <c r="R106" i="1"/>
  <c r="S106" i="1"/>
  <c r="T106" i="1"/>
  <c r="U106" i="1"/>
  <c r="V106" i="1"/>
  <c r="W106" i="1"/>
  <c r="X106" i="1"/>
  <c r="Y106" i="1"/>
  <c r="Z106" i="1"/>
  <c r="AA106" i="1"/>
  <c r="AB106" i="1"/>
  <c r="AC106" i="1"/>
  <c r="AD106" i="1"/>
  <c r="AE106" i="1"/>
  <c r="L107" i="1"/>
  <c r="M107" i="1"/>
  <c r="N107" i="1"/>
  <c r="O107" i="1"/>
  <c r="P107" i="1"/>
  <c r="Q107" i="1"/>
  <c r="R107" i="1"/>
  <c r="S107" i="1"/>
  <c r="T107" i="1"/>
  <c r="U107" i="1"/>
  <c r="V107" i="1"/>
  <c r="W107" i="1"/>
  <c r="X107" i="1"/>
  <c r="Y107" i="1"/>
  <c r="Z107" i="1"/>
  <c r="AA107" i="1"/>
  <c r="AB107" i="1"/>
  <c r="AC107" i="1"/>
  <c r="AD107" i="1"/>
  <c r="AE107" i="1"/>
  <c r="L108" i="1"/>
  <c r="M108" i="1"/>
  <c r="N108" i="1"/>
  <c r="O108" i="1"/>
  <c r="P108" i="1"/>
  <c r="Q108" i="1"/>
  <c r="R108" i="1"/>
  <c r="S108" i="1"/>
  <c r="T108" i="1"/>
  <c r="U108" i="1"/>
  <c r="V108" i="1"/>
  <c r="W108" i="1"/>
  <c r="X108" i="1"/>
  <c r="Y108" i="1"/>
  <c r="Z108" i="1"/>
  <c r="AA108" i="1"/>
  <c r="AB108" i="1"/>
  <c r="AC108" i="1"/>
  <c r="AD108" i="1"/>
  <c r="AE108" i="1"/>
  <c r="L109" i="1"/>
  <c r="M109" i="1"/>
  <c r="N109" i="1"/>
  <c r="O109" i="1"/>
  <c r="P109" i="1"/>
  <c r="Q109" i="1"/>
  <c r="R109" i="1"/>
  <c r="S109" i="1"/>
  <c r="T109" i="1"/>
  <c r="U109" i="1"/>
  <c r="V109" i="1"/>
  <c r="W109" i="1"/>
  <c r="X109" i="1"/>
  <c r="Y109" i="1"/>
  <c r="Z109" i="1"/>
  <c r="AA109" i="1"/>
  <c r="AB109" i="1"/>
  <c r="AC109" i="1"/>
  <c r="AD109" i="1"/>
  <c r="AE109" i="1"/>
  <c r="L110" i="1"/>
  <c r="M110" i="1"/>
  <c r="N110" i="1"/>
  <c r="O110" i="1"/>
  <c r="P110" i="1"/>
  <c r="Q110" i="1"/>
  <c r="R110" i="1"/>
  <c r="S110" i="1"/>
  <c r="T110" i="1"/>
  <c r="U110" i="1"/>
  <c r="V110" i="1"/>
  <c r="W110" i="1"/>
  <c r="X110" i="1"/>
  <c r="Y110" i="1"/>
  <c r="Z110" i="1"/>
  <c r="AA110" i="1"/>
  <c r="AB110" i="1"/>
  <c r="AC110" i="1"/>
  <c r="AD110" i="1"/>
  <c r="AE110" i="1"/>
  <c r="L111" i="1"/>
  <c r="M111" i="1"/>
  <c r="N111" i="1"/>
  <c r="O111" i="1"/>
  <c r="P111" i="1"/>
  <c r="Q111" i="1"/>
  <c r="R111" i="1"/>
  <c r="S111" i="1"/>
  <c r="T111" i="1"/>
  <c r="U111" i="1"/>
  <c r="V111" i="1"/>
  <c r="W111" i="1"/>
  <c r="X111" i="1"/>
  <c r="Y111" i="1"/>
  <c r="Z111" i="1"/>
  <c r="AA111" i="1"/>
  <c r="AB111" i="1"/>
  <c r="AC111" i="1"/>
  <c r="AD111" i="1"/>
  <c r="AE111" i="1"/>
  <c r="L112" i="1"/>
  <c r="M112" i="1"/>
  <c r="N112" i="1"/>
  <c r="O112" i="1"/>
  <c r="P112" i="1"/>
  <c r="Q112" i="1"/>
  <c r="R112" i="1"/>
  <c r="S112" i="1"/>
  <c r="T112" i="1"/>
  <c r="U112" i="1"/>
  <c r="V112" i="1"/>
  <c r="W112" i="1"/>
  <c r="X112" i="1"/>
  <c r="Y112" i="1"/>
  <c r="Z112" i="1"/>
  <c r="AA112" i="1"/>
  <c r="AB112" i="1"/>
  <c r="AC112" i="1"/>
  <c r="AD112" i="1"/>
  <c r="AE112" i="1"/>
  <c r="L113" i="1"/>
  <c r="M113" i="1"/>
  <c r="N113" i="1"/>
  <c r="O113" i="1"/>
  <c r="P113" i="1"/>
  <c r="Q113" i="1"/>
  <c r="R113" i="1"/>
  <c r="S113" i="1"/>
  <c r="T113" i="1"/>
  <c r="U113" i="1"/>
  <c r="V113" i="1"/>
  <c r="W113" i="1"/>
  <c r="X113" i="1"/>
  <c r="Y113" i="1"/>
  <c r="Z113" i="1"/>
  <c r="AA113" i="1"/>
  <c r="AB113" i="1"/>
  <c r="AC113" i="1"/>
  <c r="AD113" i="1"/>
  <c r="AE113" i="1"/>
  <c r="L114" i="1"/>
  <c r="M114" i="1"/>
  <c r="N114" i="1"/>
  <c r="O114" i="1"/>
  <c r="P114" i="1"/>
  <c r="Q114" i="1"/>
  <c r="R114" i="1"/>
  <c r="S114" i="1"/>
  <c r="T114" i="1"/>
  <c r="U114" i="1"/>
  <c r="V114" i="1"/>
  <c r="W114" i="1"/>
  <c r="X114" i="1"/>
  <c r="Y114" i="1"/>
  <c r="Z114" i="1"/>
  <c r="AA114" i="1"/>
  <c r="AB114" i="1"/>
  <c r="AC114" i="1"/>
  <c r="AD114" i="1"/>
  <c r="AE114" i="1"/>
  <c r="L115" i="1"/>
  <c r="M115" i="1"/>
  <c r="N115" i="1"/>
  <c r="O115" i="1"/>
  <c r="P115" i="1"/>
  <c r="Q115" i="1"/>
  <c r="R115" i="1"/>
  <c r="S115" i="1"/>
  <c r="T115" i="1"/>
  <c r="U115" i="1"/>
  <c r="V115" i="1"/>
  <c r="W115" i="1"/>
  <c r="X115" i="1"/>
  <c r="Y115" i="1"/>
  <c r="Z115" i="1"/>
  <c r="AA115" i="1"/>
  <c r="AB115" i="1"/>
  <c r="AC115" i="1"/>
  <c r="AD115" i="1"/>
  <c r="AE115" i="1"/>
  <c r="L116" i="1"/>
  <c r="M116" i="1"/>
  <c r="N116" i="1"/>
  <c r="O116" i="1"/>
  <c r="P116" i="1"/>
  <c r="Q116" i="1"/>
  <c r="R116" i="1"/>
  <c r="S116" i="1"/>
  <c r="T116" i="1"/>
  <c r="U116" i="1"/>
  <c r="V116" i="1"/>
  <c r="W116" i="1"/>
  <c r="X116" i="1"/>
  <c r="Y116" i="1"/>
  <c r="Z116" i="1"/>
  <c r="AA116" i="1"/>
  <c r="AB116" i="1"/>
  <c r="AC116" i="1"/>
  <c r="AD116" i="1"/>
  <c r="AE116" i="1"/>
  <c r="L117" i="1"/>
  <c r="M117" i="1"/>
  <c r="N117" i="1"/>
  <c r="O117" i="1"/>
  <c r="P117" i="1"/>
  <c r="Q117" i="1"/>
  <c r="R117" i="1"/>
  <c r="S117" i="1"/>
  <c r="T117" i="1"/>
  <c r="U117" i="1"/>
  <c r="V117" i="1"/>
  <c r="W117" i="1"/>
  <c r="X117" i="1"/>
  <c r="Y117" i="1"/>
  <c r="Z117" i="1"/>
  <c r="AA117" i="1"/>
  <c r="AB117" i="1"/>
  <c r="AC117" i="1"/>
  <c r="AD117" i="1"/>
  <c r="AE117" i="1"/>
  <c r="L118" i="1"/>
  <c r="M118" i="1"/>
  <c r="N118" i="1"/>
  <c r="O118" i="1"/>
  <c r="P118" i="1"/>
  <c r="Q118" i="1"/>
  <c r="R118" i="1"/>
  <c r="S118" i="1"/>
  <c r="T118" i="1"/>
  <c r="U118" i="1"/>
  <c r="V118" i="1"/>
  <c r="W118" i="1"/>
  <c r="X118" i="1"/>
  <c r="Y118" i="1"/>
  <c r="Z118" i="1"/>
  <c r="AA118" i="1"/>
  <c r="AB118" i="1"/>
  <c r="AC118" i="1"/>
  <c r="AD118" i="1"/>
  <c r="AE118" i="1"/>
  <c r="L119" i="1"/>
  <c r="M119" i="1"/>
  <c r="N119" i="1"/>
  <c r="O119" i="1"/>
  <c r="P119" i="1"/>
  <c r="Q119" i="1"/>
  <c r="R119" i="1"/>
  <c r="S119" i="1"/>
  <c r="T119" i="1"/>
  <c r="U119" i="1"/>
  <c r="V119" i="1"/>
  <c r="W119" i="1"/>
  <c r="X119" i="1"/>
  <c r="Y119" i="1"/>
  <c r="Z119" i="1"/>
  <c r="AA119" i="1"/>
  <c r="AB119" i="1"/>
  <c r="AC119" i="1"/>
  <c r="AD119" i="1"/>
  <c r="AE119" i="1"/>
  <c r="L120" i="1"/>
  <c r="M120" i="1"/>
  <c r="N120" i="1"/>
  <c r="O120" i="1"/>
  <c r="P120" i="1"/>
  <c r="Q120" i="1"/>
  <c r="R120" i="1"/>
  <c r="S120" i="1"/>
  <c r="T120" i="1"/>
  <c r="U120" i="1"/>
  <c r="V120" i="1"/>
  <c r="W120" i="1"/>
  <c r="X120" i="1"/>
  <c r="Y120" i="1"/>
  <c r="Z120" i="1"/>
  <c r="AA120" i="1"/>
  <c r="AB120" i="1"/>
  <c r="AC120" i="1"/>
  <c r="AD120" i="1"/>
  <c r="AE120" i="1"/>
  <c r="L121" i="1"/>
  <c r="M121" i="1"/>
  <c r="N121" i="1"/>
  <c r="O121" i="1"/>
  <c r="P121" i="1"/>
  <c r="Q121" i="1"/>
  <c r="R121" i="1"/>
  <c r="S121" i="1"/>
  <c r="T121" i="1"/>
  <c r="U121" i="1"/>
  <c r="V121" i="1"/>
  <c r="W121" i="1"/>
  <c r="X121" i="1"/>
  <c r="Y121" i="1"/>
  <c r="Z121" i="1"/>
  <c r="AA121" i="1"/>
  <c r="AB121" i="1"/>
  <c r="AC121" i="1"/>
  <c r="AD121" i="1"/>
  <c r="AE121" i="1"/>
  <c r="L122" i="1"/>
  <c r="M122" i="1"/>
  <c r="N122" i="1"/>
  <c r="O122" i="1"/>
  <c r="P122" i="1"/>
  <c r="Q122" i="1"/>
  <c r="R122" i="1"/>
  <c r="S122" i="1"/>
  <c r="T122" i="1"/>
  <c r="U122" i="1"/>
  <c r="V122" i="1"/>
  <c r="W122" i="1"/>
  <c r="X122" i="1"/>
  <c r="Y122" i="1"/>
  <c r="Z122" i="1"/>
  <c r="AA122" i="1"/>
  <c r="AB122" i="1"/>
  <c r="AC122" i="1"/>
  <c r="AD122" i="1"/>
  <c r="AE122" i="1"/>
  <c r="L123" i="1"/>
  <c r="M123" i="1"/>
  <c r="N123" i="1"/>
  <c r="O123" i="1"/>
  <c r="P123" i="1"/>
  <c r="Q123" i="1"/>
  <c r="R123" i="1"/>
  <c r="S123" i="1"/>
  <c r="T123" i="1"/>
  <c r="U123" i="1"/>
  <c r="V123" i="1"/>
  <c r="W123" i="1"/>
  <c r="X123" i="1"/>
  <c r="Y123" i="1"/>
  <c r="Z123" i="1"/>
  <c r="AA123" i="1"/>
  <c r="AB123" i="1"/>
  <c r="AC123" i="1"/>
  <c r="AD123" i="1"/>
  <c r="AE123" i="1"/>
  <c r="L124" i="1"/>
  <c r="M124" i="1"/>
  <c r="N124" i="1"/>
  <c r="O124" i="1"/>
  <c r="P124" i="1"/>
  <c r="Q124" i="1"/>
  <c r="R124" i="1"/>
  <c r="S124" i="1"/>
  <c r="T124" i="1"/>
  <c r="U124" i="1"/>
  <c r="V124" i="1"/>
  <c r="W124" i="1"/>
  <c r="X124" i="1"/>
  <c r="Y124" i="1"/>
  <c r="Z124" i="1"/>
  <c r="AA124" i="1"/>
  <c r="AB124" i="1"/>
  <c r="AC124" i="1"/>
  <c r="AD124" i="1"/>
  <c r="AE124" i="1"/>
  <c r="L125" i="1"/>
  <c r="M125" i="1"/>
  <c r="N125" i="1"/>
  <c r="O125" i="1"/>
  <c r="P125" i="1"/>
  <c r="Q125" i="1"/>
  <c r="R125" i="1"/>
  <c r="S125" i="1"/>
  <c r="T125" i="1"/>
  <c r="U125" i="1"/>
  <c r="V125" i="1"/>
  <c r="W125" i="1"/>
  <c r="X125" i="1"/>
  <c r="Y125" i="1"/>
  <c r="Z125" i="1"/>
  <c r="AA125" i="1"/>
  <c r="AB125" i="1"/>
  <c r="AC125" i="1"/>
  <c r="AD125" i="1"/>
  <c r="AE125" i="1"/>
  <c r="L126" i="1"/>
  <c r="M126" i="1"/>
  <c r="N126" i="1"/>
  <c r="O126" i="1"/>
  <c r="P126" i="1"/>
  <c r="Q126" i="1"/>
  <c r="R126" i="1"/>
  <c r="S126" i="1"/>
  <c r="T126" i="1"/>
  <c r="U126" i="1"/>
  <c r="V126" i="1"/>
  <c r="W126" i="1"/>
  <c r="X126" i="1"/>
  <c r="Y126" i="1"/>
  <c r="Z126" i="1"/>
  <c r="AA126" i="1"/>
  <c r="AB126" i="1"/>
  <c r="AC126" i="1"/>
  <c r="AD126" i="1"/>
  <c r="AE126" i="1"/>
  <c r="L127" i="1"/>
  <c r="M127" i="1"/>
  <c r="N127" i="1"/>
  <c r="O127" i="1"/>
  <c r="P127" i="1"/>
  <c r="Q127" i="1"/>
  <c r="R127" i="1"/>
  <c r="S127" i="1"/>
  <c r="T127" i="1"/>
  <c r="U127" i="1"/>
  <c r="V127" i="1"/>
  <c r="W127" i="1"/>
  <c r="X127" i="1"/>
  <c r="Y127" i="1"/>
  <c r="Z127" i="1"/>
  <c r="AA127" i="1"/>
  <c r="AB127" i="1"/>
  <c r="AC127" i="1"/>
  <c r="AD127" i="1"/>
  <c r="AE127" i="1"/>
  <c r="L128" i="1"/>
  <c r="M128" i="1"/>
  <c r="N128" i="1"/>
  <c r="O128" i="1"/>
  <c r="P128" i="1"/>
  <c r="Q128" i="1"/>
  <c r="R128" i="1"/>
  <c r="S128" i="1"/>
  <c r="T128" i="1"/>
  <c r="U128" i="1"/>
  <c r="V128" i="1"/>
  <c r="W128" i="1"/>
  <c r="X128" i="1"/>
  <c r="Y128" i="1"/>
  <c r="Z128" i="1"/>
  <c r="AA128" i="1"/>
  <c r="AB128" i="1"/>
  <c r="AC128" i="1"/>
  <c r="AD128" i="1"/>
  <c r="AE128" i="1"/>
  <c r="L129" i="1"/>
  <c r="M129" i="1"/>
  <c r="N129" i="1"/>
  <c r="O129" i="1"/>
  <c r="P129" i="1"/>
  <c r="Q129" i="1"/>
  <c r="R129" i="1"/>
  <c r="S129" i="1"/>
  <c r="T129" i="1"/>
  <c r="U129" i="1"/>
  <c r="V129" i="1"/>
  <c r="W129" i="1"/>
  <c r="X129" i="1"/>
  <c r="Y129" i="1"/>
  <c r="Z129" i="1"/>
  <c r="AA129" i="1"/>
  <c r="AB129" i="1"/>
  <c r="AC129" i="1"/>
  <c r="AD129" i="1"/>
  <c r="AE129" i="1"/>
  <c r="L130" i="1"/>
  <c r="M130" i="1"/>
  <c r="N130" i="1"/>
  <c r="O130" i="1"/>
  <c r="P130" i="1"/>
  <c r="Q130" i="1"/>
  <c r="R130" i="1"/>
  <c r="S130" i="1"/>
  <c r="T130" i="1"/>
  <c r="U130" i="1"/>
  <c r="V130" i="1"/>
  <c r="W130" i="1"/>
  <c r="X130" i="1"/>
  <c r="Y130" i="1"/>
  <c r="Z130" i="1"/>
  <c r="AA130" i="1"/>
  <c r="AB130" i="1"/>
  <c r="AC130" i="1"/>
  <c r="AD130" i="1"/>
  <c r="AE130" i="1"/>
  <c r="L131" i="1"/>
  <c r="M131" i="1"/>
  <c r="N131" i="1"/>
  <c r="O131" i="1"/>
  <c r="P131" i="1"/>
  <c r="Q131" i="1"/>
  <c r="R131" i="1"/>
  <c r="S131" i="1"/>
  <c r="T131" i="1"/>
  <c r="U131" i="1"/>
  <c r="V131" i="1"/>
  <c r="W131" i="1"/>
  <c r="X131" i="1"/>
  <c r="Y131" i="1"/>
  <c r="Z131" i="1"/>
  <c r="AA131" i="1"/>
  <c r="AB131" i="1"/>
  <c r="AC131" i="1"/>
  <c r="AD131" i="1"/>
  <c r="AE131" i="1"/>
  <c r="L132" i="1"/>
  <c r="M132" i="1"/>
  <c r="N132" i="1"/>
  <c r="O132" i="1"/>
  <c r="P132" i="1"/>
  <c r="Q132" i="1"/>
  <c r="R132" i="1"/>
  <c r="S132" i="1"/>
  <c r="T132" i="1"/>
  <c r="U132" i="1"/>
  <c r="V132" i="1"/>
  <c r="W132" i="1"/>
  <c r="X132" i="1"/>
  <c r="Y132" i="1"/>
  <c r="Z132" i="1"/>
  <c r="AA132" i="1"/>
  <c r="AB132" i="1"/>
  <c r="AC132" i="1"/>
  <c r="AD132" i="1"/>
  <c r="AE132" i="1"/>
  <c r="L133" i="1"/>
  <c r="M133" i="1"/>
  <c r="N133" i="1"/>
  <c r="O133" i="1"/>
  <c r="P133" i="1"/>
  <c r="Q133" i="1"/>
  <c r="R133" i="1"/>
  <c r="S133" i="1"/>
  <c r="T133" i="1"/>
  <c r="U133" i="1"/>
  <c r="V133" i="1"/>
  <c r="W133" i="1"/>
  <c r="X133" i="1"/>
  <c r="Y133" i="1"/>
  <c r="Z133" i="1"/>
  <c r="AA133" i="1"/>
  <c r="AB133" i="1"/>
  <c r="AC133" i="1"/>
  <c r="AD133" i="1"/>
  <c r="AE133" i="1"/>
  <c r="L134" i="1"/>
  <c r="M134" i="1"/>
  <c r="N134" i="1"/>
  <c r="O134" i="1"/>
  <c r="P134" i="1"/>
  <c r="Q134" i="1"/>
  <c r="R134" i="1"/>
  <c r="S134" i="1"/>
  <c r="T134" i="1"/>
  <c r="U134" i="1"/>
  <c r="V134" i="1"/>
  <c r="W134" i="1"/>
  <c r="X134" i="1"/>
  <c r="Y134" i="1"/>
  <c r="Z134" i="1"/>
  <c r="AA134" i="1"/>
  <c r="AB134" i="1"/>
  <c r="AC134" i="1"/>
  <c r="AD134" i="1"/>
  <c r="AE134" i="1"/>
  <c r="L135" i="1"/>
  <c r="M135" i="1"/>
  <c r="N135" i="1"/>
  <c r="O135" i="1"/>
  <c r="P135" i="1"/>
  <c r="Q135" i="1"/>
  <c r="R135" i="1"/>
  <c r="S135" i="1"/>
  <c r="T135" i="1"/>
  <c r="U135" i="1"/>
  <c r="V135" i="1"/>
  <c r="W135" i="1"/>
  <c r="X135" i="1"/>
  <c r="Y135" i="1"/>
  <c r="Z135" i="1"/>
  <c r="AA135" i="1"/>
  <c r="AB135" i="1"/>
  <c r="AC135" i="1"/>
  <c r="AD135" i="1"/>
  <c r="AE135" i="1"/>
  <c r="L136" i="1"/>
  <c r="M136" i="1"/>
  <c r="N136" i="1"/>
  <c r="O136" i="1"/>
  <c r="P136" i="1"/>
  <c r="Q136" i="1"/>
  <c r="R136" i="1"/>
  <c r="S136" i="1"/>
  <c r="T136" i="1"/>
  <c r="U136" i="1"/>
  <c r="V136" i="1"/>
  <c r="W136" i="1"/>
  <c r="X136" i="1"/>
  <c r="Y136" i="1"/>
  <c r="Z136" i="1"/>
  <c r="AA136" i="1"/>
  <c r="AB136" i="1"/>
  <c r="AC136" i="1"/>
  <c r="AD136" i="1"/>
  <c r="AE136" i="1"/>
  <c r="L137" i="1"/>
  <c r="M137" i="1"/>
  <c r="N137" i="1"/>
  <c r="O137" i="1"/>
  <c r="P137" i="1"/>
  <c r="Q137" i="1"/>
  <c r="R137" i="1"/>
  <c r="S137" i="1"/>
  <c r="T137" i="1"/>
  <c r="U137" i="1"/>
  <c r="V137" i="1"/>
  <c r="W137" i="1"/>
  <c r="X137" i="1"/>
  <c r="Y137" i="1"/>
  <c r="Z137" i="1"/>
  <c r="AA137" i="1"/>
  <c r="AB137" i="1"/>
  <c r="AC137" i="1"/>
  <c r="AD137" i="1"/>
  <c r="AE137" i="1"/>
  <c r="L138" i="1"/>
  <c r="M138" i="1"/>
  <c r="N138" i="1"/>
  <c r="O138" i="1"/>
  <c r="P138" i="1"/>
  <c r="Q138" i="1"/>
  <c r="R138" i="1"/>
  <c r="S138" i="1"/>
  <c r="T138" i="1"/>
  <c r="U138" i="1"/>
  <c r="V138" i="1"/>
  <c r="W138" i="1"/>
  <c r="X138" i="1"/>
  <c r="Y138" i="1"/>
  <c r="Z138" i="1"/>
  <c r="AA138" i="1"/>
  <c r="AB138" i="1"/>
  <c r="AC138" i="1"/>
  <c r="AD138" i="1"/>
  <c r="AE138" i="1"/>
  <c r="L139" i="1"/>
  <c r="M139" i="1"/>
  <c r="N139" i="1"/>
  <c r="O139" i="1"/>
  <c r="P139" i="1"/>
  <c r="Q139" i="1"/>
  <c r="R139" i="1"/>
  <c r="S139" i="1"/>
  <c r="T139" i="1"/>
  <c r="U139" i="1"/>
  <c r="V139" i="1"/>
  <c r="W139" i="1"/>
  <c r="X139" i="1"/>
  <c r="Y139" i="1"/>
  <c r="Z139" i="1"/>
  <c r="AA139" i="1"/>
  <c r="AB139" i="1"/>
  <c r="AC139" i="1"/>
  <c r="AD139" i="1"/>
  <c r="AE139" i="1"/>
  <c r="L140" i="1"/>
  <c r="M140" i="1"/>
  <c r="N140" i="1"/>
  <c r="O140" i="1"/>
  <c r="P140" i="1"/>
  <c r="Q140" i="1"/>
  <c r="R140" i="1"/>
  <c r="S140" i="1"/>
  <c r="T140" i="1"/>
  <c r="U140" i="1"/>
  <c r="V140" i="1"/>
  <c r="W140" i="1"/>
  <c r="X140" i="1"/>
  <c r="Y140" i="1"/>
  <c r="Z140" i="1"/>
  <c r="AA140" i="1"/>
  <c r="AB140" i="1"/>
  <c r="AC140" i="1"/>
  <c r="AD140" i="1"/>
  <c r="AE140" i="1"/>
  <c r="L141" i="1"/>
  <c r="M141" i="1"/>
  <c r="N141" i="1"/>
  <c r="O141" i="1"/>
  <c r="P141" i="1"/>
  <c r="Q141" i="1"/>
  <c r="R141" i="1"/>
  <c r="S141" i="1"/>
  <c r="T141" i="1"/>
  <c r="U141" i="1"/>
  <c r="V141" i="1"/>
  <c r="W141" i="1"/>
  <c r="X141" i="1"/>
  <c r="Y141" i="1"/>
  <c r="Z141" i="1"/>
  <c r="AA141" i="1"/>
  <c r="AB141" i="1"/>
  <c r="AC141" i="1"/>
  <c r="AD141" i="1"/>
  <c r="AE141" i="1"/>
  <c r="L142" i="1"/>
  <c r="M142" i="1"/>
  <c r="N142" i="1"/>
  <c r="O142" i="1"/>
  <c r="P142" i="1"/>
  <c r="Q142" i="1"/>
  <c r="R142" i="1"/>
  <c r="S142" i="1"/>
  <c r="T142" i="1"/>
  <c r="U142" i="1"/>
  <c r="V142" i="1"/>
  <c r="W142" i="1"/>
  <c r="X142" i="1"/>
  <c r="Y142" i="1"/>
  <c r="Z142" i="1"/>
  <c r="AA142" i="1"/>
  <c r="AB142" i="1"/>
  <c r="AC142" i="1"/>
  <c r="AD142" i="1"/>
  <c r="AE142" i="1"/>
  <c r="L143" i="1"/>
  <c r="M143" i="1"/>
  <c r="N143" i="1"/>
  <c r="O143" i="1"/>
  <c r="P143" i="1"/>
  <c r="Q143" i="1"/>
  <c r="R143" i="1"/>
  <c r="S143" i="1"/>
  <c r="T143" i="1"/>
  <c r="U143" i="1"/>
  <c r="V143" i="1"/>
  <c r="W143" i="1"/>
  <c r="X143" i="1"/>
  <c r="Y143" i="1"/>
  <c r="Z143" i="1"/>
  <c r="AA143" i="1"/>
  <c r="AB143" i="1"/>
  <c r="AC143" i="1"/>
  <c r="AD143" i="1"/>
  <c r="AE143" i="1"/>
  <c r="L144" i="1"/>
  <c r="M144" i="1"/>
  <c r="N144" i="1"/>
  <c r="O144" i="1"/>
  <c r="P144" i="1"/>
  <c r="Q144" i="1"/>
  <c r="R144" i="1"/>
  <c r="S144" i="1"/>
  <c r="T144" i="1"/>
  <c r="U144" i="1"/>
  <c r="V144" i="1"/>
  <c r="W144" i="1"/>
  <c r="X144" i="1"/>
  <c r="Y144" i="1"/>
  <c r="Z144" i="1"/>
  <c r="AA144" i="1"/>
  <c r="AB144" i="1"/>
  <c r="AC144" i="1"/>
  <c r="AD144" i="1"/>
  <c r="AE144" i="1"/>
  <c r="L145" i="1"/>
  <c r="M145" i="1"/>
  <c r="N145" i="1"/>
  <c r="O145" i="1"/>
  <c r="P145" i="1"/>
  <c r="Q145" i="1"/>
  <c r="R145" i="1"/>
  <c r="S145" i="1"/>
  <c r="T145" i="1"/>
  <c r="U145" i="1"/>
  <c r="V145" i="1"/>
  <c r="W145" i="1"/>
  <c r="X145" i="1"/>
  <c r="Y145" i="1"/>
  <c r="Z145" i="1"/>
  <c r="AA145" i="1"/>
  <c r="AB145" i="1"/>
  <c r="AC145" i="1"/>
  <c r="AD145" i="1"/>
  <c r="AE145" i="1"/>
  <c r="L146" i="1"/>
  <c r="M146" i="1"/>
  <c r="N146" i="1"/>
  <c r="O146" i="1"/>
  <c r="P146" i="1"/>
  <c r="Q146" i="1"/>
  <c r="R146" i="1"/>
  <c r="S146" i="1"/>
  <c r="T146" i="1"/>
  <c r="U146" i="1"/>
  <c r="V146" i="1"/>
  <c r="W146" i="1"/>
  <c r="X146" i="1"/>
  <c r="Y146" i="1"/>
  <c r="Z146" i="1"/>
  <c r="AA146" i="1"/>
  <c r="AB146" i="1"/>
  <c r="AC146" i="1"/>
  <c r="AD146" i="1"/>
  <c r="AE146" i="1"/>
  <c r="L147" i="1"/>
  <c r="M147" i="1"/>
  <c r="N147" i="1"/>
  <c r="O147" i="1"/>
  <c r="P147" i="1"/>
  <c r="Q147" i="1"/>
  <c r="R147" i="1"/>
  <c r="S147" i="1"/>
  <c r="T147" i="1"/>
  <c r="U147" i="1"/>
  <c r="V147" i="1"/>
  <c r="W147" i="1"/>
  <c r="X147" i="1"/>
  <c r="Y147" i="1"/>
  <c r="Z147" i="1"/>
  <c r="AA147" i="1"/>
  <c r="AB147" i="1"/>
  <c r="AC147" i="1"/>
  <c r="AD147" i="1"/>
  <c r="AE147" i="1"/>
  <c r="L148" i="1"/>
  <c r="M148" i="1"/>
  <c r="N148" i="1"/>
  <c r="O148" i="1"/>
  <c r="P148" i="1"/>
  <c r="Q148" i="1"/>
  <c r="R148" i="1"/>
  <c r="S148" i="1"/>
  <c r="T148" i="1"/>
  <c r="U148" i="1"/>
  <c r="V148" i="1"/>
  <c r="W148" i="1"/>
  <c r="X148" i="1"/>
  <c r="Y148" i="1"/>
  <c r="Z148" i="1"/>
  <c r="AA148" i="1"/>
  <c r="AB148" i="1"/>
  <c r="AC148" i="1"/>
  <c r="AD148" i="1"/>
  <c r="AE148" i="1"/>
  <c r="L149" i="1"/>
  <c r="M149" i="1"/>
  <c r="N149" i="1"/>
  <c r="O149" i="1"/>
  <c r="P149" i="1"/>
  <c r="Q149" i="1"/>
  <c r="R149" i="1"/>
  <c r="S149" i="1"/>
  <c r="T149" i="1"/>
  <c r="U149" i="1"/>
  <c r="V149" i="1"/>
  <c r="W149" i="1"/>
  <c r="X149" i="1"/>
  <c r="Y149" i="1"/>
  <c r="Z149" i="1"/>
  <c r="AA149" i="1"/>
  <c r="AB149" i="1"/>
  <c r="AC149" i="1"/>
  <c r="AD149" i="1"/>
  <c r="AE149" i="1"/>
  <c r="L150" i="1"/>
  <c r="M150" i="1"/>
  <c r="N150" i="1"/>
  <c r="O150" i="1"/>
  <c r="P150" i="1"/>
  <c r="Q150" i="1"/>
  <c r="R150" i="1"/>
  <c r="S150" i="1"/>
  <c r="T150" i="1"/>
  <c r="U150" i="1"/>
  <c r="V150" i="1"/>
  <c r="W150" i="1"/>
  <c r="X150" i="1"/>
  <c r="Y150" i="1"/>
  <c r="Z150" i="1"/>
  <c r="AA150" i="1"/>
  <c r="AB150" i="1"/>
  <c r="AC150" i="1"/>
  <c r="AD150" i="1"/>
  <c r="AE150" i="1"/>
  <c r="L151" i="1"/>
  <c r="M151" i="1"/>
  <c r="N151" i="1"/>
  <c r="O151" i="1"/>
  <c r="P151" i="1"/>
  <c r="Q151" i="1"/>
  <c r="R151" i="1"/>
  <c r="S151" i="1"/>
  <c r="T151" i="1"/>
  <c r="U151" i="1"/>
  <c r="V151" i="1"/>
  <c r="W151" i="1"/>
  <c r="X151" i="1"/>
  <c r="Y151" i="1"/>
  <c r="Z151" i="1"/>
  <c r="AA151" i="1"/>
  <c r="AB151" i="1"/>
  <c r="AC151" i="1"/>
  <c r="AD151" i="1"/>
  <c r="AE151" i="1"/>
  <c r="L152" i="1"/>
  <c r="M152" i="1"/>
  <c r="N152" i="1"/>
  <c r="O152" i="1"/>
  <c r="P152" i="1"/>
  <c r="Q152" i="1"/>
  <c r="R152" i="1"/>
  <c r="S152" i="1"/>
  <c r="T152" i="1"/>
  <c r="U152" i="1"/>
  <c r="V152" i="1"/>
  <c r="W152" i="1"/>
  <c r="X152" i="1"/>
  <c r="Y152" i="1"/>
  <c r="Z152" i="1"/>
  <c r="AA152" i="1"/>
  <c r="AB152" i="1"/>
  <c r="AC152" i="1"/>
  <c r="AD152" i="1"/>
  <c r="AE152" i="1"/>
  <c r="L153" i="1"/>
  <c r="M153" i="1"/>
  <c r="N153" i="1"/>
  <c r="O153" i="1"/>
  <c r="P153" i="1"/>
  <c r="Q153" i="1"/>
  <c r="R153" i="1"/>
  <c r="S153" i="1"/>
  <c r="T153" i="1"/>
  <c r="U153" i="1"/>
  <c r="V153" i="1"/>
  <c r="W153" i="1"/>
  <c r="X153" i="1"/>
  <c r="Y153" i="1"/>
  <c r="Z153" i="1"/>
  <c r="AA153" i="1"/>
  <c r="AB153" i="1"/>
  <c r="AC153" i="1"/>
  <c r="AD153" i="1"/>
  <c r="AE153" i="1"/>
  <c r="L154" i="1"/>
  <c r="M154" i="1"/>
  <c r="N154" i="1"/>
  <c r="O154" i="1"/>
  <c r="P154" i="1"/>
  <c r="Q154" i="1"/>
  <c r="R154" i="1"/>
  <c r="S154" i="1"/>
  <c r="T154" i="1"/>
  <c r="U154" i="1"/>
  <c r="V154" i="1"/>
  <c r="W154" i="1"/>
  <c r="X154" i="1"/>
  <c r="Y154" i="1"/>
  <c r="Z154" i="1"/>
  <c r="AA154" i="1"/>
  <c r="AB154" i="1"/>
  <c r="AC154" i="1"/>
  <c r="AD154" i="1"/>
  <c r="AE154" i="1"/>
  <c r="L155" i="1"/>
  <c r="M155" i="1"/>
  <c r="N155" i="1"/>
  <c r="O155" i="1"/>
  <c r="P155" i="1"/>
  <c r="Q155" i="1"/>
  <c r="R155" i="1"/>
  <c r="S155" i="1"/>
  <c r="T155" i="1"/>
  <c r="U155" i="1"/>
  <c r="V155" i="1"/>
  <c r="W155" i="1"/>
  <c r="X155" i="1"/>
  <c r="Y155" i="1"/>
  <c r="Z155" i="1"/>
  <c r="AA155" i="1"/>
  <c r="AB155" i="1"/>
  <c r="AC155" i="1"/>
  <c r="AD155" i="1"/>
  <c r="AE155" i="1"/>
  <c r="L156" i="1"/>
  <c r="M156" i="1"/>
  <c r="N156" i="1"/>
  <c r="O156" i="1"/>
  <c r="P156" i="1"/>
  <c r="Q156" i="1"/>
  <c r="R156" i="1"/>
  <c r="S156" i="1"/>
  <c r="T156" i="1"/>
  <c r="U156" i="1"/>
  <c r="V156" i="1"/>
  <c r="W156" i="1"/>
  <c r="X156" i="1"/>
  <c r="Y156" i="1"/>
  <c r="Z156" i="1"/>
  <c r="AA156" i="1"/>
  <c r="AB156" i="1"/>
  <c r="AC156" i="1"/>
  <c r="AD156" i="1"/>
  <c r="AE156" i="1"/>
  <c r="L157" i="1"/>
  <c r="M157" i="1"/>
  <c r="N157" i="1"/>
  <c r="O157" i="1"/>
  <c r="P157" i="1"/>
  <c r="Q157" i="1"/>
  <c r="R157" i="1"/>
  <c r="S157" i="1"/>
  <c r="T157" i="1"/>
  <c r="U157" i="1"/>
  <c r="V157" i="1"/>
  <c r="W157" i="1"/>
  <c r="X157" i="1"/>
  <c r="Y157" i="1"/>
  <c r="Z157" i="1"/>
  <c r="AA157" i="1"/>
  <c r="AB157" i="1"/>
  <c r="AC157" i="1"/>
  <c r="AD157" i="1"/>
  <c r="AE157" i="1"/>
  <c r="L158" i="1"/>
  <c r="M158" i="1"/>
  <c r="N158" i="1"/>
  <c r="O158" i="1"/>
  <c r="P158" i="1"/>
  <c r="Q158" i="1"/>
  <c r="R158" i="1"/>
  <c r="S158" i="1"/>
  <c r="T158" i="1"/>
  <c r="U158" i="1"/>
  <c r="V158" i="1"/>
  <c r="W158" i="1"/>
  <c r="X158" i="1"/>
  <c r="Y158" i="1"/>
  <c r="Z158" i="1"/>
  <c r="AA158" i="1"/>
  <c r="AB158" i="1"/>
  <c r="AC158" i="1"/>
  <c r="AD158" i="1"/>
  <c r="AE158" i="1"/>
  <c r="L159" i="1"/>
  <c r="M159" i="1"/>
  <c r="N159" i="1"/>
  <c r="O159" i="1"/>
  <c r="P159" i="1"/>
  <c r="Q159" i="1"/>
  <c r="R159" i="1"/>
  <c r="S159" i="1"/>
  <c r="T159" i="1"/>
  <c r="U159" i="1"/>
  <c r="V159" i="1"/>
  <c r="W159" i="1"/>
  <c r="X159" i="1"/>
  <c r="Y159" i="1"/>
  <c r="Z159" i="1"/>
  <c r="AA159" i="1"/>
  <c r="AB159" i="1"/>
  <c r="AC159" i="1"/>
  <c r="AD159" i="1"/>
  <c r="AE159" i="1"/>
  <c r="L160" i="1"/>
  <c r="M160" i="1"/>
  <c r="N160" i="1"/>
  <c r="O160" i="1"/>
  <c r="P160" i="1"/>
  <c r="Q160" i="1"/>
  <c r="R160" i="1"/>
  <c r="S160" i="1"/>
  <c r="T160" i="1"/>
  <c r="U160" i="1"/>
  <c r="V160" i="1"/>
  <c r="W160" i="1"/>
  <c r="X160" i="1"/>
  <c r="Y160" i="1"/>
  <c r="Z160" i="1"/>
  <c r="AA160" i="1"/>
  <c r="AB160" i="1"/>
  <c r="AC160" i="1"/>
  <c r="AD160" i="1"/>
  <c r="AE160" i="1"/>
  <c r="L161" i="1"/>
  <c r="M161" i="1"/>
  <c r="N161" i="1"/>
  <c r="O161" i="1"/>
  <c r="P161" i="1"/>
  <c r="Q161" i="1"/>
  <c r="R161" i="1"/>
  <c r="S161" i="1"/>
  <c r="T161" i="1"/>
  <c r="U161" i="1"/>
  <c r="V161" i="1"/>
  <c r="W161" i="1"/>
  <c r="X161" i="1"/>
  <c r="Y161" i="1"/>
  <c r="Z161" i="1"/>
  <c r="AA161" i="1"/>
  <c r="AB161" i="1"/>
  <c r="AC161" i="1"/>
  <c r="AD161" i="1"/>
  <c r="AE161" i="1"/>
  <c r="L162" i="1"/>
  <c r="M162" i="1"/>
  <c r="N162" i="1"/>
  <c r="O162" i="1"/>
  <c r="P162" i="1"/>
  <c r="Q162" i="1"/>
  <c r="R162" i="1"/>
  <c r="S162" i="1"/>
  <c r="T162" i="1"/>
  <c r="U162" i="1"/>
  <c r="V162" i="1"/>
  <c r="W162" i="1"/>
  <c r="X162" i="1"/>
  <c r="Y162" i="1"/>
  <c r="Z162" i="1"/>
  <c r="AA162" i="1"/>
  <c r="AB162" i="1"/>
  <c r="AC162" i="1"/>
  <c r="AD162" i="1"/>
  <c r="AE162" i="1"/>
  <c r="L163" i="1"/>
  <c r="M163" i="1"/>
  <c r="N163" i="1"/>
  <c r="O163" i="1"/>
  <c r="P163" i="1"/>
  <c r="Q163" i="1"/>
  <c r="R163" i="1"/>
  <c r="S163" i="1"/>
  <c r="T163" i="1"/>
  <c r="U163" i="1"/>
  <c r="V163" i="1"/>
  <c r="W163" i="1"/>
  <c r="X163" i="1"/>
  <c r="Y163" i="1"/>
  <c r="Z163" i="1"/>
  <c r="AA163" i="1"/>
  <c r="AB163" i="1"/>
  <c r="AC163" i="1"/>
  <c r="AD163" i="1"/>
  <c r="AE163" i="1"/>
  <c r="L164" i="1"/>
  <c r="M164" i="1"/>
  <c r="N164" i="1"/>
  <c r="O164" i="1"/>
  <c r="P164" i="1"/>
  <c r="Q164" i="1"/>
  <c r="R164" i="1"/>
  <c r="S164" i="1"/>
  <c r="T164" i="1"/>
  <c r="U164" i="1"/>
  <c r="V164" i="1"/>
  <c r="W164" i="1"/>
  <c r="X164" i="1"/>
  <c r="Y164" i="1"/>
  <c r="Z164" i="1"/>
  <c r="AA164" i="1"/>
  <c r="AB164" i="1"/>
  <c r="AC164" i="1"/>
  <c r="AD164" i="1"/>
  <c r="AE164" i="1"/>
  <c r="L165" i="1"/>
  <c r="M165" i="1"/>
  <c r="N165" i="1"/>
  <c r="O165" i="1"/>
  <c r="P165" i="1"/>
  <c r="Q165" i="1"/>
  <c r="R165" i="1"/>
  <c r="S165" i="1"/>
  <c r="T165" i="1"/>
  <c r="U165" i="1"/>
  <c r="V165" i="1"/>
  <c r="W165" i="1"/>
  <c r="X165" i="1"/>
  <c r="Y165" i="1"/>
  <c r="Z165" i="1"/>
  <c r="AA165" i="1"/>
  <c r="AB165" i="1"/>
  <c r="AC165" i="1"/>
  <c r="AD165" i="1"/>
  <c r="AE165" i="1"/>
  <c r="L166" i="1"/>
  <c r="M166" i="1"/>
  <c r="N166" i="1"/>
  <c r="O166" i="1"/>
  <c r="P166" i="1"/>
  <c r="Q166" i="1"/>
  <c r="R166" i="1"/>
  <c r="S166" i="1"/>
  <c r="T166" i="1"/>
  <c r="U166" i="1"/>
  <c r="V166" i="1"/>
  <c r="W166" i="1"/>
  <c r="X166" i="1"/>
  <c r="Y166" i="1"/>
  <c r="Z166" i="1"/>
  <c r="AA166" i="1"/>
  <c r="AB166" i="1"/>
  <c r="AC166" i="1"/>
  <c r="AD166" i="1"/>
  <c r="AE166" i="1"/>
  <c r="L167" i="1"/>
  <c r="M167" i="1"/>
  <c r="N167" i="1"/>
  <c r="O167" i="1"/>
  <c r="P167" i="1"/>
  <c r="Q167" i="1"/>
  <c r="R167" i="1"/>
  <c r="S167" i="1"/>
  <c r="T167" i="1"/>
  <c r="U167" i="1"/>
  <c r="V167" i="1"/>
  <c r="W167" i="1"/>
  <c r="X167" i="1"/>
  <c r="Y167" i="1"/>
  <c r="Z167" i="1"/>
  <c r="AA167" i="1"/>
  <c r="AB167" i="1"/>
  <c r="AC167" i="1"/>
  <c r="AD167" i="1"/>
  <c r="AE167" i="1"/>
  <c r="L168" i="1"/>
  <c r="M168" i="1"/>
  <c r="N168" i="1"/>
  <c r="O168" i="1"/>
  <c r="P168" i="1"/>
  <c r="Q168" i="1"/>
  <c r="R168" i="1"/>
  <c r="S168" i="1"/>
  <c r="T168" i="1"/>
  <c r="U168" i="1"/>
  <c r="V168" i="1"/>
  <c r="W168" i="1"/>
  <c r="X168" i="1"/>
  <c r="Y168" i="1"/>
  <c r="Z168" i="1"/>
  <c r="AA168" i="1"/>
  <c r="AB168" i="1"/>
  <c r="AC168" i="1"/>
  <c r="AD168" i="1"/>
  <c r="AE168" i="1"/>
  <c r="L169" i="1"/>
  <c r="M169" i="1"/>
  <c r="N169" i="1"/>
  <c r="O169" i="1"/>
  <c r="P169" i="1"/>
  <c r="Q169" i="1"/>
  <c r="R169" i="1"/>
  <c r="S169" i="1"/>
  <c r="T169" i="1"/>
  <c r="U169" i="1"/>
  <c r="V169" i="1"/>
  <c r="W169" i="1"/>
  <c r="X169" i="1"/>
  <c r="Y169" i="1"/>
  <c r="Z169" i="1"/>
  <c r="AA169" i="1"/>
  <c r="AB169" i="1"/>
  <c r="AC169" i="1"/>
  <c r="AD169" i="1"/>
  <c r="AE169" i="1"/>
  <c r="L170" i="1"/>
  <c r="M170" i="1"/>
  <c r="N170" i="1"/>
  <c r="O170" i="1"/>
  <c r="P170" i="1"/>
  <c r="Q170" i="1"/>
  <c r="R170" i="1"/>
  <c r="S170" i="1"/>
  <c r="T170" i="1"/>
  <c r="U170" i="1"/>
  <c r="V170" i="1"/>
  <c r="W170" i="1"/>
  <c r="X170" i="1"/>
  <c r="Y170" i="1"/>
  <c r="Z170" i="1"/>
  <c r="AA170" i="1"/>
  <c r="AB170" i="1"/>
  <c r="AC170" i="1"/>
  <c r="AD170" i="1"/>
  <c r="AE170" i="1"/>
  <c r="L171" i="1"/>
  <c r="M171" i="1"/>
  <c r="N171" i="1"/>
  <c r="O171" i="1"/>
  <c r="P171" i="1"/>
  <c r="Q171" i="1"/>
  <c r="R171" i="1"/>
  <c r="S171" i="1"/>
  <c r="T171" i="1"/>
  <c r="U171" i="1"/>
  <c r="V171" i="1"/>
  <c r="W171" i="1"/>
  <c r="X171" i="1"/>
  <c r="Y171" i="1"/>
  <c r="Z171" i="1"/>
  <c r="AA171" i="1"/>
  <c r="AB171" i="1"/>
  <c r="AC171" i="1"/>
  <c r="AD171" i="1"/>
  <c r="AE171" i="1"/>
  <c r="L172" i="1"/>
  <c r="M172" i="1"/>
  <c r="N172" i="1"/>
  <c r="O172" i="1"/>
  <c r="P172" i="1"/>
  <c r="Q172" i="1"/>
  <c r="R172" i="1"/>
  <c r="S172" i="1"/>
  <c r="T172" i="1"/>
  <c r="U172" i="1"/>
  <c r="V172" i="1"/>
  <c r="W172" i="1"/>
  <c r="X172" i="1"/>
  <c r="Y172" i="1"/>
  <c r="Z172" i="1"/>
  <c r="AA172" i="1"/>
  <c r="AB172" i="1"/>
  <c r="AC172" i="1"/>
  <c r="AD172" i="1"/>
  <c r="AE172" i="1"/>
  <c r="L173" i="1"/>
  <c r="M173" i="1"/>
  <c r="N173" i="1"/>
  <c r="O173" i="1"/>
  <c r="P173" i="1"/>
  <c r="Q173" i="1"/>
  <c r="R173" i="1"/>
  <c r="S173" i="1"/>
  <c r="T173" i="1"/>
  <c r="U173" i="1"/>
  <c r="V173" i="1"/>
  <c r="W173" i="1"/>
  <c r="X173" i="1"/>
  <c r="Y173" i="1"/>
  <c r="Z173" i="1"/>
  <c r="AA173" i="1"/>
  <c r="AB173" i="1"/>
  <c r="AC173" i="1"/>
  <c r="AD173" i="1"/>
  <c r="AE173" i="1"/>
  <c r="L174" i="1"/>
  <c r="M174" i="1"/>
  <c r="N174" i="1"/>
  <c r="O174" i="1"/>
  <c r="P174" i="1"/>
  <c r="Q174" i="1"/>
  <c r="R174" i="1"/>
  <c r="S174" i="1"/>
  <c r="T174" i="1"/>
  <c r="U174" i="1"/>
  <c r="V174" i="1"/>
  <c r="W174" i="1"/>
  <c r="X174" i="1"/>
  <c r="Y174" i="1"/>
  <c r="Z174" i="1"/>
  <c r="AA174" i="1"/>
  <c r="AB174" i="1"/>
  <c r="AC174" i="1"/>
  <c r="AD174" i="1"/>
  <c r="AE174" i="1"/>
  <c r="L175" i="1"/>
  <c r="M175" i="1"/>
  <c r="N175" i="1"/>
  <c r="O175" i="1"/>
  <c r="P175" i="1"/>
  <c r="Q175" i="1"/>
  <c r="R175" i="1"/>
  <c r="S175" i="1"/>
  <c r="T175" i="1"/>
  <c r="U175" i="1"/>
  <c r="V175" i="1"/>
  <c r="W175" i="1"/>
  <c r="X175" i="1"/>
  <c r="Y175" i="1"/>
  <c r="Z175" i="1"/>
  <c r="AA175" i="1"/>
  <c r="AB175" i="1"/>
  <c r="AC175" i="1"/>
  <c r="AD175" i="1"/>
  <c r="AE175" i="1"/>
  <c r="L176" i="1"/>
  <c r="M176" i="1"/>
  <c r="N176" i="1"/>
  <c r="O176" i="1"/>
  <c r="P176" i="1"/>
  <c r="Q176" i="1"/>
  <c r="R176" i="1"/>
  <c r="S176" i="1"/>
  <c r="T176" i="1"/>
  <c r="U176" i="1"/>
  <c r="V176" i="1"/>
  <c r="W176" i="1"/>
  <c r="X176" i="1"/>
  <c r="Y176" i="1"/>
  <c r="Z176" i="1"/>
  <c r="AA176" i="1"/>
  <c r="AB176" i="1"/>
  <c r="AC176" i="1"/>
  <c r="AD176" i="1"/>
  <c r="AE176" i="1"/>
  <c r="L177" i="1"/>
  <c r="M177" i="1"/>
  <c r="N177" i="1"/>
  <c r="O177" i="1"/>
  <c r="P177" i="1"/>
  <c r="Q177" i="1"/>
  <c r="R177" i="1"/>
  <c r="S177" i="1"/>
  <c r="T177" i="1"/>
  <c r="U177" i="1"/>
  <c r="V177" i="1"/>
  <c r="W177" i="1"/>
  <c r="X177" i="1"/>
  <c r="Y177" i="1"/>
  <c r="Z177" i="1"/>
  <c r="AA177" i="1"/>
  <c r="AB177" i="1"/>
  <c r="AC177" i="1"/>
  <c r="AD177" i="1"/>
  <c r="AE177" i="1"/>
  <c r="L178" i="1"/>
  <c r="M178" i="1"/>
  <c r="N178" i="1"/>
  <c r="O178" i="1"/>
  <c r="P178" i="1"/>
  <c r="Q178" i="1"/>
  <c r="R178" i="1"/>
  <c r="S178" i="1"/>
  <c r="T178" i="1"/>
  <c r="U178" i="1"/>
  <c r="V178" i="1"/>
  <c r="W178" i="1"/>
  <c r="X178" i="1"/>
  <c r="Y178" i="1"/>
  <c r="Z178" i="1"/>
  <c r="AA178" i="1"/>
  <c r="AB178" i="1"/>
  <c r="AC178" i="1"/>
  <c r="AD178" i="1"/>
  <c r="AE178" i="1"/>
  <c r="L179" i="1"/>
  <c r="M179" i="1"/>
  <c r="N179" i="1"/>
  <c r="O179" i="1"/>
  <c r="P179" i="1"/>
  <c r="Q179" i="1"/>
  <c r="R179" i="1"/>
  <c r="S179" i="1"/>
  <c r="T179" i="1"/>
  <c r="U179" i="1"/>
  <c r="V179" i="1"/>
  <c r="W179" i="1"/>
  <c r="X179" i="1"/>
  <c r="Y179" i="1"/>
  <c r="Z179" i="1"/>
  <c r="AA179" i="1"/>
  <c r="AB179" i="1"/>
  <c r="AC179" i="1"/>
  <c r="AD179" i="1"/>
  <c r="AE179" i="1"/>
  <c r="L180" i="1"/>
  <c r="M180" i="1"/>
  <c r="N180" i="1"/>
  <c r="O180" i="1"/>
  <c r="P180" i="1"/>
  <c r="Q180" i="1"/>
  <c r="R180" i="1"/>
  <c r="S180" i="1"/>
  <c r="T180" i="1"/>
  <c r="U180" i="1"/>
  <c r="V180" i="1"/>
  <c r="W180" i="1"/>
  <c r="X180" i="1"/>
  <c r="Y180" i="1"/>
  <c r="Z180" i="1"/>
  <c r="AA180" i="1"/>
  <c r="AB180" i="1"/>
  <c r="AC180" i="1"/>
  <c r="AD180" i="1"/>
  <c r="AE180" i="1"/>
  <c r="L181" i="1"/>
  <c r="M181" i="1"/>
  <c r="N181" i="1"/>
  <c r="O181" i="1"/>
  <c r="P181" i="1"/>
  <c r="Q181" i="1"/>
  <c r="R181" i="1"/>
  <c r="S181" i="1"/>
  <c r="T181" i="1"/>
  <c r="U181" i="1"/>
  <c r="V181" i="1"/>
  <c r="W181" i="1"/>
  <c r="X181" i="1"/>
  <c r="Y181" i="1"/>
  <c r="Z181" i="1"/>
  <c r="AA181" i="1"/>
  <c r="AB181" i="1"/>
  <c r="AC181" i="1"/>
  <c r="AD181" i="1"/>
  <c r="AE181" i="1"/>
  <c r="L182" i="1"/>
  <c r="M182" i="1"/>
  <c r="N182" i="1"/>
  <c r="O182" i="1"/>
  <c r="P182" i="1"/>
  <c r="Q182" i="1"/>
  <c r="R182" i="1"/>
  <c r="S182" i="1"/>
  <c r="T182" i="1"/>
  <c r="U182" i="1"/>
  <c r="V182" i="1"/>
  <c r="W182" i="1"/>
  <c r="X182" i="1"/>
  <c r="Y182" i="1"/>
  <c r="Z182" i="1"/>
  <c r="AA182" i="1"/>
  <c r="AB182" i="1"/>
  <c r="AC182" i="1"/>
  <c r="AD182" i="1"/>
  <c r="AE182" i="1"/>
  <c r="L183" i="1"/>
  <c r="M183" i="1"/>
  <c r="N183" i="1"/>
  <c r="O183" i="1"/>
  <c r="P183" i="1"/>
  <c r="Q183" i="1"/>
  <c r="R183" i="1"/>
  <c r="S183" i="1"/>
  <c r="T183" i="1"/>
  <c r="U183" i="1"/>
  <c r="V183" i="1"/>
  <c r="W183" i="1"/>
  <c r="X183" i="1"/>
  <c r="Y183" i="1"/>
  <c r="Z183" i="1"/>
  <c r="AA183" i="1"/>
  <c r="AB183" i="1"/>
  <c r="AC183" i="1"/>
  <c r="AD183" i="1"/>
  <c r="AE183" i="1"/>
  <c r="L184" i="1"/>
  <c r="M184" i="1"/>
  <c r="N184" i="1"/>
  <c r="O184" i="1"/>
  <c r="P184" i="1"/>
  <c r="Q184" i="1"/>
  <c r="R184" i="1"/>
  <c r="S184" i="1"/>
  <c r="T184" i="1"/>
  <c r="U184" i="1"/>
  <c r="V184" i="1"/>
  <c r="W184" i="1"/>
  <c r="X184" i="1"/>
  <c r="Y184" i="1"/>
  <c r="Z184" i="1"/>
  <c r="AA184" i="1"/>
  <c r="AB184" i="1"/>
  <c r="AC184" i="1"/>
  <c r="AD184" i="1"/>
  <c r="AE184" i="1"/>
  <c r="L185" i="1"/>
  <c r="M185" i="1"/>
  <c r="N185" i="1"/>
  <c r="O185" i="1"/>
  <c r="P185" i="1"/>
  <c r="Q185" i="1"/>
  <c r="R185" i="1"/>
  <c r="S185" i="1"/>
  <c r="T185" i="1"/>
  <c r="U185" i="1"/>
  <c r="V185" i="1"/>
  <c r="W185" i="1"/>
  <c r="X185" i="1"/>
  <c r="Y185" i="1"/>
  <c r="Z185" i="1"/>
  <c r="AA185" i="1"/>
  <c r="AB185" i="1"/>
  <c r="AC185" i="1"/>
  <c r="AD185" i="1"/>
  <c r="AE185" i="1"/>
  <c r="L186" i="1"/>
  <c r="M186" i="1"/>
  <c r="N186" i="1"/>
  <c r="O186" i="1"/>
  <c r="P186" i="1"/>
  <c r="Q186" i="1"/>
  <c r="R186" i="1"/>
  <c r="S186" i="1"/>
  <c r="T186" i="1"/>
  <c r="U186" i="1"/>
  <c r="V186" i="1"/>
  <c r="W186" i="1"/>
  <c r="X186" i="1"/>
  <c r="Y186" i="1"/>
  <c r="Z186" i="1"/>
  <c r="AA186" i="1"/>
  <c r="AB186" i="1"/>
  <c r="AC186" i="1"/>
  <c r="AD186" i="1"/>
  <c r="AE186" i="1"/>
  <c r="L187" i="1"/>
  <c r="M187" i="1"/>
  <c r="N187" i="1"/>
  <c r="O187" i="1"/>
  <c r="P187" i="1"/>
  <c r="Q187" i="1"/>
  <c r="R187" i="1"/>
  <c r="S187" i="1"/>
  <c r="T187" i="1"/>
  <c r="U187" i="1"/>
  <c r="V187" i="1"/>
  <c r="W187" i="1"/>
  <c r="X187" i="1"/>
  <c r="Y187" i="1"/>
  <c r="Z187" i="1"/>
  <c r="AA187" i="1"/>
  <c r="AB187" i="1"/>
  <c r="AC187" i="1"/>
  <c r="AD187" i="1"/>
  <c r="AE187" i="1"/>
  <c r="L188" i="1"/>
  <c r="M188" i="1"/>
  <c r="N188" i="1"/>
  <c r="O188" i="1"/>
  <c r="P188" i="1"/>
  <c r="Q188" i="1"/>
  <c r="R188" i="1"/>
  <c r="S188" i="1"/>
  <c r="T188" i="1"/>
  <c r="U188" i="1"/>
  <c r="V188" i="1"/>
  <c r="W188" i="1"/>
  <c r="X188" i="1"/>
  <c r="Y188" i="1"/>
  <c r="Z188" i="1"/>
  <c r="AA188" i="1"/>
  <c r="AB188" i="1"/>
  <c r="AC188" i="1"/>
  <c r="AD188" i="1"/>
  <c r="AE188" i="1"/>
  <c r="L189" i="1"/>
  <c r="M189" i="1"/>
  <c r="N189" i="1"/>
  <c r="O189" i="1"/>
  <c r="P189" i="1"/>
  <c r="Q189" i="1"/>
  <c r="R189" i="1"/>
  <c r="S189" i="1"/>
  <c r="T189" i="1"/>
  <c r="U189" i="1"/>
  <c r="V189" i="1"/>
  <c r="W189" i="1"/>
  <c r="X189" i="1"/>
  <c r="Y189" i="1"/>
  <c r="Z189" i="1"/>
  <c r="AA189" i="1"/>
  <c r="AB189" i="1"/>
  <c r="AC189" i="1"/>
  <c r="AD189" i="1"/>
  <c r="AE189" i="1"/>
  <c r="L190" i="1"/>
  <c r="M190" i="1"/>
  <c r="N190" i="1"/>
  <c r="O190" i="1"/>
  <c r="P190" i="1"/>
  <c r="Q190" i="1"/>
  <c r="R190" i="1"/>
  <c r="S190" i="1"/>
  <c r="T190" i="1"/>
  <c r="U190" i="1"/>
  <c r="V190" i="1"/>
  <c r="W190" i="1"/>
  <c r="X190" i="1"/>
  <c r="Y190" i="1"/>
  <c r="Z190" i="1"/>
  <c r="AA190" i="1"/>
  <c r="AB190" i="1"/>
  <c r="AC190" i="1"/>
  <c r="AD190" i="1"/>
  <c r="AE190" i="1"/>
  <c r="L191" i="1"/>
  <c r="M191" i="1"/>
  <c r="N191" i="1"/>
  <c r="O191" i="1"/>
  <c r="P191" i="1"/>
  <c r="Q191" i="1"/>
  <c r="R191" i="1"/>
  <c r="S191" i="1"/>
  <c r="T191" i="1"/>
  <c r="U191" i="1"/>
  <c r="V191" i="1"/>
  <c r="W191" i="1"/>
  <c r="X191" i="1"/>
  <c r="Y191" i="1"/>
  <c r="Z191" i="1"/>
  <c r="AA191" i="1"/>
  <c r="AB191" i="1"/>
  <c r="AC191" i="1"/>
  <c r="AD191" i="1"/>
  <c r="AE191" i="1"/>
  <c r="L192" i="1"/>
  <c r="M192" i="1"/>
  <c r="N192" i="1"/>
  <c r="O192" i="1"/>
  <c r="P192" i="1"/>
  <c r="Q192" i="1"/>
  <c r="R192" i="1"/>
  <c r="S192" i="1"/>
  <c r="T192" i="1"/>
  <c r="U192" i="1"/>
  <c r="V192" i="1"/>
  <c r="W192" i="1"/>
  <c r="X192" i="1"/>
  <c r="Y192" i="1"/>
  <c r="Z192" i="1"/>
  <c r="AA192" i="1"/>
  <c r="AB192" i="1"/>
  <c r="AC192" i="1"/>
  <c r="AD192" i="1"/>
  <c r="AE192" i="1"/>
  <c r="L193" i="1"/>
  <c r="M193" i="1"/>
  <c r="N193" i="1"/>
  <c r="O193" i="1"/>
  <c r="P193" i="1"/>
  <c r="Q193" i="1"/>
  <c r="R193" i="1"/>
  <c r="S193" i="1"/>
  <c r="T193" i="1"/>
  <c r="U193" i="1"/>
  <c r="V193" i="1"/>
  <c r="W193" i="1"/>
  <c r="X193" i="1"/>
  <c r="Y193" i="1"/>
  <c r="Z193" i="1"/>
  <c r="AA193" i="1"/>
  <c r="AB193" i="1"/>
  <c r="AC193" i="1"/>
  <c r="AD193" i="1"/>
  <c r="AE193" i="1"/>
  <c r="L194" i="1"/>
  <c r="M194" i="1"/>
  <c r="N194" i="1"/>
  <c r="O194" i="1"/>
  <c r="P194" i="1"/>
  <c r="Q194" i="1"/>
  <c r="R194" i="1"/>
  <c r="S194" i="1"/>
  <c r="T194" i="1"/>
  <c r="U194" i="1"/>
  <c r="V194" i="1"/>
  <c r="W194" i="1"/>
  <c r="X194" i="1"/>
  <c r="Y194" i="1"/>
  <c r="Z194" i="1"/>
  <c r="AA194" i="1"/>
  <c r="AB194" i="1"/>
  <c r="AC194" i="1"/>
  <c r="AD194" i="1"/>
  <c r="AE194" i="1"/>
  <c r="L195" i="1"/>
  <c r="M195" i="1"/>
  <c r="N195" i="1"/>
  <c r="O195" i="1"/>
  <c r="P195" i="1"/>
  <c r="Q195" i="1"/>
  <c r="R195" i="1"/>
  <c r="S195" i="1"/>
  <c r="T195" i="1"/>
  <c r="U195" i="1"/>
  <c r="V195" i="1"/>
  <c r="W195" i="1"/>
  <c r="X195" i="1"/>
  <c r="Y195" i="1"/>
  <c r="Z195" i="1"/>
  <c r="AA195" i="1"/>
  <c r="AB195" i="1"/>
  <c r="AC195" i="1"/>
  <c r="AD195" i="1"/>
  <c r="AE195" i="1"/>
  <c r="L196" i="1"/>
  <c r="M196" i="1"/>
  <c r="N196" i="1"/>
  <c r="O196" i="1"/>
  <c r="P196" i="1"/>
  <c r="Q196" i="1"/>
  <c r="R196" i="1"/>
  <c r="S196" i="1"/>
  <c r="T196" i="1"/>
  <c r="U196" i="1"/>
  <c r="V196" i="1"/>
  <c r="W196" i="1"/>
  <c r="X196" i="1"/>
  <c r="Y196" i="1"/>
  <c r="Z196" i="1"/>
  <c r="AA196" i="1"/>
  <c r="AB196" i="1"/>
  <c r="AC196" i="1"/>
  <c r="AD196" i="1"/>
  <c r="AE196" i="1"/>
  <c r="L197" i="1"/>
  <c r="M197" i="1"/>
  <c r="N197" i="1"/>
  <c r="O197" i="1"/>
  <c r="P197" i="1"/>
  <c r="Q197" i="1"/>
  <c r="R197" i="1"/>
  <c r="S197" i="1"/>
  <c r="T197" i="1"/>
  <c r="U197" i="1"/>
  <c r="V197" i="1"/>
  <c r="W197" i="1"/>
  <c r="X197" i="1"/>
  <c r="Y197" i="1"/>
  <c r="Z197" i="1"/>
  <c r="AA197" i="1"/>
  <c r="AB197" i="1"/>
  <c r="AC197" i="1"/>
  <c r="AD197" i="1"/>
  <c r="AE197" i="1"/>
  <c r="L198" i="1"/>
  <c r="M198" i="1"/>
  <c r="N198" i="1"/>
  <c r="O198" i="1"/>
  <c r="P198" i="1"/>
  <c r="Q198" i="1"/>
  <c r="R198" i="1"/>
  <c r="S198" i="1"/>
  <c r="T198" i="1"/>
  <c r="U198" i="1"/>
  <c r="V198" i="1"/>
  <c r="W198" i="1"/>
  <c r="X198" i="1"/>
  <c r="Y198" i="1"/>
  <c r="Z198" i="1"/>
  <c r="AA198" i="1"/>
  <c r="AB198" i="1"/>
  <c r="AC198" i="1"/>
  <c r="AD198" i="1"/>
  <c r="AE198" i="1"/>
  <c r="L199" i="1"/>
  <c r="M199" i="1"/>
  <c r="N199" i="1"/>
  <c r="O199" i="1"/>
  <c r="P199" i="1"/>
  <c r="Q199" i="1"/>
  <c r="R199" i="1"/>
  <c r="S199" i="1"/>
  <c r="T199" i="1"/>
  <c r="U199" i="1"/>
  <c r="V199" i="1"/>
  <c r="W199" i="1"/>
  <c r="X199" i="1"/>
  <c r="Y199" i="1"/>
  <c r="Z199" i="1"/>
  <c r="AA199" i="1"/>
  <c r="AB199" i="1"/>
  <c r="AC199" i="1"/>
  <c r="AD199" i="1"/>
  <c r="AE199" i="1"/>
  <c r="L200" i="1"/>
  <c r="M200" i="1"/>
  <c r="N200" i="1"/>
  <c r="O200" i="1"/>
  <c r="P200" i="1"/>
  <c r="Q200" i="1"/>
  <c r="R200" i="1"/>
  <c r="S200" i="1"/>
  <c r="T200" i="1"/>
  <c r="U200" i="1"/>
  <c r="V200" i="1"/>
  <c r="W200" i="1"/>
  <c r="X200" i="1"/>
  <c r="Y200" i="1"/>
  <c r="Z200" i="1"/>
  <c r="AA200" i="1"/>
  <c r="AB200" i="1"/>
  <c r="AC200" i="1"/>
  <c r="AD200" i="1"/>
  <c r="AE200" i="1"/>
  <c r="L201" i="1"/>
  <c r="M201" i="1"/>
  <c r="N201" i="1"/>
  <c r="O201" i="1"/>
  <c r="P201" i="1"/>
  <c r="Q201" i="1"/>
  <c r="R201" i="1"/>
  <c r="S201" i="1"/>
  <c r="T201" i="1"/>
  <c r="U201" i="1"/>
  <c r="V201" i="1"/>
  <c r="W201" i="1"/>
  <c r="X201" i="1"/>
  <c r="Y201" i="1"/>
  <c r="Z201" i="1"/>
  <c r="AA201" i="1"/>
  <c r="AB201" i="1"/>
  <c r="AC201" i="1"/>
  <c r="AD201" i="1"/>
  <c r="AE201" i="1"/>
  <c r="L202" i="1"/>
  <c r="M202" i="1"/>
  <c r="N202" i="1"/>
  <c r="O202" i="1"/>
  <c r="P202" i="1"/>
  <c r="Q202" i="1"/>
  <c r="R202" i="1"/>
  <c r="S202" i="1"/>
  <c r="T202" i="1"/>
  <c r="U202" i="1"/>
  <c r="V202" i="1"/>
  <c r="W202" i="1"/>
  <c r="X202" i="1"/>
  <c r="Y202" i="1"/>
  <c r="Z202" i="1"/>
  <c r="AA202" i="1"/>
  <c r="AB202" i="1"/>
  <c r="AC202" i="1"/>
  <c r="AD202" i="1"/>
  <c r="AE202" i="1"/>
  <c r="L203" i="1"/>
  <c r="M203" i="1"/>
  <c r="N203" i="1"/>
  <c r="O203" i="1"/>
  <c r="P203" i="1"/>
  <c r="Q203" i="1"/>
  <c r="R203" i="1"/>
  <c r="S203" i="1"/>
  <c r="T203" i="1"/>
  <c r="U203" i="1"/>
  <c r="V203" i="1"/>
  <c r="W203" i="1"/>
  <c r="X203" i="1"/>
  <c r="Y203" i="1"/>
  <c r="Z203" i="1"/>
  <c r="AA203" i="1"/>
  <c r="AB203" i="1"/>
  <c r="AC203" i="1"/>
  <c r="AD203" i="1"/>
  <c r="AE203" i="1"/>
  <c r="L204" i="1"/>
  <c r="M204" i="1"/>
  <c r="N204" i="1"/>
  <c r="O204" i="1"/>
  <c r="P204" i="1"/>
  <c r="Q204" i="1"/>
  <c r="R204" i="1"/>
  <c r="S204" i="1"/>
  <c r="T204" i="1"/>
  <c r="U204" i="1"/>
  <c r="V204" i="1"/>
  <c r="W204" i="1"/>
  <c r="X204" i="1"/>
  <c r="Y204" i="1"/>
  <c r="Z204" i="1"/>
  <c r="AA204" i="1"/>
  <c r="AB204" i="1"/>
  <c r="AC204" i="1"/>
  <c r="AD204" i="1"/>
  <c r="AE204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L5" i="1"/>
  <c r="AG18" i="1"/>
  <c r="AH18" i="1" s="1"/>
  <c r="AG19" i="1"/>
  <c r="AH19" i="1" s="1"/>
  <c r="AG20" i="1"/>
  <c r="AH20" i="1" s="1"/>
  <c r="AG21" i="1"/>
  <c r="AH21" i="1" s="1"/>
  <c r="AG22" i="1"/>
  <c r="AH22" i="1" s="1"/>
  <c r="AG23" i="1"/>
  <c r="AH23" i="1" s="1"/>
  <c r="AG24" i="1"/>
  <c r="AH24" i="1" s="1"/>
  <c r="H127" i="7"/>
  <c r="H95" i="7"/>
  <c r="H64" i="7"/>
  <c r="V2" i="6"/>
  <c r="U2" i="6"/>
  <c r="T2" i="6"/>
  <c r="S2" i="6"/>
  <c r="R2" i="6"/>
  <c r="Q2" i="6"/>
  <c r="P2" i="6"/>
  <c r="P1" i="1"/>
  <c r="P2" i="1" s="1"/>
  <c r="M1" i="1"/>
  <c r="M2" i="1" s="1"/>
  <c r="H109" i="7"/>
  <c r="I109" i="7"/>
  <c r="H110" i="7"/>
  <c r="I110" i="7"/>
  <c r="H111" i="7"/>
  <c r="I112" i="7"/>
  <c r="H113" i="7"/>
  <c r="H114" i="7"/>
  <c r="H115" i="7"/>
  <c r="I115" i="7"/>
  <c r="H116" i="7"/>
  <c r="I116" i="7"/>
  <c r="H117" i="7"/>
  <c r="I117" i="7"/>
  <c r="H118" i="7"/>
  <c r="I118" i="7"/>
  <c r="H121" i="7"/>
  <c r="H122" i="7"/>
  <c r="H123" i="7"/>
  <c r="I123" i="7"/>
  <c r="H124" i="7"/>
  <c r="I124" i="7"/>
  <c r="H125" i="7"/>
  <c r="I125" i="7"/>
  <c r="H126" i="7"/>
  <c r="I126" i="7"/>
  <c r="H128" i="7"/>
  <c r="I98" i="7"/>
  <c r="H99" i="7"/>
  <c r="I99" i="7"/>
  <c r="H100" i="7"/>
  <c r="I100" i="7"/>
  <c r="H101" i="7"/>
  <c r="I101" i="7"/>
  <c r="H102" i="7"/>
  <c r="I102" i="7"/>
  <c r="H105" i="7"/>
  <c r="I105" i="7"/>
  <c r="H106" i="7"/>
  <c r="I106" i="7"/>
  <c r="H107" i="7"/>
  <c r="I107" i="7"/>
  <c r="H108" i="7"/>
  <c r="I108" i="7"/>
  <c r="H89" i="7"/>
  <c r="I89" i="7"/>
  <c r="I90" i="7"/>
  <c r="H91" i="7"/>
  <c r="I91" i="7"/>
  <c r="H92" i="7"/>
  <c r="I92" i="7"/>
  <c r="H93" i="7"/>
  <c r="I93" i="7"/>
  <c r="H94" i="7"/>
  <c r="I94" i="7"/>
  <c r="I73" i="7"/>
  <c r="H75" i="7"/>
  <c r="I75" i="7"/>
  <c r="H76" i="7"/>
  <c r="I76" i="7"/>
  <c r="H77" i="7"/>
  <c r="I77" i="7"/>
  <c r="H78" i="7"/>
  <c r="I78" i="7"/>
  <c r="I79" i="7"/>
  <c r="I81" i="7"/>
  <c r="H83" i="7"/>
  <c r="I83" i="7"/>
  <c r="H84" i="7"/>
  <c r="I84" i="7"/>
  <c r="H85" i="7"/>
  <c r="I85" i="7"/>
  <c r="H86" i="7"/>
  <c r="I86" i="7"/>
  <c r="I87" i="7"/>
  <c r="I64" i="7"/>
  <c r="I65" i="7"/>
  <c r="H66" i="7"/>
  <c r="H67" i="7"/>
  <c r="I67" i="7"/>
  <c r="H68" i="7"/>
  <c r="I68" i="7"/>
  <c r="H69" i="7"/>
  <c r="I69" i="7"/>
  <c r="H70" i="7"/>
  <c r="I70" i="7"/>
  <c r="H71" i="7"/>
  <c r="H61" i="7"/>
  <c r="I61" i="7"/>
  <c r="H62" i="7"/>
  <c r="I62" i="7"/>
  <c r="H63" i="7"/>
  <c r="I63" i="7"/>
  <c r="H51" i="7"/>
  <c r="I51" i="7"/>
  <c r="H52" i="7"/>
  <c r="I52" i="7"/>
  <c r="H53" i="7"/>
  <c r="I53" i="7"/>
  <c r="H54" i="7"/>
  <c r="I54" i="7"/>
  <c r="H57" i="7"/>
  <c r="H58" i="7"/>
  <c r="I58" i="7"/>
  <c r="H59" i="7"/>
  <c r="I59" i="7"/>
  <c r="H60" i="7"/>
  <c r="I60" i="7"/>
  <c r="I26" i="7"/>
  <c r="I28" i="7"/>
  <c r="H29" i="7"/>
  <c r="I29" i="7"/>
  <c r="H30" i="7"/>
  <c r="H31" i="7"/>
  <c r="H32" i="7"/>
  <c r="I32" i="7"/>
  <c r="H33" i="7"/>
  <c r="I33" i="7"/>
  <c r="H34" i="7"/>
  <c r="I34" i="7"/>
  <c r="H35" i="7"/>
  <c r="I35" i="7"/>
  <c r="H36" i="7"/>
  <c r="I37" i="7"/>
  <c r="H38" i="7"/>
  <c r="H39" i="7"/>
  <c r="I39" i="7"/>
  <c r="H40" i="7"/>
  <c r="I40" i="7"/>
  <c r="H41" i="7"/>
  <c r="I41" i="7"/>
  <c r="H42" i="7"/>
  <c r="I42" i="7"/>
  <c r="H43" i="7"/>
  <c r="I43" i="7"/>
  <c r="H44" i="7"/>
  <c r="I44" i="7"/>
  <c r="H45" i="7"/>
  <c r="I45" i="7"/>
  <c r="I46" i="7"/>
  <c r="H48" i="7"/>
  <c r="I48" i="7"/>
  <c r="H49" i="7"/>
  <c r="I50" i="7"/>
  <c r="H10" i="7"/>
  <c r="I10" i="7"/>
  <c r="H11" i="7"/>
  <c r="I11" i="7"/>
  <c r="H12" i="7"/>
  <c r="I12" i="7"/>
  <c r="H13" i="7"/>
  <c r="I13" i="7"/>
  <c r="H14" i="7"/>
  <c r="I14" i="7"/>
  <c r="H15" i="7"/>
  <c r="I15" i="7"/>
  <c r="H16" i="7"/>
  <c r="I16" i="7"/>
  <c r="H17" i="7"/>
  <c r="I17" i="7"/>
  <c r="H18" i="7"/>
  <c r="I18" i="7"/>
  <c r="H19" i="7"/>
  <c r="I19" i="7"/>
  <c r="H20" i="7"/>
  <c r="I20" i="7"/>
  <c r="H21" i="7"/>
  <c r="I21" i="7"/>
  <c r="H22" i="7"/>
  <c r="I22" i="7"/>
  <c r="H23" i="7"/>
  <c r="I23" i="7"/>
  <c r="H24" i="7"/>
  <c r="I24" i="7"/>
  <c r="H25" i="7"/>
  <c r="I25" i="7"/>
  <c r="H28" i="7"/>
  <c r="I27" i="7"/>
  <c r="I120" i="7"/>
  <c r="H130" i="7"/>
  <c r="I130" i="7"/>
  <c r="H129" i="7"/>
  <c r="I129" i="7"/>
  <c r="H103" i="7"/>
  <c r="H104" i="7"/>
  <c r="I103" i="7"/>
  <c r="I104" i="7"/>
  <c r="I49" i="7"/>
  <c r="H47" i="7"/>
  <c r="H79" i="7"/>
  <c r="I38" i="7"/>
  <c r="I57" i="7"/>
  <c r="H74" i="7"/>
  <c r="H73" i="7"/>
  <c r="I74" i="7"/>
  <c r="H90" i="7"/>
  <c r="I121" i="7"/>
  <c r="I122" i="7"/>
  <c r="H55" i="7"/>
  <c r="I56" i="7"/>
  <c r="I47" i="7"/>
  <c r="H46" i="7"/>
  <c r="H56" i="7"/>
  <c r="I95" i="7"/>
  <c r="I96" i="7"/>
  <c r="I72" i="7"/>
  <c r="I71" i="7"/>
  <c r="H87" i="7"/>
  <c r="I88" i="7"/>
  <c r="I119" i="7"/>
  <c r="H120" i="7"/>
  <c r="H72" i="7"/>
  <c r="H119" i="7"/>
  <c r="H191" i="7"/>
  <c r="I191" i="7"/>
  <c r="H175" i="7"/>
  <c r="I175" i="7"/>
  <c r="I159" i="7"/>
  <c r="H159" i="7"/>
  <c r="I143" i="7"/>
  <c r="H143" i="7"/>
  <c r="I30" i="7"/>
  <c r="I111" i="7"/>
  <c r="H112" i="7"/>
  <c r="H50" i="7"/>
  <c r="H27" i="7"/>
  <c r="I80" i="7"/>
  <c r="H96" i="7"/>
  <c r="I197" i="7"/>
  <c r="H197" i="7"/>
  <c r="H189" i="7"/>
  <c r="I189" i="7"/>
  <c r="H181" i="7"/>
  <c r="I181" i="7"/>
  <c r="H173" i="7"/>
  <c r="I173" i="7"/>
  <c r="H165" i="7"/>
  <c r="I165" i="7"/>
  <c r="H157" i="7"/>
  <c r="I157" i="7"/>
  <c r="H149" i="7"/>
  <c r="I149" i="7"/>
  <c r="H141" i="7"/>
  <c r="I141" i="7"/>
  <c r="H133" i="7"/>
  <c r="I133" i="7"/>
  <c r="H37" i="7"/>
  <c r="I199" i="7"/>
  <c r="H199" i="7"/>
  <c r="H183" i="7"/>
  <c r="I183" i="7"/>
  <c r="H167" i="7"/>
  <c r="I167" i="7"/>
  <c r="H151" i="7"/>
  <c r="I151" i="7"/>
  <c r="H135" i="7"/>
  <c r="I135" i="7"/>
  <c r="H80" i="7"/>
  <c r="I127" i="7"/>
  <c r="I128" i="7"/>
  <c r="I36" i="7"/>
  <c r="I31" i="7"/>
  <c r="I55" i="7"/>
  <c r="H88" i="7"/>
  <c r="H26" i="7"/>
  <c r="I66" i="7"/>
  <c r="H65" i="7"/>
  <c r="H82" i="7"/>
  <c r="H81" i="7"/>
  <c r="I82" i="7"/>
  <c r="H97" i="7"/>
  <c r="I97" i="7"/>
  <c r="H98" i="7"/>
  <c r="I113" i="7"/>
  <c r="I114" i="7"/>
  <c r="I198" i="7"/>
  <c r="H198" i="7"/>
  <c r="H190" i="7"/>
  <c r="I190" i="7"/>
  <c r="I182" i="7"/>
  <c r="H182" i="7"/>
  <c r="H174" i="7"/>
  <c r="I174" i="7"/>
  <c r="H166" i="7"/>
  <c r="I166" i="7"/>
  <c r="I158" i="7"/>
  <c r="H158" i="7"/>
  <c r="H150" i="7"/>
  <c r="I150" i="7"/>
  <c r="I142" i="7"/>
  <c r="H142" i="7"/>
  <c r="H134" i="7"/>
  <c r="I134" i="7"/>
  <c r="H196" i="7"/>
  <c r="I196" i="7"/>
  <c r="H188" i="7"/>
  <c r="I188" i="7"/>
  <c r="H180" i="7"/>
  <c r="I180" i="7"/>
  <c r="I172" i="7"/>
  <c r="H172" i="7"/>
  <c r="H164" i="7"/>
  <c r="I164" i="7"/>
  <c r="I156" i="7"/>
  <c r="H156" i="7"/>
  <c r="H148" i="7"/>
  <c r="I148" i="7"/>
  <c r="H140" i="7"/>
  <c r="I140" i="7"/>
  <c r="H132" i="7"/>
  <c r="I132" i="7"/>
  <c r="H195" i="7"/>
  <c r="I195" i="7"/>
  <c r="H187" i="7"/>
  <c r="I187" i="7"/>
  <c r="H179" i="7"/>
  <c r="I179" i="7"/>
  <c r="I171" i="7"/>
  <c r="H171" i="7"/>
  <c r="H163" i="7"/>
  <c r="I163" i="7"/>
  <c r="H155" i="7"/>
  <c r="I155" i="7"/>
  <c r="I147" i="7"/>
  <c r="H147" i="7"/>
  <c r="H139" i="7"/>
  <c r="I139" i="7"/>
  <c r="H194" i="7"/>
  <c r="I194" i="7"/>
  <c r="H186" i="7"/>
  <c r="I186" i="7"/>
  <c r="H178" i="7"/>
  <c r="I178" i="7"/>
  <c r="H170" i="7"/>
  <c r="I170" i="7"/>
  <c r="H162" i="7"/>
  <c r="I162" i="7"/>
  <c r="H154" i="7"/>
  <c r="I154" i="7"/>
  <c r="I146" i="7"/>
  <c r="H146" i="7"/>
  <c r="H138" i="7"/>
  <c r="I138" i="7"/>
  <c r="H193" i="7"/>
  <c r="I193" i="7"/>
  <c r="H185" i="7"/>
  <c r="I185" i="7"/>
  <c r="H177" i="7"/>
  <c r="I177" i="7"/>
  <c r="H169" i="7"/>
  <c r="I169" i="7"/>
  <c r="H161" i="7"/>
  <c r="I161" i="7"/>
  <c r="H153" i="7"/>
  <c r="I153" i="7"/>
  <c r="I145" i="7"/>
  <c r="H145" i="7"/>
  <c r="H137" i="7"/>
  <c r="I137" i="7"/>
  <c r="H200" i="7"/>
  <c r="I200" i="7"/>
  <c r="H192" i="7"/>
  <c r="I192" i="7"/>
  <c r="I184" i="7"/>
  <c r="H184" i="7"/>
  <c r="H176" i="7"/>
  <c r="I176" i="7"/>
  <c r="H168" i="7"/>
  <c r="I168" i="7"/>
  <c r="H160" i="7"/>
  <c r="I160" i="7"/>
  <c r="H152" i="7"/>
  <c r="I152" i="7"/>
  <c r="H144" i="7"/>
  <c r="I144" i="7"/>
  <c r="H136" i="7"/>
  <c r="I136" i="7"/>
  <c r="I131" i="7"/>
  <c r="H131" i="7"/>
  <c r="I4" i="7" l="1"/>
  <c r="H9" i="7"/>
  <c r="H8" i="7"/>
  <c r="H3" i="7"/>
  <c r="I7" i="7"/>
  <c r="H5" i="7"/>
  <c r="H6" i="7"/>
  <c r="I3" i="7"/>
  <c r="H7" i="7"/>
  <c r="C6" i="7"/>
  <c r="A6" i="7"/>
  <c r="B6" i="7"/>
  <c r="D6" i="7"/>
  <c r="C8" i="7"/>
  <c r="B8" i="7"/>
  <c r="D8" i="7"/>
  <c r="A8" i="7"/>
  <c r="C4" i="7"/>
  <c r="B4" i="7"/>
  <c r="D4" i="7"/>
  <c r="A4" i="7"/>
  <c r="D2" i="7"/>
  <c r="A2" i="7"/>
  <c r="F2" i="6" s="1"/>
  <c r="H2" i="7"/>
  <c r="I2" i="7"/>
  <c r="B2" i="7"/>
  <c r="C2" i="7"/>
  <c r="I5" i="7"/>
  <c r="C9" i="7"/>
  <c r="D9" i="7"/>
  <c r="A9" i="7"/>
  <c r="B9" i="7"/>
  <c r="C5" i="7"/>
  <c r="D5" i="7"/>
  <c r="A5" i="7"/>
  <c r="B5" i="7"/>
  <c r="I8" i="7"/>
  <c r="H4" i="7"/>
  <c r="I6" i="7"/>
  <c r="C7" i="7"/>
  <c r="A7" i="7"/>
  <c r="B7" i="7"/>
  <c r="D7" i="7"/>
  <c r="C3" i="7"/>
  <c r="A3" i="7"/>
  <c r="B3" i="7"/>
  <c r="D3" i="7"/>
  <c r="AB3" i="1"/>
  <c r="AI21" i="1" s="1"/>
  <c r="T3" i="1"/>
  <c r="AI13" i="1" s="1"/>
  <c r="P3" i="1"/>
  <c r="AI9" i="1" s="1"/>
  <c r="R3" i="1"/>
  <c r="AI11" i="1" s="1"/>
  <c r="K119" i="1"/>
  <c r="K58" i="1"/>
  <c r="K140" i="1"/>
  <c r="K100" i="1"/>
  <c r="K87" i="1"/>
  <c r="K26" i="1"/>
  <c r="V3" i="1"/>
  <c r="AI15" i="1" s="1"/>
  <c r="K175" i="1"/>
  <c r="K23" i="1"/>
  <c r="AA3" i="1"/>
  <c r="AI20" i="1" s="1"/>
  <c r="K55" i="1"/>
  <c r="K172" i="1"/>
  <c r="K148" i="1"/>
  <c r="K143" i="1"/>
  <c r="K135" i="1"/>
  <c r="K116" i="1"/>
  <c r="K111" i="1"/>
  <c r="K108" i="1"/>
  <c r="K103" i="1"/>
  <c r="K95" i="1"/>
  <c r="K92" i="1"/>
  <c r="K84" i="1"/>
  <c r="K66" i="1"/>
  <c r="K50" i="1"/>
  <c r="K47" i="1"/>
  <c r="K42" i="1"/>
  <c r="K39" i="1"/>
  <c r="K34" i="1"/>
  <c r="K18" i="1"/>
  <c r="K15" i="1"/>
  <c r="S3" i="1"/>
  <c r="AI12" i="1" s="1"/>
  <c r="AD3" i="1"/>
  <c r="AI23" i="1" s="1"/>
  <c r="Z3" i="1"/>
  <c r="AI19" i="1" s="1"/>
  <c r="N3" i="1"/>
  <c r="AI7" i="1" s="1"/>
  <c r="K204" i="1"/>
  <c r="K151" i="1"/>
  <c r="K132" i="1"/>
  <c r="K79" i="1"/>
  <c r="K76" i="1"/>
  <c r="K71" i="1"/>
  <c r="K63" i="1"/>
  <c r="K31" i="1"/>
  <c r="K10" i="1"/>
  <c r="K7" i="1"/>
  <c r="W3" i="1"/>
  <c r="AI16" i="1" s="1"/>
  <c r="O3" i="1"/>
  <c r="AI8" i="1" s="1"/>
  <c r="AE3" i="1"/>
  <c r="AI24" i="1" s="1"/>
  <c r="Q3" i="1"/>
  <c r="AI10" i="1" s="1"/>
  <c r="M3" i="1"/>
  <c r="AI6" i="1" s="1"/>
  <c r="K199" i="1"/>
  <c r="K196" i="1"/>
  <c r="K191" i="1"/>
  <c r="K188" i="1"/>
  <c r="K183" i="1"/>
  <c r="K180" i="1"/>
  <c r="X3" i="1"/>
  <c r="AI17" i="1" s="1"/>
  <c r="K167" i="1"/>
  <c r="K164" i="1"/>
  <c r="K159" i="1"/>
  <c r="K156" i="1"/>
  <c r="K127" i="1"/>
  <c r="K124" i="1"/>
  <c r="L3" i="1"/>
  <c r="AI5" i="1" s="1"/>
  <c r="K5" i="1"/>
  <c r="K203" i="1"/>
  <c r="K202" i="1"/>
  <c r="K201" i="1"/>
  <c r="K200" i="1"/>
  <c r="K198" i="1"/>
  <c r="K197" i="1"/>
  <c r="K195" i="1"/>
  <c r="K194" i="1"/>
  <c r="K193" i="1"/>
  <c r="K192" i="1"/>
  <c r="K190" i="1"/>
  <c r="K189" i="1"/>
  <c r="K187" i="1"/>
  <c r="K186" i="1"/>
  <c r="K185" i="1"/>
  <c r="K184" i="1"/>
  <c r="K182" i="1"/>
  <c r="K181" i="1"/>
  <c r="K179" i="1"/>
  <c r="K178" i="1"/>
  <c r="K177" i="1"/>
  <c r="K176" i="1"/>
  <c r="K174" i="1"/>
  <c r="K173" i="1"/>
  <c r="K171" i="1"/>
  <c r="K170" i="1"/>
  <c r="K169" i="1"/>
  <c r="K168" i="1"/>
  <c r="K166" i="1"/>
  <c r="K165" i="1"/>
  <c r="K163" i="1"/>
  <c r="K162" i="1"/>
  <c r="K161" i="1"/>
  <c r="K160" i="1"/>
  <c r="K158" i="1"/>
  <c r="K157" i="1"/>
  <c r="K155" i="1"/>
  <c r="K154" i="1"/>
  <c r="K153" i="1"/>
  <c r="K152" i="1"/>
  <c r="K150" i="1"/>
  <c r="K149" i="1"/>
  <c r="K147" i="1"/>
  <c r="K146" i="1"/>
  <c r="K145" i="1"/>
  <c r="K144" i="1"/>
  <c r="K142" i="1"/>
  <c r="K141" i="1"/>
  <c r="K139" i="1"/>
  <c r="K138" i="1"/>
  <c r="K137" i="1"/>
  <c r="K136" i="1"/>
  <c r="K134" i="1"/>
  <c r="K133" i="1"/>
  <c r="K131" i="1"/>
  <c r="K130" i="1"/>
  <c r="K129" i="1"/>
  <c r="K128" i="1"/>
  <c r="K126" i="1"/>
  <c r="K125" i="1"/>
  <c r="K123" i="1"/>
  <c r="K122" i="1"/>
  <c r="K121" i="1"/>
  <c r="K120" i="1"/>
  <c r="K118" i="1"/>
  <c r="K117" i="1"/>
  <c r="K115" i="1"/>
  <c r="K114" i="1"/>
  <c r="K113" i="1"/>
  <c r="K112" i="1"/>
  <c r="K110" i="1"/>
  <c r="K109" i="1"/>
  <c r="K107" i="1"/>
  <c r="K106" i="1"/>
  <c r="K105" i="1"/>
  <c r="K104" i="1"/>
  <c r="K102" i="1"/>
  <c r="K101" i="1"/>
  <c r="K99" i="1"/>
  <c r="K98" i="1"/>
  <c r="K97" i="1"/>
  <c r="K96" i="1"/>
  <c r="K94" i="1"/>
  <c r="K93" i="1"/>
  <c r="K91" i="1"/>
  <c r="K90" i="1"/>
  <c r="K89" i="1"/>
  <c r="K88" i="1"/>
  <c r="K86" i="1"/>
  <c r="K85" i="1"/>
  <c r="K83" i="1"/>
  <c r="K82" i="1"/>
  <c r="K81" i="1"/>
  <c r="K80" i="1"/>
  <c r="K78" i="1"/>
  <c r="K77" i="1"/>
  <c r="K75" i="1"/>
  <c r="K74" i="1"/>
  <c r="K73" i="1"/>
  <c r="K72" i="1"/>
  <c r="K70" i="1"/>
  <c r="K69" i="1"/>
  <c r="K68" i="1"/>
  <c r="K67" i="1"/>
  <c r="K65" i="1"/>
  <c r="K64" i="1"/>
  <c r="K62" i="1"/>
  <c r="K61" i="1"/>
  <c r="K60" i="1"/>
  <c r="K59" i="1"/>
  <c r="K57" i="1"/>
  <c r="K56" i="1"/>
  <c r="K54" i="1"/>
  <c r="K53" i="1"/>
  <c r="K52" i="1"/>
  <c r="K51" i="1"/>
  <c r="K49" i="1"/>
  <c r="K48" i="1"/>
  <c r="K46" i="1"/>
  <c r="K45" i="1"/>
  <c r="K44" i="1"/>
  <c r="K43" i="1"/>
  <c r="K41" i="1"/>
  <c r="K40" i="1"/>
  <c r="K38" i="1"/>
  <c r="K37" i="1"/>
  <c r="K36" i="1"/>
  <c r="K35" i="1"/>
  <c r="K33" i="1"/>
  <c r="K32" i="1"/>
  <c r="K30" i="1"/>
  <c r="K29" i="1"/>
  <c r="K28" i="1"/>
  <c r="K27" i="1"/>
  <c r="K25" i="1"/>
  <c r="K24" i="1"/>
  <c r="K22" i="1"/>
  <c r="K21" i="1"/>
  <c r="K20" i="1"/>
  <c r="K19" i="1"/>
  <c r="K17" i="1"/>
  <c r="K16" i="1"/>
  <c r="K14" i="1"/>
  <c r="K13" i="1"/>
  <c r="K12" i="1"/>
  <c r="K11" i="1"/>
  <c r="K9" i="1"/>
  <c r="K8" i="1"/>
  <c r="AC3" i="1"/>
  <c r="AI22" i="1" s="1"/>
  <c r="Y3" i="1"/>
  <c r="AI18" i="1" s="1"/>
  <c r="U3" i="1"/>
  <c r="AI14" i="1" s="1"/>
  <c r="K6" i="1"/>
  <c r="G2" i="6" l="1"/>
  <c r="J2" i="6" s="1"/>
  <c r="F3" i="6"/>
  <c r="G3" i="6" s="1"/>
  <c r="J3" i="6" s="1"/>
  <c r="T1" i="1"/>
  <c r="C28" i="5" s="1"/>
  <c r="F4" i="6" l="1"/>
  <c r="G4" i="6" s="1"/>
  <c r="J4" i="6" s="1"/>
  <c r="F5" i="6" l="1"/>
  <c r="G5" i="6" s="1"/>
  <c r="J5" i="6" s="1"/>
  <c r="F6" i="6" l="1"/>
  <c r="G6" i="6" s="1"/>
  <c r="J6" i="6" s="1"/>
  <c r="F7" i="6" l="1"/>
  <c r="G7" i="6" s="1"/>
  <c r="J7" i="6" s="1"/>
  <c r="G6" i="7"/>
  <c r="G5" i="7"/>
  <c r="F8" i="6" l="1"/>
  <c r="G8" i="6" s="1"/>
  <c r="J8" i="6" s="1"/>
  <c r="G7" i="7"/>
  <c r="F9" i="6"/>
  <c r="G4" i="7"/>
  <c r="G3" i="7"/>
  <c r="G8" i="7" l="1"/>
  <c r="G9" i="6"/>
  <c r="J9" i="6" s="1"/>
  <c r="F10" i="6"/>
  <c r="G2" i="7"/>
  <c r="G10" i="6" l="1"/>
  <c r="J10" i="6" s="1"/>
  <c r="F11" i="6"/>
  <c r="F12" i="6" s="1"/>
  <c r="F13" i="6" s="1"/>
  <c r="F14" i="6" s="1"/>
  <c r="F15" i="6" s="1"/>
  <c r="F16" i="6" s="1"/>
  <c r="F17" i="6" s="1"/>
  <c r="F18" i="6" s="1"/>
  <c r="F19" i="6" s="1"/>
  <c r="F20" i="6" s="1"/>
  <c r="F21" i="6" s="1"/>
  <c r="F22" i="6" s="1"/>
  <c r="F23" i="6" s="1"/>
  <c r="F24" i="6" s="1"/>
  <c r="G175" i="7"/>
  <c r="G11" i="6" l="1"/>
  <c r="J11" i="6" s="1"/>
  <c r="G176" i="7"/>
  <c r="G12" i="6" l="1"/>
  <c r="J12" i="6" s="1"/>
  <c r="G177" i="7"/>
  <c r="G13" i="6" l="1"/>
  <c r="J13" i="6" s="1"/>
  <c r="G178" i="7"/>
  <c r="G14" i="6" l="1"/>
  <c r="J14" i="6" s="1"/>
  <c r="G179" i="7"/>
  <c r="G15" i="6" l="1"/>
  <c r="J15" i="6" s="1"/>
  <c r="G180" i="7"/>
  <c r="G16" i="6" l="1"/>
  <c r="J16" i="6" s="1"/>
  <c r="G181" i="7"/>
  <c r="G17" i="6" l="1"/>
  <c r="J17" i="6" s="1"/>
  <c r="G182" i="7"/>
  <c r="G18" i="6" l="1"/>
  <c r="J18" i="6" s="1"/>
  <c r="G183" i="7"/>
  <c r="G19" i="6" l="1"/>
  <c r="J19" i="6" s="1"/>
  <c r="G184" i="7"/>
  <c r="G20" i="6" l="1"/>
  <c r="J20" i="6" s="1"/>
  <c r="G185" i="7"/>
  <c r="G21" i="6" l="1"/>
  <c r="J21" i="6" s="1"/>
  <c r="G186" i="7"/>
  <c r="G22" i="6" l="1"/>
  <c r="J22" i="6" s="1"/>
  <c r="G187" i="7"/>
  <c r="G23" i="6" l="1"/>
  <c r="J23" i="6" s="1"/>
  <c r="G188" i="7"/>
  <c r="G24" i="6" l="1"/>
  <c r="J24" i="6" s="1"/>
  <c r="F25" i="6"/>
  <c r="G189" i="7"/>
  <c r="G25" i="6" l="1"/>
  <c r="J25" i="6" s="1"/>
  <c r="F26" i="6"/>
  <c r="G190" i="7"/>
  <c r="G26" i="6" l="1"/>
  <c r="J26" i="6" s="1"/>
  <c r="F27" i="6"/>
  <c r="G191" i="7"/>
  <c r="G27" i="6" l="1"/>
  <c r="J27" i="6" s="1"/>
  <c r="F28" i="6"/>
  <c r="G192" i="7"/>
  <c r="G28" i="6" l="1"/>
  <c r="J28" i="6" s="1"/>
  <c r="F29" i="6"/>
  <c r="G193" i="7"/>
  <c r="G29" i="6" l="1"/>
  <c r="J29" i="6" s="1"/>
  <c r="F30" i="6"/>
  <c r="G194" i="7"/>
  <c r="G30" i="6" l="1"/>
  <c r="J30" i="6" s="1"/>
  <c r="F31" i="6"/>
  <c r="G195" i="7"/>
  <c r="G31" i="6" l="1"/>
  <c r="J31" i="6" s="1"/>
  <c r="F32" i="6"/>
  <c r="G196" i="7"/>
  <c r="G32" i="6" l="1"/>
  <c r="J32" i="6" s="1"/>
  <c r="F33" i="6"/>
  <c r="G197" i="7"/>
  <c r="G33" i="6" l="1"/>
  <c r="J33" i="6" s="1"/>
  <c r="F34" i="6"/>
  <c r="G198" i="7"/>
  <c r="G34" i="6" l="1"/>
  <c r="J34" i="6" s="1"/>
  <c r="F35" i="6"/>
  <c r="G199" i="7"/>
  <c r="G35" i="6" l="1"/>
  <c r="J35" i="6" s="1"/>
  <c r="F36" i="6"/>
  <c r="G200" i="7"/>
  <c r="G36" i="6" l="1"/>
  <c r="J36" i="6" s="1"/>
  <c r="F37" i="6"/>
  <c r="G9" i="7"/>
  <c r="G37" i="6" l="1"/>
  <c r="J37" i="6" s="1"/>
  <c r="F38" i="6"/>
  <c r="G10" i="7"/>
  <c r="G38" i="6" l="1"/>
  <c r="J38" i="6" s="1"/>
  <c r="F39" i="6"/>
  <c r="G11" i="7"/>
  <c r="G12" i="7"/>
  <c r="G39" i="6" l="1"/>
  <c r="J39" i="6" s="1"/>
  <c r="F40" i="6"/>
  <c r="G13" i="7"/>
  <c r="G40" i="6" l="1"/>
  <c r="J40" i="6" s="1"/>
  <c r="F41" i="6"/>
  <c r="G14" i="7"/>
  <c r="G41" i="6" l="1"/>
  <c r="J41" i="6" s="1"/>
  <c r="F42" i="6"/>
  <c r="G15" i="7"/>
  <c r="G42" i="6" l="1"/>
  <c r="J42" i="6" s="1"/>
  <c r="F43" i="6"/>
  <c r="G16" i="7"/>
  <c r="G43" i="6" l="1"/>
  <c r="J43" i="6" s="1"/>
  <c r="F44" i="6"/>
  <c r="G17" i="7"/>
  <c r="G44" i="6" l="1"/>
  <c r="J44" i="6" s="1"/>
  <c r="F45" i="6"/>
  <c r="G18" i="7"/>
  <c r="G45" i="6" l="1"/>
  <c r="J45" i="6" s="1"/>
  <c r="F46" i="6"/>
  <c r="G19" i="7"/>
  <c r="G46" i="6" l="1"/>
  <c r="J46" i="6" s="1"/>
  <c r="F47" i="6"/>
  <c r="G20" i="7"/>
  <c r="G47" i="6" l="1"/>
  <c r="J47" i="6" s="1"/>
  <c r="F48" i="6"/>
  <c r="G21" i="7"/>
  <c r="G48" i="6" l="1"/>
  <c r="J48" i="6" s="1"/>
  <c r="F49" i="6"/>
  <c r="G22" i="7"/>
  <c r="G49" i="6" l="1"/>
  <c r="J49" i="6" s="1"/>
  <c r="F50" i="6"/>
  <c r="G23" i="7"/>
  <c r="G50" i="6" l="1"/>
  <c r="J50" i="6" s="1"/>
  <c r="F51" i="6"/>
  <c r="G24" i="7"/>
  <c r="G51" i="6" l="1"/>
  <c r="J51" i="6" s="1"/>
  <c r="F52" i="6"/>
  <c r="G25" i="7"/>
  <c r="G52" i="6" l="1"/>
  <c r="J52" i="6" s="1"/>
  <c r="F53" i="6"/>
  <c r="G26" i="7"/>
  <c r="G53" i="6" l="1"/>
  <c r="J53" i="6" s="1"/>
  <c r="F54" i="6"/>
  <c r="G27" i="7"/>
  <c r="G54" i="6" l="1"/>
  <c r="J54" i="6" s="1"/>
  <c r="F55" i="6"/>
  <c r="G28" i="7"/>
  <c r="G55" i="6" l="1"/>
  <c r="J55" i="6" s="1"/>
  <c r="F56" i="6"/>
  <c r="G29" i="7"/>
  <c r="G56" i="6" l="1"/>
  <c r="J56" i="6" s="1"/>
  <c r="F57" i="6"/>
  <c r="G30" i="7"/>
  <c r="G57" i="6" l="1"/>
  <c r="J57" i="6" s="1"/>
  <c r="F58" i="6"/>
  <c r="G31" i="7"/>
  <c r="G58" i="6" l="1"/>
  <c r="J58" i="6" s="1"/>
  <c r="F59" i="6"/>
  <c r="G32" i="7"/>
  <c r="G59" i="6" l="1"/>
  <c r="J59" i="6" s="1"/>
  <c r="F60" i="6"/>
  <c r="G33" i="7"/>
  <c r="G60" i="6" l="1"/>
  <c r="J60" i="6" s="1"/>
  <c r="F61" i="6"/>
  <c r="G34" i="7"/>
  <c r="G61" i="6" l="1"/>
  <c r="J61" i="6" s="1"/>
  <c r="F62" i="6"/>
  <c r="G35" i="7"/>
  <c r="G62" i="6" l="1"/>
  <c r="J62" i="6" s="1"/>
  <c r="F63" i="6"/>
  <c r="G36" i="7"/>
  <c r="G63" i="6" l="1"/>
  <c r="J63" i="6" s="1"/>
  <c r="F64" i="6"/>
  <c r="G37" i="7"/>
  <c r="G64" i="6" l="1"/>
  <c r="J64" i="6" s="1"/>
  <c r="F65" i="6"/>
  <c r="G38" i="7"/>
  <c r="G65" i="6" l="1"/>
  <c r="J65" i="6" s="1"/>
  <c r="F66" i="6"/>
  <c r="G39" i="7"/>
  <c r="G66" i="6" l="1"/>
  <c r="J66" i="6" s="1"/>
  <c r="F67" i="6"/>
  <c r="G40" i="7"/>
  <c r="G67" i="6" l="1"/>
  <c r="J67" i="6" s="1"/>
  <c r="F68" i="6"/>
  <c r="G41" i="7"/>
  <c r="G68" i="6" l="1"/>
  <c r="J68" i="6" s="1"/>
  <c r="F69" i="6"/>
  <c r="G42" i="7"/>
  <c r="G69" i="6" l="1"/>
  <c r="J69" i="6" s="1"/>
  <c r="F70" i="6"/>
  <c r="G43" i="7"/>
  <c r="G70" i="6" l="1"/>
  <c r="J70" i="6" s="1"/>
  <c r="F71" i="6"/>
  <c r="G44" i="7"/>
  <c r="G71" i="6" l="1"/>
  <c r="J71" i="6" s="1"/>
  <c r="F72" i="6"/>
  <c r="G45" i="7"/>
  <c r="G72" i="6" l="1"/>
  <c r="J72" i="6" s="1"/>
  <c r="F73" i="6"/>
  <c r="G46" i="7"/>
  <c r="G73" i="6" l="1"/>
  <c r="J73" i="6" s="1"/>
  <c r="F74" i="6"/>
  <c r="G47" i="7"/>
  <c r="G74" i="6" l="1"/>
  <c r="J74" i="6" s="1"/>
  <c r="F75" i="6"/>
  <c r="G48" i="7"/>
  <c r="G75" i="6" l="1"/>
  <c r="J75" i="6" s="1"/>
  <c r="F76" i="6"/>
  <c r="G49" i="7"/>
  <c r="G76" i="6" l="1"/>
  <c r="J76" i="6" s="1"/>
  <c r="F77" i="6"/>
  <c r="G50" i="7"/>
  <c r="G77" i="6" l="1"/>
  <c r="J77" i="6" s="1"/>
  <c r="F78" i="6"/>
  <c r="G51" i="7"/>
  <c r="G78" i="6" l="1"/>
  <c r="J78" i="6" s="1"/>
  <c r="F79" i="6"/>
  <c r="G52" i="7"/>
  <c r="G79" i="6" l="1"/>
  <c r="J79" i="6" s="1"/>
  <c r="F80" i="6"/>
  <c r="G53" i="7"/>
  <c r="G80" i="6" l="1"/>
  <c r="J80" i="6" s="1"/>
  <c r="F81" i="6"/>
  <c r="G54" i="7"/>
  <c r="G81" i="6" l="1"/>
  <c r="J81" i="6" s="1"/>
  <c r="F82" i="6"/>
  <c r="G55" i="7"/>
  <c r="G82" i="6" l="1"/>
  <c r="J82" i="6" s="1"/>
  <c r="F83" i="6"/>
  <c r="G56" i="7"/>
  <c r="G83" i="6" l="1"/>
  <c r="J83" i="6" s="1"/>
  <c r="F84" i="6"/>
  <c r="G57" i="7"/>
  <c r="G84" i="6" l="1"/>
  <c r="J84" i="6" s="1"/>
  <c r="F85" i="6"/>
  <c r="G58" i="7"/>
  <c r="G85" i="6" l="1"/>
  <c r="J85" i="6" s="1"/>
  <c r="F86" i="6"/>
  <c r="G59" i="7"/>
  <c r="G86" i="6" l="1"/>
  <c r="J86" i="6" s="1"/>
  <c r="F87" i="6"/>
  <c r="G60" i="7"/>
  <c r="G87" i="6" l="1"/>
  <c r="J87" i="6" s="1"/>
  <c r="F88" i="6"/>
  <c r="G61" i="7"/>
  <c r="G88" i="6" l="1"/>
  <c r="F89" i="6"/>
  <c r="G62" i="7"/>
  <c r="G89" i="6" l="1"/>
  <c r="F90" i="6"/>
  <c r="G63" i="7"/>
  <c r="F91" i="6" l="1"/>
  <c r="G90" i="6"/>
  <c r="G64" i="7"/>
  <c r="G91" i="6" l="1"/>
  <c r="F92" i="6"/>
  <c r="G65" i="7"/>
  <c r="G92" i="6" l="1"/>
  <c r="F93" i="6"/>
  <c r="G66" i="7"/>
  <c r="F94" i="6" l="1"/>
  <c r="G93" i="6"/>
  <c r="G67" i="7"/>
  <c r="F95" i="6" l="1"/>
  <c r="G94" i="6"/>
  <c r="G68" i="7"/>
  <c r="G95" i="6" l="1"/>
  <c r="F96" i="6"/>
  <c r="G69" i="7"/>
  <c r="F97" i="6" l="1"/>
  <c r="G96" i="6"/>
  <c r="G70" i="7"/>
  <c r="F98" i="6" l="1"/>
  <c r="G97" i="6"/>
  <c r="G71" i="7"/>
  <c r="G98" i="6" l="1"/>
  <c r="F99" i="6"/>
  <c r="G72" i="7"/>
  <c r="G99" i="6" l="1"/>
  <c r="F100" i="6"/>
  <c r="G73" i="7"/>
  <c r="G100" i="6" l="1"/>
  <c r="F101" i="6"/>
  <c r="G74" i="7"/>
  <c r="G101" i="6" l="1"/>
  <c r="F102" i="6"/>
  <c r="G75" i="7"/>
  <c r="G102" i="6" l="1"/>
  <c r="F103" i="6"/>
  <c r="G76" i="7"/>
  <c r="G103" i="6" l="1"/>
  <c r="F104" i="6"/>
  <c r="G77" i="7"/>
  <c r="F105" i="6" l="1"/>
  <c r="G104" i="6"/>
  <c r="G78" i="7"/>
  <c r="G105" i="6" l="1"/>
  <c r="F106" i="6"/>
  <c r="G79" i="7"/>
  <c r="G106" i="6" l="1"/>
  <c r="F107" i="6"/>
  <c r="G80" i="7"/>
  <c r="G107" i="6" l="1"/>
  <c r="F108" i="6"/>
  <c r="G81" i="7"/>
  <c r="G108" i="6" l="1"/>
  <c r="F109" i="6"/>
  <c r="G82" i="7"/>
  <c r="G109" i="6" l="1"/>
  <c r="F110" i="6"/>
  <c r="G83" i="7"/>
  <c r="G110" i="6" l="1"/>
  <c r="F111" i="6"/>
  <c r="G84" i="7"/>
  <c r="G111" i="6" l="1"/>
  <c r="F112" i="6"/>
  <c r="G85" i="7"/>
  <c r="G112" i="6" l="1"/>
  <c r="F113" i="6"/>
  <c r="G86" i="7"/>
  <c r="G113" i="6" l="1"/>
  <c r="F114" i="6"/>
  <c r="G87" i="7"/>
  <c r="G114" i="6" l="1"/>
  <c r="F115" i="6"/>
  <c r="J88" i="6"/>
  <c r="G88" i="7"/>
  <c r="G115" i="6" l="1"/>
  <c r="F116" i="6"/>
  <c r="J89" i="6"/>
  <c r="G89" i="7"/>
  <c r="F117" i="6" l="1"/>
  <c r="G116" i="6"/>
  <c r="J90" i="6"/>
  <c r="G90" i="7"/>
  <c r="F118" i="6" l="1"/>
  <c r="G117" i="6"/>
  <c r="J91" i="6"/>
  <c r="G91" i="7"/>
  <c r="G118" i="6" l="1"/>
  <c r="F119" i="6"/>
  <c r="J92" i="6"/>
  <c r="G92" i="7"/>
  <c r="G119" i="6" l="1"/>
  <c r="F120" i="6"/>
  <c r="J93" i="6"/>
  <c r="G93" i="7"/>
  <c r="G120" i="6" l="1"/>
  <c r="F121" i="6"/>
  <c r="J94" i="6"/>
  <c r="G94" i="7"/>
  <c r="G121" i="6" l="1"/>
  <c r="F122" i="6"/>
  <c r="J95" i="6"/>
  <c r="G95" i="7"/>
  <c r="G122" i="6" l="1"/>
  <c r="F123" i="6"/>
  <c r="J96" i="6"/>
  <c r="G96" i="7"/>
  <c r="G123" i="6" l="1"/>
  <c r="F124" i="6"/>
  <c r="J97" i="6"/>
  <c r="G97" i="7"/>
  <c r="G124" i="6" l="1"/>
  <c r="F125" i="6"/>
  <c r="J98" i="6"/>
  <c r="G98" i="7"/>
  <c r="G125" i="6" l="1"/>
  <c r="F126" i="6"/>
  <c r="J99" i="6"/>
  <c r="G99" i="7"/>
  <c r="G126" i="6" l="1"/>
  <c r="F127" i="6"/>
  <c r="J100" i="6"/>
  <c r="G100" i="7"/>
  <c r="G127" i="6" l="1"/>
  <c r="F128" i="6"/>
  <c r="J101" i="6"/>
  <c r="G101" i="7"/>
  <c r="G128" i="6" l="1"/>
  <c r="F129" i="6"/>
  <c r="J102" i="6"/>
  <c r="G102" i="7"/>
  <c r="G129" i="6" l="1"/>
  <c r="F130" i="6"/>
  <c r="J103" i="6"/>
  <c r="G103" i="7"/>
  <c r="G130" i="6" l="1"/>
  <c r="F131" i="6"/>
  <c r="J104" i="6"/>
  <c r="G104" i="7"/>
  <c r="G131" i="6" l="1"/>
  <c r="F132" i="6"/>
  <c r="J105" i="6"/>
  <c r="G105" i="7"/>
  <c r="G132" i="6" l="1"/>
  <c r="F133" i="6"/>
  <c r="J106" i="6"/>
  <c r="G106" i="7"/>
  <c r="G133" i="6" l="1"/>
  <c r="F134" i="6"/>
  <c r="J107" i="6"/>
  <c r="G107" i="7"/>
  <c r="G134" i="6" l="1"/>
  <c r="F135" i="6"/>
  <c r="J108" i="6"/>
  <c r="G108" i="7"/>
  <c r="G135" i="6" l="1"/>
  <c r="F136" i="6"/>
  <c r="J109" i="6"/>
  <c r="G109" i="7"/>
  <c r="G136" i="6" l="1"/>
  <c r="F137" i="6"/>
  <c r="J110" i="6"/>
  <c r="G110" i="7"/>
  <c r="G137" i="6" l="1"/>
  <c r="F138" i="6"/>
  <c r="J111" i="6"/>
  <c r="G111" i="7"/>
  <c r="G138" i="6" l="1"/>
  <c r="F139" i="6"/>
  <c r="J112" i="6"/>
  <c r="G112" i="7"/>
  <c r="G139" i="6" l="1"/>
  <c r="F140" i="6"/>
  <c r="J113" i="6"/>
  <c r="G113" i="7"/>
  <c r="G140" i="6" l="1"/>
  <c r="F141" i="6"/>
  <c r="J114" i="6"/>
  <c r="G114" i="7"/>
  <c r="G141" i="6" l="1"/>
  <c r="F142" i="6"/>
  <c r="J115" i="6"/>
  <c r="G115" i="7"/>
  <c r="F143" i="6" l="1"/>
  <c r="G142" i="6"/>
  <c r="J116" i="6"/>
  <c r="G116" i="7"/>
  <c r="F144" i="6" l="1"/>
  <c r="G143" i="6"/>
  <c r="J117" i="6"/>
  <c r="G117" i="7"/>
  <c r="G144" i="6" l="1"/>
  <c r="F145" i="6"/>
  <c r="J118" i="6"/>
  <c r="G118" i="7"/>
  <c r="F146" i="6" l="1"/>
  <c r="G145" i="6"/>
  <c r="J119" i="6"/>
  <c r="G119" i="7"/>
  <c r="G146" i="6" l="1"/>
  <c r="F147" i="6"/>
  <c r="J120" i="6"/>
  <c r="G120" i="7"/>
  <c r="F148" i="6" l="1"/>
  <c r="F149" i="6" s="1"/>
  <c r="F150" i="6" s="1"/>
  <c r="F151" i="6" s="1"/>
  <c r="F152" i="6" s="1"/>
  <c r="F153" i="6" s="1"/>
  <c r="F154" i="6" s="1"/>
  <c r="F155" i="6" s="1"/>
  <c r="F156" i="6" s="1"/>
  <c r="F157" i="6" s="1"/>
  <c r="F158" i="6" s="1"/>
  <c r="F159" i="6" s="1"/>
  <c r="F160" i="6" s="1"/>
  <c r="F161" i="6" s="1"/>
  <c r="F162" i="6" s="1"/>
  <c r="F163" i="6" s="1"/>
  <c r="F164" i="6" s="1"/>
  <c r="F165" i="6" s="1"/>
  <c r="F166" i="6" s="1"/>
  <c r="F167" i="6" s="1"/>
  <c r="F168" i="6" s="1"/>
  <c r="F169" i="6" s="1"/>
  <c r="F170" i="6" s="1"/>
  <c r="F171" i="6" s="1"/>
  <c r="F172" i="6" s="1"/>
  <c r="F173" i="6" s="1"/>
  <c r="F174" i="6" s="1"/>
  <c r="F175" i="6" s="1"/>
  <c r="F176" i="6" s="1"/>
  <c r="F177" i="6" s="1"/>
  <c r="F178" i="6" s="1"/>
  <c r="F179" i="6" s="1"/>
  <c r="F180" i="6" s="1"/>
  <c r="F181" i="6" s="1"/>
  <c r="F182" i="6" s="1"/>
  <c r="F183" i="6" s="1"/>
  <c r="F184" i="6" s="1"/>
  <c r="F185" i="6" s="1"/>
  <c r="F186" i="6" s="1"/>
  <c r="F187" i="6" s="1"/>
  <c r="F188" i="6" s="1"/>
  <c r="F189" i="6" s="1"/>
  <c r="F190" i="6" s="1"/>
  <c r="F191" i="6" s="1"/>
  <c r="F192" i="6" s="1"/>
  <c r="F193" i="6" s="1"/>
  <c r="F194" i="6" s="1"/>
  <c r="F195" i="6" s="1"/>
  <c r="F196" i="6" s="1"/>
  <c r="F197" i="6" s="1"/>
  <c r="F198" i="6" s="1"/>
  <c r="F199" i="6" s="1"/>
  <c r="F200" i="6" s="1"/>
  <c r="F201" i="6" s="1"/>
  <c r="G147" i="6"/>
  <c r="J121" i="6"/>
  <c r="G121" i="7"/>
  <c r="J122" i="6" l="1"/>
  <c r="G122" i="7"/>
  <c r="J123" i="6" l="1"/>
  <c r="G123" i="7"/>
  <c r="J124" i="6" l="1"/>
  <c r="G124" i="7"/>
  <c r="J125" i="6" l="1"/>
  <c r="G125" i="7"/>
  <c r="J126" i="6" l="1"/>
  <c r="G126" i="7"/>
  <c r="J127" i="6" l="1"/>
  <c r="G127" i="7"/>
  <c r="J128" i="6" l="1"/>
  <c r="G128" i="7"/>
  <c r="J129" i="6" l="1"/>
  <c r="G129" i="7"/>
  <c r="J130" i="6" l="1"/>
  <c r="G130" i="7"/>
  <c r="J131" i="6" l="1"/>
  <c r="G131" i="7"/>
  <c r="J132" i="6" l="1"/>
  <c r="G132" i="7"/>
  <c r="J133" i="6" l="1"/>
  <c r="G133" i="7"/>
  <c r="J134" i="6" l="1"/>
  <c r="G134" i="7"/>
  <c r="J135" i="6" l="1"/>
  <c r="G135" i="7"/>
  <c r="J136" i="6" l="1"/>
  <c r="G136" i="7"/>
  <c r="J137" i="6" l="1"/>
  <c r="G137" i="7"/>
  <c r="J138" i="6" l="1"/>
  <c r="G138" i="7"/>
  <c r="J139" i="6" l="1"/>
  <c r="G139" i="7"/>
  <c r="J140" i="6" l="1"/>
  <c r="G140" i="7"/>
  <c r="J141" i="6" l="1"/>
  <c r="G141" i="7"/>
  <c r="J142" i="6" l="1"/>
  <c r="G142" i="7"/>
  <c r="J143" i="6" l="1"/>
  <c r="G143" i="7"/>
  <c r="J144" i="6" l="1"/>
  <c r="G144" i="7"/>
  <c r="J145" i="6" l="1"/>
  <c r="G145" i="7"/>
  <c r="J146" i="6" l="1"/>
  <c r="G146" i="7"/>
  <c r="J147" i="6" l="1"/>
  <c r="G147" i="7"/>
  <c r="G148" i="6"/>
  <c r="J148" i="6" l="1"/>
  <c r="G148" i="7"/>
  <c r="G149" i="6"/>
  <c r="J149" i="6" l="1"/>
  <c r="G149" i="7"/>
  <c r="G150" i="6"/>
  <c r="J150" i="6" l="1"/>
  <c r="G150" i="7"/>
  <c r="G151" i="6"/>
  <c r="J151" i="6" l="1"/>
  <c r="G151" i="7"/>
  <c r="G152" i="6"/>
  <c r="J152" i="6" l="1"/>
  <c r="G152" i="7"/>
  <c r="G153" i="6"/>
  <c r="J153" i="6" l="1"/>
  <c r="G153" i="7"/>
  <c r="G154" i="6"/>
  <c r="J154" i="6" l="1"/>
  <c r="G154" i="7"/>
  <c r="G155" i="6"/>
  <c r="J155" i="6" l="1"/>
  <c r="G155" i="7"/>
  <c r="G156" i="6"/>
  <c r="J156" i="6" l="1"/>
  <c r="G156" i="7"/>
  <c r="G157" i="6"/>
  <c r="J157" i="6" l="1"/>
  <c r="G157" i="7"/>
  <c r="G158" i="6"/>
  <c r="J158" i="6" l="1"/>
  <c r="G158" i="7"/>
  <c r="G159" i="6"/>
  <c r="J159" i="6" l="1"/>
  <c r="G159" i="7"/>
  <c r="G160" i="6"/>
  <c r="J160" i="6" l="1"/>
  <c r="G160" i="7"/>
  <c r="G161" i="6"/>
  <c r="J161" i="6" l="1"/>
  <c r="G161" i="7"/>
  <c r="G162" i="6"/>
  <c r="J162" i="6" l="1"/>
  <c r="G162" i="7"/>
  <c r="G163" i="6"/>
  <c r="J163" i="6" l="1"/>
  <c r="G163" i="7"/>
  <c r="G164" i="6"/>
  <c r="J164" i="6" l="1"/>
  <c r="G164" i="7"/>
  <c r="G165" i="6"/>
  <c r="J165" i="6" l="1"/>
  <c r="G165" i="7"/>
  <c r="G166" i="6"/>
  <c r="J166" i="6" l="1"/>
  <c r="G166" i="7"/>
  <c r="G167" i="6"/>
  <c r="J167" i="6" l="1"/>
  <c r="G167" i="7"/>
  <c r="G168" i="6"/>
  <c r="J168" i="6" l="1"/>
  <c r="G168" i="7"/>
  <c r="G169" i="6"/>
  <c r="J169" i="6" l="1"/>
  <c r="G169" i="7"/>
  <c r="G170" i="6"/>
  <c r="J170" i="6" l="1"/>
  <c r="G170" i="7"/>
  <c r="G171" i="6"/>
  <c r="J171" i="6" l="1"/>
  <c r="G171" i="7"/>
  <c r="G172" i="6"/>
  <c r="J172" i="6" l="1"/>
  <c r="G172" i="7"/>
  <c r="G173" i="6"/>
  <c r="J173" i="6" l="1"/>
  <c r="G173" i="7"/>
  <c r="G174" i="6"/>
  <c r="J174" i="6" l="1"/>
  <c r="G174" i="7"/>
  <c r="G175" i="6"/>
  <c r="J175" i="6" s="1"/>
  <c r="G176" i="6" l="1"/>
  <c r="J176" i="6" s="1"/>
  <c r="G177" i="6" l="1"/>
  <c r="J177" i="6" s="1"/>
  <c r="G178" i="6" l="1"/>
  <c r="J178" i="6" s="1"/>
  <c r="G179" i="6" l="1"/>
  <c r="J179" i="6" s="1"/>
  <c r="G180" i="6" l="1"/>
  <c r="J180" i="6" s="1"/>
  <c r="G181" i="6" l="1"/>
  <c r="J181" i="6" s="1"/>
  <c r="G182" i="6" l="1"/>
  <c r="J182" i="6" s="1"/>
  <c r="G183" i="6" l="1"/>
  <c r="J183" i="6" s="1"/>
  <c r="G184" i="6" l="1"/>
  <c r="J184" i="6" s="1"/>
  <c r="G185" i="6" l="1"/>
  <c r="J185" i="6" s="1"/>
  <c r="G186" i="6" l="1"/>
  <c r="J186" i="6" s="1"/>
  <c r="G187" i="6" l="1"/>
  <c r="J187" i="6" s="1"/>
  <c r="G188" i="6" l="1"/>
  <c r="J188" i="6" s="1"/>
  <c r="G189" i="6" l="1"/>
  <c r="J189" i="6" s="1"/>
  <c r="G190" i="6" l="1"/>
  <c r="J190" i="6" s="1"/>
  <c r="G191" i="6" l="1"/>
  <c r="J191" i="6" s="1"/>
  <c r="G192" i="6" l="1"/>
  <c r="J192" i="6" s="1"/>
  <c r="G193" i="6" l="1"/>
  <c r="J193" i="6" s="1"/>
  <c r="G194" i="6" l="1"/>
  <c r="J194" i="6" s="1"/>
  <c r="G195" i="6" l="1"/>
  <c r="J195" i="6" s="1"/>
  <c r="G196" i="6" l="1"/>
  <c r="J196" i="6" s="1"/>
  <c r="G197" i="6" l="1"/>
  <c r="J197" i="6" s="1"/>
  <c r="G198" i="6" l="1"/>
  <c r="J198" i="6" s="1"/>
  <c r="G199" i="6" l="1"/>
  <c r="J199" i="6" s="1"/>
  <c r="G200" i="6" l="1"/>
  <c r="J200" i="6" s="1"/>
  <c r="G201" i="6"/>
  <c r="J201" i="6" l="1"/>
  <c r="G201" i="7"/>
</calcChain>
</file>

<file path=xl/sharedStrings.xml><?xml version="1.0" encoding="utf-8"?>
<sst xmlns="http://schemas.openxmlformats.org/spreadsheetml/2006/main" count="64" uniqueCount="41">
  <si>
    <t>Account Name</t>
  </si>
  <si>
    <t>Opportunity Name</t>
  </si>
  <si>
    <t>Opportunity ID</t>
  </si>
  <si>
    <t>Account ID</t>
  </si>
  <si>
    <t>Total NMA</t>
  </si>
  <si>
    <t>Account Owner: Full Name</t>
  </si>
  <si>
    <t>Created Date</t>
  </si>
  <si>
    <t>Chase Rodgers</t>
  </si>
  <si>
    <t>Eric Heringer</t>
  </si>
  <si>
    <t>John Jones</t>
  </si>
  <si>
    <t>How many Opps</t>
  </si>
  <si>
    <t>Even Account Divistion</t>
  </si>
  <si>
    <t>NMA Loading</t>
  </si>
  <si>
    <t>Even NMA Spread</t>
  </si>
  <si>
    <t>Groups</t>
  </si>
  <si>
    <t>STD NMA</t>
  </si>
  <si>
    <t>Dev from EAD</t>
  </si>
  <si>
    <t>Account Owner</t>
  </si>
  <si>
    <t># of Accounts</t>
  </si>
  <si>
    <t>Deviations from EAD</t>
  </si>
  <si>
    <t>Billy LaFortune</t>
  </si>
  <si>
    <t>Same Account</t>
  </si>
  <si>
    <t>Sales guys</t>
  </si>
  <si>
    <t># of Account Deviations</t>
  </si>
  <si>
    <t>Landman</t>
  </si>
  <si>
    <t>Landman Salesforce ID</t>
  </si>
  <si>
    <t>Landman SF ID</t>
  </si>
  <si>
    <t># of Call Guys</t>
  </si>
  <si>
    <t>Row Labels</t>
  </si>
  <si>
    <t>Grand Total</t>
  </si>
  <si>
    <t>Sum of # of Accounts</t>
  </si>
  <si>
    <t>Sum of Total NMA</t>
  </si>
  <si>
    <t xml:space="preserve"> </t>
  </si>
  <si>
    <t>STD Dev</t>
  </si>
  <si>
    <t>0053600000D5IjDAAV</t>
  </si>
  <si>
    <t>00536000002ntUiAAI</t>
  </si>
  <si>
    <t>00536000002ntUnAAI</t>
  </si>
  <si>
    <t>00536000006EWEs</t>
  </si>
  <si>
    <t>Jackson Bailey</t>
  </si>
  <si>
    <t>Kyle Ostrow</t>
  </si>
  <si>
    <t>Ryan Holligan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</si>
</sst>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0"/>
      <name val="Times New Roman"/>
      <family val="1"/>
    </font>
    <font>
      <sz val="11"/>
      <color rgb="FF000000"/>
      <name val="Calibri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rgb="FFFFCC99"/>
        <bgColor indexed="64"/>
      </patternFill>
    </fill>
  </fills>
  <borders count="3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/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/>
      <right style="thin">
        <color theme="4" tint="0.39997558519241921"/>
      </right>
      <top style="thin">
        <color indexed="64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/>
      <top style="thick">
        <color auto="1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3">
    <xf numFmtId="0" fontId="0" fillId="0" borderId="0" xfId="0"/>
    <xf numFmtId="0" fontId="19" fillId="0" borderId="0" xfId="0" applyFont="1"/>
    <xf numFmtId="0" fontId="19" fillId="0" borderId="10" xfId="0" applyFont="1" applyBorder="1" applyAlignment="1">
      <alignment horizontal="center" vertical="center"/>
    </xf>
    <xf numFmtId="0" fontId="19" fillId="0" borderId="12" xfId="0" applyFont="1" applyBorder="1"/>
    <xf numFmtId="0" fontId="19" fillId="0" borderId="0" xfId="0" applyFont="1" applyAlignment="1">
      <alignment horizontal="center"/>
    </xf>
    <xf numFmtId="0" fontId="0" fillId="0" borderId="0" xfId="0" applyAlignment="1">
      <alignment horizontal="left"/>
    </xf>
    <xf numFmtId="0" fontId="0" fillId="0" borderId="0" xfId="0" applyBorder="1"/>
    <xf numFmtId="0" fontId="0" fillId="0" borderId="13" xfId="0" applyBorder="1"/>
    <xf numFmtId="0" fontId="18" fillId="0" borderId="10" xfId="0" applyFont="1" applyBorder="1" applyAlignment="1">
      <alignment horizontal="center" vertical="center"/>
    </xf>
    <xf numFmtId="0" fontId="0" fillId="0" borderId="14" xfId="0" applyFill="1" applyBorder="1"/>
    <xf numFmtId="0" fontId="16" fillId="0" borderId="0" xfId="0" applyFont="1"/>
    <xf numFmtId="0" fontId="0" fillId="33" borderId="11" xfId="0" applyFill="1" applyBorder="1"/>
    <xf numFmtId="0" fontId="0" fillId="0" borderId="11" xfId="0" applyBorder="1"/>
    <xf numFmtId="0" fontId="0" fillId="0" borderId="23" xfId="0" applyBorder="1"/>
    <xf numFmtId="0" fontId="19" fillId="0" borderId="0" xfId="0" applyFont="1" applyBorder="1" applyAlignment="1">
      <alignment horizontal="center" vertical="center"/>
    </xf>
    <xf numFmtId="0" fontId="19" fillId="0" borderId="0" xfId="0" applyFont="1" applyBorder="1"/>
    <xf numFmtId="0" fontId="19" fillId="0" borderId="25" xfId="0" applyFont="1" applyBorder="1" applyAlignment="1">
      <alignment horizontal="center" vertical="center"/>
    </xf>
    <xf numFmtId="0" fontId="19" fillId="0" borderId="24" xfId="0" applyFont="1" applyBorder="1" applyAlignment="1">
      <alignment horizontal="center" vertical="center"/>
    </xf>
    <xf numFmtId="0" fontId="0" fillId="0" borderId="27" xfId="0" applyFont="1" applyBorder="1"/>
    <xf numFmtId="0" fontId="0" fillId="0" borderId="28" xfId="0" applyFont="1" applyBorder="1"/>
    <xf numFmtId="0" fontId="0" fillId="0" borderId="29" xfId="0" applyFont="1" applyBorder="1"/>
    <xf numFmtId="0" fontId="20" fillId="35" borderId="30" xfId="0" applyFont="1" applyFill="1" applyBorder="1" applyAlignment="1">
      <alignment horizontal="center" vertical="center"/>
    </xf>
    <xf numFmtId="0" fontId="13" fillId="35" borderId="14" xfId="0" applyFont="1" applyFill="1" applyBorder="1"/>
    <xf numFmtId="0" fontId="13" fillId="35" borderId="31" xfId="0" applyFont="1" applyFill="1" applyBorder="1"/>
    <xf numFmtId="0" fontId="0" fillId="34" borderId="30" xfId="0" applyFont="1" applyFill="1" applyBorder="1"/>
    <xf numFmtId="0" fontId="0" fillId="34" borderId="14" xfId="0" applyFont="1" applyFill="1" applyBorder="1"/>
    <xf numFmtId="0" fontId="0" fillId="34" borderId="31" xfId="0" applyFont="1" applyFill="1" applyBorder="1"/>
    <xf numFmtId="0" fontId="0" fillId="0" borderId="30" xfId="0" applyFont="1" applyBorder="1"/>
    <xf numFmtId="0" fontId="0" fillId="0" borderId="14" xfId="0" applyFont="1" applyBorder="1"/>
    <xf numFmtId="0" fontId="0" fillId="0" borderId="32" xfId="0" applyFont="1" applyBorder="1"/>
    <xf numFmtId="0" fontId="0" fillId="34" borderId="32" xfId="0" applyFont="1" applyFill="1" applyBorder="1"/>
    <xf numFmtId="0" fontId="0" fillId="0" borderId="0" xfId="0" applyNumberFormat="1"/>
    <xf numFmtId="0" fontId="0" fillId="0" borderId="0" xfId="0" applyProtection="1"/>
    <xf numFmtId="0" fontId="18" fillId="0" borderId="15" xfId="0" applyFont="1" applyFill="1" applyBorder="1" applyAlignment="1" applyProtection="1">
      <alignment horizontal="center" vertical="center" wrapText="1"/>
      <protection locked="0"/>
    </xf>
    <xf numFmtId="0" fontId="18" fillId="0" borderId="16" xfId="0" applyFont="1" applyFill="1" applyBorder="1" applyAlignment="1" applyProtection="1">
      <alignment horizontal="center" vertical="center" wrapText="1"/>
      <protection locked="0"/>
    </xf>
    <xf numFmtId="0" fontId="18" fillId="0" borderId="20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18" fillId="0" borderId="22" xfId="0" applyFont="1" applyFill="1" applyBorder="1" applyAlignment="1" applyProtection="1">
      <alignment horizontal="center" vertical="center" wrapText="1"/>
      <protection locked="0"/>
    </xf>
    <xf numFmtId="14" fontId="0" fillId="0" borderId="0" xfId="0" applyNumberFormat="1" applyProtection="1">
      <protection locked="0"/>
    </xf>
    <xf numFmtId="0" fontId="19" fillId="0" borderId="17" xfId="0" applyFont="1" applyFill="1" applyBorder="1" applyAlignment="1" applyProtection="1">
      <alignment horizontal="center"/>
      <protection locked="0"/>
    </xf>
    <xf numFmtId="0" fontId="19" fillId="0" borderId="0" xfId="0" applyFont="1" applyFill="1" applyBorder="1" applyProtection="1">
      <protection locked="0"/>
    </xf>
    <xf numFmtId="0" fontId="19" fillId="0" borderId="0" xfId="0" applyFont="1" applyProtection="1">
      <protection locked="0"/>
    </xf>
    <xf numFmtId="0" fontId="19" fillId="0" borderId="0" xfId="0" applyFont="1" applyAlignment="1" applyProtection="1">
      <alignment horizontal="center"/>
      <protection locked="0"/>
    </xf>
    <xf numFmtId="0" fontId="0" fillId="0" borderId="33" xfId="0" applyBorder="1"/>
    <xf numFmtId="0" fontId="0" fillId="0" borderId="34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33" xfId="0" applyBorder="1" applyProtection="1">
      <protection locked="0"/>
    </xf>
    <xf numFmtId="0" fontId="19" fillId="0" borderId="33" xfId="0" applyFont="1" applyBorder="1" applyProtection="1">
      <protection locked="0"/>
    </xf>
    <xf numFmtId="0" fontId="19" fillId="0" borderId="33" xfId="0" applyFont="1" applyBorder="1" applyAlignment="1" applyProtection="1">
      <alignment horizontal="center"/>
      <protection locked="0"/>
    </xf>
    <xf numFmtId="0" fontId="18" fillId="0" borderId="35" xfId="0" applyFont="1" applyFill="1" applyBorder="1" applyAlignment="1">
      <alignment horizontal="center" vertical="center" wrapText="1"/>
    </xf>
    <xf numFmtId="0" fontId="18" fillId="0" borderId="36" xfId="0" applyFont="1" applyFill="1" applyBorder="1" applyAlignment="1">
      <alignment horizontal="center" vertical="center" wrapText="1"/>
    </xf>
    <xf numFmtId="0" fontId="18" fillId="0" borderId="37" xfId="0" applyFont="1" applyFill="1" applyBorder="1" applyAlignment="1">
      <alignment horizontal="center" vertical="center" wrapText="1"/>
    </xf>
    <xf numFmtId="0" fontId="0" fillId="0" borderId="35" xfId="0" applyBorder="1"/>
    <xf numFmtId="0" fontId="0" fillId="0" borderId="36" xfId="0" applyBorder="1"/>
    <xf numFmtId="0" fontId="0" fillId="0" borderId="37" xfId="0" applyBorder="1"/>
    <xf numFmtId="49" fontId="0" fillId="0" borderId="0" xfId="0" applyNumberFormat="1"/>
    <xf numFmtId="49" fontId="0" fillId="0" borderId="0" xfId="0" applyNumberFormat="1" applyProtection="1">
      <protection locked="0"/>
    </xf>
    <xf numFmtId="49" fontId="18" fillId="0" borderId="16" xfId="0" applyNumberFormat="1" applyFont="1" applyFill="1" applyBorder="1" applyAlignment="1" applyProtection="1">
      <alignment horizontal="center" vertical="center" wrapText="1"/>
      <protection locked="0"/>
    </xf>
    <xf numFmtId="49" fontId="19" fillId="0" borderId="33" xfId="0" applyNumberFormat="1" applyFont="1" applyBorder="1" applyProtection="1">
      <protection locked="0"/>
    </xf>
    <xf numFmtId="49" fontId="19" fillId="0" borderId="0" xfId="0" applyNumberFormat="1" applyFont="1" applyProtection="1">
      <protection locked="0"/>
    </xf>
    <xf numFmtId="49" fontId="19" fillId="0" borderId="0" xfId="0" applyNumberFormat="1" applyFont="1"/>
    <xf numFmtId="0" fontId="0" fillId="0" borderId="21" xfId="0" applyBorder="1" applyProtection="1">
      <protection locked="0"/>
    </xf>
    <xf numFmtId="0" fontId="18" fillId="36" borderId="16" xfId="0" applyFont="1" applyFill="1" applyBorder="1" applyAlignment="1">
      <alignment horizontal="center" vertical="center" wrapText="1"/>
    </xf>
    <xf numFmtId="0" fontId="18" fillId="36" borderId="0" xfId="0" applyFont="1" applyFill="1" applyBorder="1" applyAlignment="1">
      <alignment horizontal="center" vertical="center" wrapText="1"/>
    </xf>
    <xf numFmtId="0" fontId="0" fillId="36" borderId="26" xfId="0" applyFill="1" applyBorder="1"/>
    <xf numFmtId="0" fontId="0" fillId="36" borderId="0" xfId="0" applyFill="1"/>
    <xf numFmtId="14" fontId="0" fillId="36" borderId="0" xfId="0" applyNumberFormat="1" applyFill="1"/>
    <xf numFmtId="0" fontId="0" fillId="36" borderId="0" xfId="0" applyFill="1" applyAlignment="1">
      <alignment horizontal="center"/>
    </xf>
    <xf numFmtId="0" fontId="0" fillId="0" borderId="0" xfId="0"/>
    <xf numFmtId="0" fontId="0" fillId="0" borderId="0" xfId="0" pivotButton="1"/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C99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[NMA Distribution Utility 8.29.18.xlsm]Results!PivotTable1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Results!$C$17</c:f>
              <c:strCache>
                <c:ptCount val="1"/>
                <c:pt idx="0">
                  <c:v>Sum of # of Accounts</c:v>
                </c:pt>
              </c:strCache>
            </c:strRef>
          </c:tx>
          <c:invertIfNegative val="0"/>
          <c:cat>
            <c:strRef>
              <c:f>Results!$B$18:$B$23</c:f>
              <c:strCache>
                <c:ptCount val="5"/>
                <c:pt idx="0">
                  <c:v>Billy LaFortune</c:v>
                </c:pt>
                <c:pt idx="1">
                  <c:v>Chase Rodgers</c:v>
                </c:pt>
                <c:pt idx="2">
                  <c:v>Eric Heringer</c:v>
                </c:pt>
                <c:pt idx="3">
                  <c:v>John Jones</c:v>
                </c:pt>
              </c:strCache>
            </c:strRef>
          </c:cat>
          <c:val>
            <c:numRef>
              <c:f>Results!$C$18:$C$23</c:f>
              <c:numCache>
                <c:formatCode>General</c:formatCode>
                <c:ptCount val="5"/>
                <c:pt idx="0">
                  <c:v>20</c:v>
                </c:pt>
                <c:pt idx="1">
                  <c:v>30</c:v>
                </c:pt>
                <c:pt idx="2">
                  <c:v>28</c:v>
                </c:pt>
                <c:pt idx="3">
                  <c:v>20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17-452D-9BC3-B61A9C133891}"/>
            </c:ext>
          </c:extLst>
        </c:ser>
        <c:ser>
          <c:idx val="1"/>
          <c:order val="1"/>
          <c:tx>
            <c:strRef>
              <c:f>Results!$D$17</c:f>
              <c:strCache>
                <c:ptCount val="1"/>
                <c:pt idx="0">
                  <c:v>Sum of Total NMA</c:v>
                </c:pt>
              </c:strCache>
            </c:strRef>
          </c:tx>
          <c:invertIfNegative val="0"/>
          <c:cat>
            <c:strRef>
              <c:f>Results!$B$18:$B$23</c:f>
              <c:strCache>
                <c:ptCount val="5"/>
                <c:pt idx="0">
                  <c:v>Billy LaFortune</c:v>
                </c:pt>
                <c:pt idx="1">
                  <c:v>Chase Rodgers</c:v>
                </c:pt>
                <c:pt idx="2">
                  <c:v>Eric Heringer</c:v>
                </c:pt>
                <c:pt idx="3">
                  <c:v>John Jones</c:v>
                </c:pt>
              </c:strCache>
            </c:strRef>
          </c:cat>
          <c:val>
            <c:numRef>
              <c:f>Results!$D$18:$D$23</c:f>
              <c:numCache>
                <c:formatCode>General</c:formatCode>
                <c:ptCount val="5"/>
                <c:pt idx="0">
                  <c:v>59.607738278999989</c:v>
                </c:pt>
                <c:pt idx="1">
                  <c:v>105.583530379</c:v>
                </c:pt>
                <c:pt idx="2">
                  <c:v>78.542982714999994</c:v>
                </c:pt>
                <c:pt idx="3">
                  <c:v>119.00405323999999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17-452D-9BC3-B61A9C1338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2809472"/>
        <c:axId val="92815360"/>
      </c:barChart>
      <c:catAx>
        <c:axId val="9280947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92815360"/>
        <c:crosses val="autoZero"/>
        <c:auto val="1"/>
        <c:lblAlgn val="ctr"/>
        <c:lblOffset val="100"/>
        <c:noMultiLvlLbl val="0"/>
      </c:catAx>
      <c:valAx>
        <c:axId val="928153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28094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22" fmlaLink="Distribution!$T$2" fmlaRange="Distribution!$E$218:$E$229" noThreeD="1" sel="3" val="0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373380</xdr:colOff>
          <xdr:row>21</xdr:row>
          <xdr:rowOff>60960</xdr:rowOff>
        </xdr:from>
        <xdr:to>
          <xdr:col>8</xdr:col>
          <xdr:colOff>822960</xdr:colOff>
          <xdr:row>27</xdr:row>
          <xdr:rowOff>182880</xdr:rowOff>
        </xdr:to>
        <xdr:sp macro="" textlink="">
          <xdr:nvSpPr>
            <xdr:cNvPr id="1025" name="Button 1" descr="Calculate NMA Distro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NMA Distro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</xdr:colOff>
          <xdr:row>24</xdr:row>
          <xdr:rowOff>0</xdr:rowOff>
        </xdr:from>
        <xdr:to>
          <xdr:col>11</xdr:col>
          <xdr:colOff>1478280</xdr:colOff>
          <xdr:row>25</xdr:row>
          <xdr:rowOff>0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106680</xdr:colOff>
          <xdr:row>21</xdr:row>
          <xdr:rowOff>60960</xdr:rowOff>
        </xdr:from>
        <xdr:to>
          <xdr:col>7</xdr:col>
          <xdr:colOff>266700</xdr:colOff>
          <xdr:row>27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Populate Distribution &amp;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Combine Duplicate Accounts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34735</xdr:colOff>
      <xdr:row>0</xdr:row>
      <xdr:rowOff>33618</xdr:rowOff>
    </xdr:from>
    <xdr:to>
      <xdr:col>4</xdr:col>
      <xdr:colOff>1086970</xdr:colOff>
      <xdr:row>15</xdr:row>
      <xdr:rowOff>179294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34735" y="33618"/>
          <a:ext cx="5265647" cy="407894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Steps For Success:</a:t>
          </a:r>
          <a:r>
            <a:rPr lang="en-US"/>
            <a:t> </a:t>
          </a:r>
        </a:p>
        <a:p>
          <a:pPr algn="ctr"/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Paste Accounts into 'Account Dump' Sheet up to and including "Total NMA" </a:t>
          </a:r>
          <a:r>
            <a:rPr lang="en-US" sz="1100" b="1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only</a:t>
          </a:r>
          <a:r>
            <a:rPr lang="en-US"/>
            <a:t> </a:t>
          </a:r>
          <a:br>
            <a:rPr lang="en-US"/>
          </a:br>
          <a:br>
            <a:rPr lang="en-US"/>
          </a:b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to 'Results' Sheet and click "Populate</a:t>
          </a:r>
          <a:r>
            <a:rPr lang="en-US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Distribution &amp;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Combine Duplicate Accounts"</a:t>
          </a:r>
          <a:r>
            <a:rPr lang="en-US"/>
            <a:t> </a:t>
          </a:r>
          <a:br>
            <a:rPr lang="en-US"/>
          </a:br>
          <a:br>
            <a:rPr lang="en-US"/>
          </a:b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Once completed, select the # of accounts +/- from an even division of accounts to calculate for. The smaller this #, the closer the # of accounts per sales guy will be. However, too small a number may not have a solution.</a:t>
          </a:r>
          <a:r>
            <a:rPr lang="en-US"/>
            <a:t> </a:t>
          </a:r>
        </a:p>
        <a:p>
          <a:pPr algn="ctr"/>
          <a:endParaRPr lang="en-US"/>
        </a:p>
        <a:p>
          <a:pPr algn="ctr"/>
          <a:r>
            <a:rPr lang="en-US"/>
            <a:t>Enter</a:t>
          </a:r>
          <a:r>
            <a:rPr lang="en-US" baseline="0"/>
            <a:t> in the name of every landman to receive deals in the chart below.</a:t>
          </a:r>
          <a:br>
            <a:rPr lang="en-US"/>
          </a:br>
          <a:br>
            <a:rPr lang="en-US"/>
          </a:b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 the "Calculate NMA Distro" button. Press escape at any time to stop the Solver and accept the current solution.</a:t>
          </a:r>
          <a:r>
            <a:rPr lang="en-US"/>
            <a:t> </a:t>
          </a:r>
          <a:br>
            <a:rPr lang="en-US"/>
          </a:br>
          <a:br>
            <a:rPr lang="en-US"/>
          </a:br>
          <a:r>
            <a:rPr lang="en-US"/>
            <a:t>Once the desired distribution</a:t>
          </a:r>
          <a:r>
            <a:rPr lang="en-US" baseline="0"/>
            <a:t> is reached, return to the 'Account Dump' Sheet to view the distribution of accounts. </a:t>
          </a:r>
        </a:p>
        <a:p>
          <a:pPr algn="ctr"/>
          <a:br>
            <a:rPr lang="en-US" baseline="0"/>
          </a:br>
          <a:r>
            <a:rPr lang="en-US" baseline="0"/>
            <a:t>Copy the list of opportunities from the 'Account Dump' Sheet to the desired output location (eg Salesforce)</a:t>
          </a:r>
        </a:p>
        <a:p>
          <a:pPr algn="ctr"/>
          <a:endParaRPr lang="en-US" sz="1100" baseline="0"/>
        </a:p>
        <a:p>
          <a:pPr algn="ctr"/>
          <a:r>
            <a:rPr lang="en-US" sz="1100" baseline="0"/>
            <a:t>Press 'Reset Groups' when the # of call guys changes and rerun the distribution. Press 'Reset Distribution' when pasting in new datasets to delete the current distribution for a fresh start.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21</xdr:row>
          <xdr:rowOff>38100</xdr:rowOff>
        </xdr:from>
        <xdr:to>
          <xdr:col>6</xdr:col>
          <xdr:colOff>45720</xdr:colOff>
          <xdr:row>23</xdr:row>
          <xdr:rowOff>83820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Distribution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</xdr:colOff>
          <xdr:row>23</xdr:row>
          <xdr:rowOff>137160</xdr:rowOff>
        </xdr:from>
        <xdr:to>
          <xdr:col>6</xdr:col>
          <xdr:colOff>45720</xdr:colOff>
          <xdr:row>25</xdr:row>
          <xdr:rowOff>137160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Groups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19050</xdr:colOff>
      <xdr:row>1</xdr:row>
      <xdr:rowOff>23811</xdr:rowOff>
    </xdr:from>
    <xdr:to>
      <xdr:col>12</xdr:col>
      <xdr:colOff>19050</xdr:colOff>
      <xdr:row>21</xdr:row>
      <xdr:rowOff>9524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25</xdr:row>
          <xdr:rowOff>160020</xdr:rowOff>
        </xdr:from>
        <xdr:to>
          <xdr:col>6</xdr:col>
          <xdr:colOff>45720</xdr:colOff>
          <xdr:row>28</xdr:row>
          <xdr:rowOff>38100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Account Dump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uncan Ferguson" refreshedDate="43362.678643287036" createdVersion="6" refreshedVersion="6" minRefreshableVersion="3" recordCount="19" xr:uid="{00000000-000A-0000-FFFF-FFFF2A000000}">
  <cacheSource type="worksheet">
    <worksheetSource name="PivotData"/>
  </cacheSource>
  <cacheFields count="3">
    <cacheField name="Account Owner" numFmtId="0">
      <sharedItems count="22">
        <s v="Billy LaFortune"/>
        <s v="Chase Rodgers"/>
        <s v="Eric Heringer"/>
        <s v="John Jones"/>
        <s v=""/>
        <s v="test10" u="1"/>
        <s v="test7" u="1"/>
        <s v="test11" u="1"/>
        <s v="test12" u="1"/>
        <s v="Kyle Ostrow" u="1"/>
        <s v="test6" u="1"/>
        <s v="test5" u="1"/>
        <s v="test4" u="1"/>
        <s v="Ryan Holligan" u="1"/>
        <s v="test giy 2" u="1"/>
        <s v="test3" u="1"/>
        <s v="test9" u="1"/>
        <s v="test2" u="1"/>
        <s v="test8" u="1"/>
        <s v="test guy" u="1"/>
        <s v="Jackson Bailey" u="1"/>
        <s v="test1" u="1"/>
      </sharedItems>
    </cacheField>
    <cacheField name="# of Accounts" numFmtId="0">
      <sharedItems containsMixedTypes="1" containsNumber="1" containsInteger="1" minValue="20" maxValue="30"/>
    </cacheField>
    <cacheField name="Total NMA" numFmtId="0">
      <sharedItems containsMixedTypes="1" containsNumber="1" minValue="59.607738278999989" maxValue="119.00405323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x v="0"/>
    <n v="20"/>
    <n v="59.607738278999989"/>
  </r>
  <r>
    <x v="1"/>
    <n v="30"/>
    <n v="105.583530379"/>
  </r>
  <r>
    <x v="2"/>
    <n v="28"/>
    <n v="78.542982714999994"/>
  </r>
  <r>
    <x v="3"/>
    <n v="20"/>
    <n v="119.00405323999999"/>
  </r>
  <r>
    <x v="4"/>
    <s v=""/>
    <s v=""/>
  </r>
  <r>
    <x v="4"/>
    <s v=""/>
    <s v=""/>
  </r>
  <r>
    <x v="4"/>
    <s v=""/>
    <s v=""/>
  </r>
  <r>
    <x v="4"/>
    <s v=""/>
    <s v=""/>
  </r>
  <r>
    <x v="4"/>
    <s v=""/>
    <s v=""/>
  </r>
  <r>
    <x v="4"/>
    <s v=""/>
    <s v=""/>
  </r>
  <r>
    <x v="4"/>
    <s v=""/>
    <s v=""/>
  </r>
  <r>
    <x v="4"/>
    <s v=""/>
    <s v=""/>
  </r>
  <r>
    <x v="4"/>
    <s v=""/>
    <s v=""/>
  </r>
  <r>
    <x v="4"/>
    <s v=""/>
    <s v=""/>
  </r>
  <r>
    <x v="4"/>
    <s v=""/>
    <s v=""/>
  </r>
  <r>
    <x v="4"/>
    <s v=""/>
    <s v=""/>
  </r>
  <r>
    <x v="4"/>
    <s v=""/>
    <s v=""/>
  </r>
  <r>
    <x v="4"/>
    <s v=""/>
    <s v=""/>
  </r>
  <r>
    <x v="4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1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outline="1" outlineData="1" multipleFieldFilters="0" chartFormat="1">
  <location ref="B17:D23" firstHeaderRow="0" firstDataRow="1" firstDataCol="1"/>
  <pivotFields count="3">
    <pivotField axis="axisRow" showAll="0">
      <items count="23">
        <item x="0"/>
        <item x="1"/>
        <item x="2"/>
        <item m="1" x="20"/>
        <item x="3"/>
        <item m="1" x="9"/>
        <item m="1" x="13"/>
        <item m="1" x="19"/>
        <item x="4"/>
        <item m="1" x="14"/>
        <item m="1" x="21"/>
        <item m="1" x="17"/>
        <item m="1" x="15"/>
        <item m="1" x="12"/>
        <item m="1" x="11"/>
        <item m="1" x="10"/>
        <item m="1" x="6"/>
        <item m="1" x="18"/>
        <item m="1" x="16"/>
        <item m="1" x="5"/>
        <item m="1" x="7"/>
        <item m="1" x="8"/>
        <item t="default"/>
      </items>
    </pivotField>
    <pivotField dataField="1" showAll="0"/>
    <pivotField dataField="1" showAll="0"/>
  </pivotFields>
  <rowFields count="1">
    <field x="0"/>
  </rowFields>
  <rowItems count="6">
    <i>
      <x/>
    </i>
    <i>
      <x v="1"/>
    </i>
    <i>
      <x v="2"/>
    </i>
    <i>
      <x v="4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# of Accounts" fld="1" baseField="0" baseItem="0"/>
    <dataField name="Sum of Total NMA" fld="2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H50"/>
  <sheetViews>
    <sheetView tabSelected="1" topLeftCell="A10" zoomScale="85" zoomScaleNormal="85" workbookViewId="0">
      <selection activeCell="F37" sqref="F37"/>
    </sheetView>
  </sheetViews>
  <sheetFormatPr defaultRowHeight="14.4" x14ac:dyDescent="0.3"/>
  <cols>
    <col min="1" max="1" width="11.44140625" customWidth="1"/>
    <col min="2" max="2" width="15" bestFit="1" customWidth="1"/>
    <col min="3" max="3" width="19.5546875" bestFit="1" customWidth="1"/>
    <col min="4" max="4" width="17.33203125" bestFit="1" customWidth="1"/>
    <col min="5" max="5" width="16.88671875" customWidth="1"/>
    <col min="6" max="6" width="14.33203125" bestFit="1" customWidth="1"/>
    <col min="7" max="7" width="26.44140625" customWidth="1"/>
    <col min="8" max="8" width="24" bestFit="1" customWidth="1"/>
    <col min="9" max="9" width="17.33203125" bestFit="1" customWidth="1"/>
    <col min="12" max="12" width="23" bestFit="1" customWidth="1"/>
    <col min="13" max="13" width="12.6640625" bestFit="1" customWidth="1"/>
  </cols>
  <sheetData>
    <row r="1" spans="9:34" x14ac:dyDescent="0.3">
      <c r="T1">
        <v>0</v>
      </c>
    </row>
    <row r="3" spans="9:34" x14ac:dyDescent="0.3">
      <c r="I3" s="31"/>
    </row>
    <row r="4" spans="9:34" ht="33" customHeight="1" x14ac:dyDescent="0.3">
      <c r="I4" s="31"/>
    </row>
    <row r="5" spans="9:34" ht="33" customHeight="1" x14ac:dyDescent="0.3">
      <c r="I5" s="31"/>
      <c r="AH5">
        <v>0</v>
      </c>
    </row>
    <row r="6" spans="9:34" ht="53.25" customHeight="1" x14ac:dyDescent="0.3">
      <c r="I6" s="31"/>
      <c r="AH6">
        <v>0</v>
      </c>
    </row>
    <row r="7" spans="9:34" ht="26.25" customHeight="1" x14ac:dyDescent="0.3">
      <c r="I7" s="31"/>
      <c r="AH7">
        <v>0</v>
      </c>
    </row>
    <row r="8" spans="9:34" x14ac:dyDescent="0.3">
      <c r="I8" s="31"/>
      <c r="AH8">
        <v>0</v>
      </c>
    </row>
    <row r="9" spans="9:34" x14ac:dyDescent="0.3">
      <c r="I9" s="31"/>
      <c r="AH9">
        <v>0</v>
      </c>
    </row>
    <row r="10" spans="9:34" x14ac:dyDescent="0.3">
      <c r="I10" s="31"/>
      <c r="AH10">
        <v>0</v>
      </c>
    </row>
    <row r="11" spans="9:34" x14ac:dyDescent="0.3">
      <c r="I11" s="31"/>
      <c r="AH11">
        <v>0</v>
      </c>
    </row>
    <row r="12" spans="9:34" x14ac:dyDescent="0.3">
      <c r="I12" s="31"/>
    </row>
    <row r="13" spans="9:34" x14ac:dyDescent="0.3">
      <c r="I13" s="31"/>
    </row>
    <row r="14" spans="9:34" x14ac:dyDescent="0.3">
      <c r="I14" s="31"/>
    </row>
    <row r="15" spans="9:34" x14ac:dyDescent="0.3">
      <c r="I15" s="31"/>
    </row>
    <row r="16" spans="9:34" x14ac:dyDescent="0.3">
      <c r="I16" s="31"/>
    </row>
    <row r="17" spans="2:13" x14ac:dyDescent="0.3">
      <c r="B17" s="71" t="s">
        <v>28</v>
      </c>
      <c r="C17" s="70" t="s">
        <v>30</v>
      </c>
      <c r="D17" s="70" t="s">
        <v>31</v>
      </c>
    </row>
    <row r="18" spans="2:13" x14ac:dyDescent="0.3">
      <c r="B18" s="5" t="s">
        <v>20</v>
      </c>
      <c r="C18" s="72">
        <v>20</v>
      </c>
      <c r="D18" s="72">
        <v>59.607738278999989</v>
      </c>
    </row>
    <row r="19" spans="2:13" x14ac:dyDescent="0.3">
      <c r="B19" s="5" t="s">
        <v>7</v>
      </c>
      <c r="C19" s="72">
        <v>30</v>
      </c>
      <c r="D19" s="72">
        <v>105.583530379</v>
      </c>
    </row>
    <row r="20" spans="2:13" x14ac:dyDescent="0.3">
      <c r="B20" s="5" t="s">
        <v>8</v>
      </c>
      <c r="C20" s="72">
        <v>28</v>
      </c>
      <c r="D20" s="72">
        <v>78.542982714999994</v>
      </c>
    </row>
    <row r="21" spans="2:13" x14ac:dyDescent="0.3">
      <c r="B21" s="5" t="s">
        <v>9</v>
      </c>
      <c r="C21" s="72">
        <v>20</v>
      </c>
      <c r="D21" s="72">
        <v>119.00405323999999</v>
      </c>
    </row>
    <row r="22" spans="2:13" x14ac:dyDescent="0.3">
      <c r="B22" s="5"/>
      <c r="C22" s="72">
        <v>0</v>
      </c>
      <c r="D22" s="72">
        <v>0</v>
      </c>
    </row>
    <row r="23" spans="2:13" x14ac:dyDescent="0.3">
      <c r="B23" s="5" t="s">
        <v>29</v>
      </c>
      <c r="C23" s="72">
        <v>98</v>
      </c>
      <c r="D23" s="72">
        <v>362.73830461299997</v>
      </c>
    </row>
    <row r="24" spans="2:13" x14ac:dyDescent="0.3">
      <c r="L24" s="5" t="s">
        <v>23</v>
      </c>
      <c r="M24" t="s">
        <v>27</v>
      </c>
    </row>
    <row r="25" spans="2:13" x14ac:dyDescent="0.3">
      <c r="M25">
        <f>COUNTA(F31:F50)</f>
        <v>7</v>
      </c>
    </row>
    <row r="28" spans="2:13" x14ac:dyDescent="0.3">
      <c r="B28" s="5" t="s">
        <v>33</v>
      </c>
      <c r="C28" t="e">
        <f>Distribution!T1</f>
        <v>#DIV/0!</v>
      </c>
    </row>
    <row r="29" spans="2:13" x14ac:dyDescent="0.3">
      <c r="F29">
        <v>3</v>
      </c>
    </row>
    <row r="30" spans="2:13" x14ac:dyDescent="0.3">
      <c r="F30" s="10" t="s">
        <v>24</v>
      </c>
      <c r="G30" s="10" t="s">
        <v>25</v>
      </c>
      <c r="H30" t="s">
        <v>32</v>
      </c>
    </row>
    <row r="31" spans="2:13" x14ac:dyDescent="0.3">
      <c r="E31">
        <v>1</v>
      </c>
      <c r="F31" s="70" t="s">
        <v>20</v>
      </c>
      <c r="G31" s="70" t="s">
        <v>34</v>
      </c>
    </row>
    <row r="32" spans="2:13" x14ac:dyDescent="0.3">
      <c r="E32" s="13">
        <v>2</v>
      </c>
      <c r="F32" s="70" t="s">
        <v>7</v>
      </c>
      <c r="G32" s="70" t="s">
        <v>35</v>
      </c>
    </row>
    <row r="33" spans="5:7" x14ac:dyDescent="0.3">
      <c r="E33" s="13">
        <v>3</v>
      </c>
      <c r="F33" s="70" t="s">
        <v>8</v>
      </c>
      <c r="G33" s="70" t="s">
        <v>36</v>
      </c>
    </row>
    <row r="34" spans="5:7" x14ac:dyDescent="0.3">
      <c r="E34" s="13">
        <v>4</v>
      </c>
      <c r="F34" s="70" t="s">
        <v>9</v>
      </c>
      <c r="G34" s="70" t="s">
        <v>37</v>
      </c>
    </row>
    <row r="35" spans="5:7" x14ac:dyDescent="0.3">
      <c r="E35" s="13">
        <v>5</v>
      </c>
      <c r="F35" s="11" t="s">
        <v>38</v>
      </c>
    </row>
    <row r="36" spans="5:7" x14ac:dyDescent="0.3">
      <c r="E36" s="13">
        <v>6</v>
      </c>
      <c r="F36" s="11" t="s">
        <v>39</v>
      </c>
    </row>
    <row r="37" spans="5:7" x14ac:dyDescent="0.3">
      <c r="E37" s="13">
        <v>7</v>
      </c>
      <c r="F37" s="11" t="s">
        <v>40</v>
      </c>
    </row>
    <row r="38" spans="5:7" x14ac:dyDescent="0.3">
      <c r="E38" s="13">
        <v>8</v>
      </c>
      <c r="F38" s="12"/>
    </row>
    <row r="39" spans="5:7" x14ac:dyDescent="0.3">
      <c r="E39" s="13">
        <v>9</v>
      </c>
      <c r="F39" s="12"/>
    </row>
    <row r="40" spans="5:7" x14ac:dyDescent="0.3">
      <c r="E40" s="13">
        <v>10</v>
      </c>
      <c r="F40" s="12"/>
    </row>
    <row r="41" spans="5:7" x14ac:dyDescent="0.3">
      <c r="E41" s="13">
        <v>11</v>
      </c>
      <c r="F41" s="12"/>
    </row>
    <row r="42" spans="5:7" x14ac:dyDescent="0.3">
      <c r="E42" s="13">
        <v>12</v>
      </c>
      <c r="F42" s="12"/>
    </row>
    <row r="43" spans="5:7" x14ac:dyDescent="0.3">
      <c r="E43" s="13">
        <v>13</v>
      </c>
      <c r="F43" s="12"/>
    </row>
    <row r="44" spans="5:7" x14ac:dyDescent="0.3">
      <c r="E44" s="13">
        <v>14</v>
      </c>
      <c r="F44" s="12"/>
    </row>
    <row r="45" spans="5:7" x14ac:dyDescent="0.3">
      <c r="E45" s="13">
        <v>15</v>
      </c>
      <c r="F45" s="12"/>
    </row>
    <row r="46" spans="5:7" x14ac:dyDescent="0.3">
      <c r="E46" s="13">
        <v>16</v>
      </c>
      <c r="F46" s="12"/>
    </row>
    <row r="47" spans="5:7" x14ac:dyDescent="0.3">
      <c r="E47" s="13">
        <v>17</v>
      </c>
      <c r="F47" s="12"/>
    </row>
    <row r="48" spans="5:7" x14ac:dyDescent="0.3">
      <c r="E48" s="13">
        <v>18</v>
      </c>
      <c r="F48" s="12"/>
    </row>
    <row r="49" spans="5:6" x14ac:dyDescent="0.3">
      <c r="E49" s="13">
        <v>19</v>
      </c>
      <c r="F49" s="12"/>
    </row>
    <row r="50" spans="5:6" x14ac:dyDescent="0.3">
      <c r="E50" s="13">
        <v>20</v>
      </c>
      <c r="F50" s="12"/>
    </row>
  </sheetData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NMA_Distribution" altText="Calculate NMA Distro">
                <anchor moveWithCells="1">
                  <from>
                    <xdr:col>7</xdr:col>
                    <xdr:colOff>373380</xdr:colOff>
                    <xdr:row>21</xdr:row>
                    <xdr:rowOff>60960</xdr:rowOff>
                  </from>
                  <to>
                    <xdr:col>8</xdr:col>
                    <xdr:colOff>822960</xdr:colOff>
                    <xdr:row>27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Drop Down 5">
              <controlPr defaultSize="0" autoLine="0" autoPict="0">
                <anchor moveWithCells="1">
                  <from>
                    <xdr:col>11</xdr:col>
                    <xdr:colOff>22860</xdr:colOff>
                    <xdr:row>24</xdr:row>
                    <xdr:rowOff>0</xdr:rowOff>
                  </from>
                  <to>
                    <xdr:col>11</xdr:col>
                    <xdr:colOff>1478280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Dupe_Reader">
                <anchor moveWithCells="1" sizeWithCells="1">
                  <from>
                    <xdr:col>6</xdr:col>
                    <xdr:colOff>106680</xdr:colOff>
                    <xdr:row>21</xdr:row>
                    <xdr:rowOff>60960</xdr:rowOff>
                  </from>
                  <to>
                    <xdr:col>7</xdr:col>
                    <xdr:colOff>266700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Distro_reset">
                <anchor moveWithCells="1" sizeWithCells="1">
                  <from>
                    <xdr:col>5</xdr:col>
                    <xdr:colOff>0</xdr:colOff>
                    <xdr:row>21</xdr:row>
                    <xdr:rowOff>38100</xdr:rowOff>
                  </from>
                  <to>
                    <xdr:col>6</xdr:col>
                    <xdr:colOff>45720</xdr:colOff>
                    <xdr:row>23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Button 10">
              <controlPr defaultSize="0" print="0" autoFill="0" autoPict="0" macro="[0]!Group_Reset">
                <anchor moveWithCells="1" sizeWithCells="1">
                  <from>
                    <xdr:col>5</xdr:col>
                    <xdr:colOff>22860</xdr:colOff>
                    <xdr:row>23</xdr:row>
                    <xdr:rowOff>137160</xdr:rowOff>
                  </from>
                  <to>
                    <xdr:col>6</xdr:col>
                    <xdr:colOff>45720</xdr:colOff>
                    <xdr:row>25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Button 11">
              <controlPr defaultSize="0" print="0" autoFill="0" autoPict="0" macro="[0]!Dump_Reset">
                <anchor moveWithCells="1" sizeWithCells="1">
                  <from>
                    <xdr:col>5</xdr:col>
                    <xdr:colOff>7620</xdr:colOff>
                    <xdr:row>25</xdr:row>
                    <xdr:rowOff>160020</xdr:rowOff>
                  </from>
                  <to>
                    <xdr:col>6</xdr:col>
                    <xdr:colOff>45720</xdr:colOff>
                    <xdr:row>28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I260"/>
  <sheetViews>
    <sheetView showGridLines="0" topLeftCell="A96" zoomScaleNormal="100" workbookViewId="0">
      <selection activeCell="A130" sqref="A130:E130"/>
    </sheetView>
  </sheetViews>
  <sheetFormatPr defaultColWidth="9.109375" defaultRowHeight="15" customHeight="1" x14ac:dyDescent="0.3"/>
  <cols>
    <col min="1" max="1" width="36.5546875" style="1" bestFit="1" customWidth="1"/>
    <col min="2" max="2" width="78.5546875" style="1" customWidth="1"/>
    <col min="3" max="3" width="22" style="1" bestFit="1" customWidth="1"/>
    <col min="4" max="4" width="22.5546875" style="1" customWidth="1"/>
    <col min="5" max="5" width="14.33203125" style="1" bestFit="1" customWidth="1"/>
    <col min="6" max="6" width="14.33203125" style="62" customWidth="1"/>
    <col min="7" max="7" width="25" style="1" bestFit="1" customWidth="1"/>
    <col min="8" max="8" width="12.6640625" style="1" bestFit="1" customWidth="1"/>
    <col min="9" max="9" width="20.88671875" style="4" bestFit="1" customWidth="1"/>
    <col min="10" max="10" width="9.109375" style="1"/>
    <col min="11" max="11" width="10.109375" style="1" bestFit="1" customWidth="1"/>
    <col min="12" max="12" width="21.5546875" style="1" bestFit="1" customWidth="1"/>
    <col min="13" max="13" width="11.88671875" style="1" bestFit="1" customWidth="1"/>
    <col min="14" max="14" width="12.44140625" style="1" bestFit="1" customWidth="1"/>
    <col min="15" max="15" width="18.33203125" style="1" bestFit="1" customWidth="1"/>
    <col min="16" max="17" width="16.109375" style="1" bestFit="1" customWidth="1"/>
    <col min="18" max="18" width="16.109375" style="1" customWidth="1"/>
    <col min="19" max="19" width="14.33203125" bestFit="1" customWidth="1"/>
    <col min="20" max="20" width="14.44140625" bestFit="1" customWidth="1"/>
    <col min="21" max="21" width="21.5546875" bestFit="1" customWidth="1"/>
    <col min="22" max="22" width="19.109375" bestFit="1" customWidth="1"/>
    <col min="23" max="23" width="14" bestFit="1" customWidth="1"/>
    <col min="24" max="24" width="13.109375" bestFit="1" customWidth="1"/>
    <col min="25" max="25" width="10.44140625" bestFit="1" customWidth="1"/>
    <col min="26" max="32" width="9.109375" style="1"/>
    <col min="33" max="33" width="17.6640625" style="1" customWidth="1"/>
    <col min="34" max="34" width="14.88671875" style="1" customWidth="1"/>
    <col min="35" max="35" width="12.5546875" style="1" customWidth="1"/>
    <col min="36" max="16384" width="9.109375" style="1"/>
  </cols>
  <sheetData>
    <row r="1" spans="1:35" ht="15" customHeight="1" x14ac:dyDescent="0.3">
      <c r="A1" s="36"/>
      <c r="B1" s="36"/>
      <c r="C1" s="36"/>
      <c r="D1" s="36"/>
      <c r="E1" s="36"/>
      <c r="F1" s="58"/>
      <c r="G1" s="36"/>
      <c r="H1" s="36"/>
      <c r="I1" s="36"/>
      <c r="L1" s="1" t="s">
        <v>10</v>
      </c>
      <c r="M1" s="1">
        <f>COUNTA(C5:C205)</f>
        <v>0</v>
      </c>
      <c r="O1" s="1" t="s">
        <v>12</v>
      </c>
      <c r="P1" s="1">
        <f>SUM(E5:E205)</f>
        <v>0</v>
      </c>
      <c r="S1" s="1" t="s">
        <v>15</v>
      </c>
      <c r="T1" s="1" t="e">
        <f>_xlfn.STDEV.P(L3:AE3)</f>
        <v>#DIV/0!</v>
      </c>
      <c r="U1" s="1"/>
      <c r="V1" s="1"/>
      <c r="W1" s="1"/>
      <c r="X1" s="1"/>
      <c r="Y1" s="1"/>
    </row>
    <row r="2" spans="1:35" ht="15" customHeight="1" x14ac:dyDescent="0.3">
      <c r="A2" s="36"/>
      <c r="B2" s="36"/>
      <c r="C2" s="36"/>
      <c r="D2" s="36"/>
      <c r="E2" s="36"/>
      <c r="F2" s="58"/>
      <c r="G2" s="36"/>
      <c r="H2" s="36"/>
      <c r="I2" s="36"/>
      <c r="L2" s="1" t="s">
        <v>11</v>
      </c>
      <c r="M2" s="1">
        <f>ROUNDUP(M1/COUNTA(Results!F31:F50),0)</f>
        <v>0</v>
      </c>
      <c r="O2" s="1" t="s">
        <v>13</v>
      </c>
      <c r="P2" s="1">
        <f>P1/COUNTA(Results!F31:F50)</f>
        <v>0</v>
      </c>
      <c r="S2" s="1" t="s">
        <v>16</v>
      </c>
      <c r="T2" s="1">
        <v>3</v>
      </c>
      <c r="U2" s="1"/>
      <c r="V2" s="1"/>
      <c r="W2" s="1"/>
      <c r="X2" s="1"/>
      <c r="Y2" s="1"/>
    </row>
    <row r="3" spans="1:35" ht="15" customHeight="1" thickBot="1" x14ac:dyDescent="0.35">
      <c r="A3" s="36"/>
      <c r="B3" s="36"/>
      <c r="C3" s="36"/>
      <c r="D3" s="36"/>
      <c r="E3" s="36"/>
      <c r="F3" s="58"/>
      <c r="G3" s="36"/>
      <c r="H3" s="36"/>
      <c r="I3" s="36"/>
      <c r="L3" s="4" t="str">
        <f t="shared" ref="L3:R3" si="0">IF(SUM(L5:L204)&lt;&gt;0, SUM(L5:L204), "")</f>
        <v/>
      </c>
      <c r="M3" s="4" t="str">
        <f t="shared" si="0"/>
        <v/>
      </c>
      <c r="N3" s="4" t="str">
        <f t="shared" si="0"/>
        <v/>
      </c>
      <c r="O3" s="4" t="str">
        <f t="shared" si="0"/>
        <v/>
      </c>
      <c r="P3" s="4" t="str">
        <f t="shared" si="0"/>
        <v/>
      </c>
      <c r="Q3" s="4" t="str">
        <f t="shared" si="0"/>
        <v/>
      </c>
      <c r="R3" s="4" t="str">
        <f t="shared" si="0"/>
        <v/>
      </c>
      <c r="S3" s="4" t="str">
        <f>IF(SUM(S5:S204)&lt;&gt;0, SUM(S5:S204), "")</f>
        <v/>
      </c>
      <c r="T3" s="4" t="str">
        <f t="shared" ref="T3:AE3" si="1">IF(SUM(T5:T204)&lt;&gt;0, SUM(T5:T204), "")</f>
        <v/>
      </c>
      <c r="U3" s="4" t="str">
        <f t="shared" si="1"/>
        <v/>
      </c>
      <c r="V3" s="4" t="str">
        <f t="shared" si="1"/>
        <v/>
      </c>
      <c r="W3" s="4" t="str">
        <f t="shared" si="1"/>
        <v/>
      </c>
      <c r="X3" s="4" t="str">
        <f t="shared" si="1"/>
        <v/>
      </c>
      <c r="Y3" s="4" t="str">
        <f t="shared" si="1"/>
        <v/>
      </c>
      <c r="Z3" s="4" t="str">
        <f t="shared" si="1"/>
        <v/>
      </c>
      <c r="AA3" s="4" t="str">
        <f t="shared" si="1"/>
        <v/>
      </c>
      <c r="AB3" s="4" t="str">
        <f t="shared" si="1"/>
        <v/>
      </c>
      <c r="AC3" s="4" t="str">
        <f t="shared" si="1"/>
        <v/>
      </c>
      <c r="AD3" s="4" t="str">
        <f t="shared" si="1"/>
        <v/>
      </c>
      <c r="AE3" s="4" t="str">
        <f t="shared" si="1"/>
        <v/>
      </c>
    </row>
    <row r="4" spans="1:35" ht="15" customHeight="1" thickBot="1" x14ac:dyDescent="0.35">
      <c r="A4" s="33" t="s">
        <v>0</v>
      </c>
      <c r="B4" s="34" t="s">
        <v>1</v>
      </c>
      <c r="C4" s="34" t="s">
        <v>2</v>
      </c>
      <c r="D4" s="34" t="s">
        <v>3</v>
      </c>
      <c r="E4" s="34" t="s">
        <v>4</v>
      </c>
      <c r="F4" s="59" t="s">
        <v>14</v>
      </c>
      <c r="G4" s="34" t="s">
        <v>5</v>
      </c>
      <c r="H4" s="34" t="s">
        <v>6</v>
      </c>
      <c r="I4" s="37" t="s">
        <v>21</v>
      </c>
      <c r="L4" s="17" t="str">
        <f>IF(ISBLANK(INDEX(Results!$F5:$CF50,COLUMN(A:A))), "",INDEX(Results!$F31:$F50,COLUMN(A:A)))</f>
        <v>Billy LaFortune</v>
      </c>
      <c r="M4" s="17" t="str">
        <f>IF(ISBLANK(INDEX(Results!$F5:$CF50,COLUMN(B:B))), "",INDEX(Results!$F31:$F50,COLUMN(B:B)))</f>
        <v>Chase Rodgers</v>
      </c>
      <c r="N4" s="17" t="str">
        <f>IF(ISBLANK(INDEX(Results!$F5:$CF50,COLUMN(C:C))), "",INDEX(Results!$F31:$F50,COLUMN(C:C)))</f>
        <v>Eric Heringer</v>
      </c>
      <c r="O4" s="17" t="str">
        <f>IF(ISBLANK(INDEX(Results!$F5:$CF50,COLUMN(D:D))), "",INDEX(Results!$F31:$F50,COLUMN(D:D)))</f>
        <v>John Jones</v>
      </c>
      <c r="P4" s="17" t="str">
        <f>IF(ISBLANK(INDEX(Results!$F5:$CF50,COLUMN(E:E))), "",INDEX(Results!$F31:$F50,COLUMN(E:E)))</f>
        <v>Jackson Bailey</v>
      </c>
      <c r="Q4" s="17" t="str">
        <f>IF(ISBLANK(INDEX(Results!$F5:$CF50,COLUMN(F:F))), "",INDEX(Results!$F31:$F50,COLUMN(F:F)))</f>
        <v>Kyle Ostrow</v>
      </c>
      <c r="R4" s="17" t="str">
        <f>IF(ISBLANK(INDEX(Results!$F5:$CF50,COLUMN(G:G))), "",INDEX(Results!$F31:$F50,COLUMN(G:G)))</f>
        <v>Ryan Holligan</v>
      </c>
      <c r="S4" s="17">
        <f>IF(ISBLANK(INDEX(Results!$F5:$CF50,COLUMN(H:H))), "",INDEX(Results!$F31:$F50,COLUMN(H:H)))</f>
        <v>0</v>
      </c>
      <c r="T4" s="17">
        <f>IF(ISBLANK(INDEX(Results!$F5:$CF50,COLUMN(I:I))), "",INDEX(Results!$F31:$F50,COLUMN(I:I)))</f>
        <v>0</v>
      </c>
      <c r="U4" s="17">
        <f>IF(ISBLANK(INDEX(Results!$F5:$CF50,COLUMN(J:J))), "",INDEX(Results!$F31:$F50,COLUMN(J:J)))</f>
        <v>0</v>
      </c>
      <c r="V4" s="17">
        <f>IF(ISBLANK(INDEX(Results!$F5:$CF50,COLUMN(K:K))), "",INDEX(Results!$F31:$F50,COLUMN(K:K)))</f>
        <v>0</v>
      </c>
      <c r="W4" s="17">
        <f>IF(ISBLANK(INDEX(Results!$F5:$CF50,COLUMN(L:L))), "",INDEX(Results!$F31:$F50,COLUMN(L:L)))</f>
        <v>0</v>
      </c>
      <c r="X4" s="17">
        <f>IF(ISBLANK(INDEX(Results!$F5:$CF50,COLUMN(M:M))), "",INDEX(Results!$F31:$F50,COLUMN(M:M)))</f>
        <v>0</v>
      </c>
      <c r="Y4" s="17">
        <f>IF(ISBLANK(INDEX(Results!$F5:$CF50,COLUMN(N:N))), "",INDEX(Results!$F31:$F50,COLUMN(N:N)))</f>
        <v>0</v>
      </c>
      <c r="Z4" s="17">
        <f>IF(ISBLANK(INDEX(Results!$F5:$CF50,COLUMN(O:O))), "",INDEX(Results!$F31:$F50,COLUMN(O:O)))</f>
        <v>0</v>
      </c>
      <c r="AA4" s="17">
        <f>IF(ISBLANK(INDEX(Results!$F5:$CF50,COLUMN(P:P))), "",INDEX(Results!$F31:$F50,COLUMN(P:P)))</f>
        <v>0</v>
      </c>
      <c r="AB4" s="17">
        <f>IF(ISBLANK(INDEX(Results!$F5:$CF50,COLUMN(Q:Q))), "",INDEX(Results!$F31:$F50,COLUMN(Q:Q)))</f>
        <v>0</v>
      </c>
      <c r="AC4" s="17">
        <f>IF(ISBLANK(INDEX(Results!$F5:$CF50,COLUMN(R:R))), "",INDEX(Results!$F31:$F50,COLUMN(R:R)))</f>
        <v>0</v>
      </c>
      <c r="AD4" s="17">
        <f>IF(ISBLANK(INDEX(Results!$F5:$CF50,COLUMN(S:S))), "",INDEX(Results!$F31:$F50,COLUMN(S:S)))</f>
        <v>0</v>
      </c>
      <c r="AE4" s="17">
        <f>IF(ISBLANK(INDEX(Results!$F5:$CF50,COLUMN(T:T))), "",INDEX(Results!$F31:$F50,COLUMN(T:T)))</f>
        <v>0</v>
      </c>
      <c r="AG4" s="21" t="s">
        <v>17</v>
      </c>
      <c r="AH4" s="22" t="s">
        <v>18</v>
      </c>
      <c r="AI4" s="23" t="s">
        <v>4</v>
      </c>
    </row>
    <row r="5" spans="1:35" ht="15" customHeight="1" thickBot="1" x14ac:dyDescent="0.35">
      <c r="A5"/>
      <c r="B5"/>
      <c r="C5"/>
      <c r="D5"/>
      <c r="E5"/>
      <c r="F5"/>
      <c r="G5" s="36" t="e">
        <f>VLOOKUP(F5,Results!$E$31:$F$50,2,FALSE)</f>
        <v>#N/A</v>
      </c>
      <c r="H5" s="38"/>
      <c r="I5" s="39"/>
      <c r="K5" s="3">
        <f>COUNT(L5:AE5)</f>
        <v>0</v>
      </c>
      <c r="L5" s="16" t="str">
        <f>IF($F5=COLUMN((L:L))-11,$E5," ")</f>
        <v xml:space="preserve"> </v>
      </c>
      <c r="M5" s="16" t="str">
        <f t="shared" ref="M5:AE18" si="2">IF($F5=COLUMN((M:M))-11,$E5," ")</f>
        <v xml:space="preserve"> </v>
      </c>
      <c r="N5" s="16" t="str">
        <f t="shared" si="2"/>
        <v xml:space="preserve"> </v>
      </c>
      <c r="O5" s="16" t="str">
        <f t="shared" si="2"/>
        <v xml:space="preserve"> </v>
      </c>
      <c r="P5" s="16" t="str">
        <f t="shared" si="2"/>
        <v xml:space="preserve"> </v>
      </c>
      <c r="Q5" s="16" t="str">
        <f t="shared" si="2"/>
        <v xml:space="preserve"> </v>
      </c>
      <c r="R5" s="16" t="str">
        <f t="shared" si="2"/>
        <v xml:space="preserve"> </v>
      </c>
      <c r="S5" s="16" t="str">
        <f t="shared" si="2"/>
        <v xml:space="preserve"> </v>
      </c>
      <c r="T5" s="16" t="str">
        <f t="shared" si="2"/>
        <v xml:space="preserve"> </v>
      </c>
      <c r="U5" s="16" t="str">
        <f t="shared" si="2"/>
        <v xml:space="preserve"> </v>
      </c>
      <c r="V5" s="16" t="str">
        <f t="shared" si="2"/>
        <v xml:space="preserve"> </v>
      </c>
      <c r="W5" s="16" t="str">
        <f t="shared" si="2"/>
        <v xml:space="preserve"> </v>
      </c>
      <c r="X5" s="16" t="str">
        <f t="shared" si="2"/>
        <v xml:space="preserve"> </v>
      </c>
      <c r="Y5" s="16" t="str">
        <f t="shared" si="2"/>
        <v xml:space="preserve"> </v>
      </c>
      <c r="Z5" s="16" t="str">
        <f t="shared" si="2"/>
        <v xml:space="preserve"> </v>
      </c>
      <c r="AA5" s="16" t="str">
        <f t="shared" si="2"/>
        <v xml:space="preserve"> </v>
      </c>
      <c r="AB5" s="16" t="str">
        <f t="shared" si="2"/>
        <v xml:space="preserve"> </v>
      </c>
      <c r="AC5" s="16" t="str">
        <f t="shared" si="2"/>
        <v xml:space="preserve"> </v>
      </c>
      <c r="AD5" s="16" t="str">
        <f t="shared" si="2"/>
        <v xml:space="preserve"> </v>
      </c>
      <c r="AE5" s="16" t="str">
        <f t="shared" si="2"/>
        <v xml:space="preserve"> </v>
      </c>
      <c r="AG5" s="24" t="str">
        <f>IF(NOT(ISBLANK(Results!F31)), Results!F31, "")</f>
        <v>Billy LaFortune</v>
      </c>
      <c r="AH5" s="25">
        <f>IF(AG5&lt;&gt;"", COUNTIF($F$5:$F$204,Results!E31), "")</f>
        <v>0</v>
      </c>
      <c r="AI5" s="26" t="str">
        <f>INDEX(L$3:AE$3,ROWS(AI$5:AI5))</f>
        <v/>
      </c>
    </row>
    <row r="6" spans="1:35" ht="15" customHeight="1" thickBot="1" x14ac:dyDescent="0.35">
      <c r="A6"/>
      <c r="B6"/>
      <c r="C6"/>
      <c r="D6"/>
      <c r="E6"/>
      <c r="F6"/>
      <c r="G6" s="36" t="e">
        <f>VLOOKUP(F6,Results!$E$31:$F$50,2,FALSE)</f>
        <v>#N/A</v>
      </c>
      <c r="H6" s="38"/>
      <c r="I6" s="39"/>
      <c r="K6" s="3">
        <f t="shared" ref="K6:K69" si="3">COUNT(L6:AE6)</f>
        <v>0</v>
      </c>
      <c r="L6" s="16" t="str">
        <f t="shared" ref="L6:AA34" si="4">IF($F6=COLUMN((L:L))-11,$E6," ")</f>
        <v xml:space="preserve"> </v>
      </c>
      <c r="M6" s="16" t="str">
        <f t="shared" si="2"/>
        <v xml:space="preserve"> </v>
      </c>
      <c r="N6" s="16" t="str">
        <f t="shared" si="2"/>
        <v xml:space="preserve"> </v>
      </c>
      <c r="O6" s="16" t="str">
        <f t="shared" si="2"/>
        <v xml:space="preserve"> </v>
      </c>
      <c r="P6" s="16" t="str">
        <f t="shared" si="2"/>
        <v xml:space="preserve"> </v>
      </c>
      <c r="Q6" s="16" t="str">
        <f t="shared" si="2"/>
        <v xml:space="preserve"> </v>
      </c>
      <c r="R6" s="16" t="str">
        <f t="shared" si="2"/>
        <v xml:space="preserve"> </v>
      </c>
      <c r="S6" s="16" t="str">
        <f t="shared" si="2"/>
        <v xml:space="preserve"> </v>
      </c>
      <c r="T6" s="16" t="str">
        <f t="shared" si="2"/>
        <v xml:space="preserve"> </v>
      </c>
      <c r="U6" s="16" t="str">
        <f t="shared" si="2"/>
        <v xml:space="preserve"> </v>
      </c>
      <c r="V6" s="16" t="str">
        <f t="shared" si="2"/>
        <v xml:space="preserve"> </v>
      </c>
      <c r="W6" s="16" t="str">
        <f t="shared" si="2"/>
        <v xml:space="preserve"> </v>
      </c>
      <c r="X6" s="16" t="str">
        <f t="shared" si="2"/>
        <v xml:space="preserve"> </v>
      </c>
      <c r="Y6" s="16" t="str">
        <f t="shared" si="2"/>
        <v xml:space="preserve"> </v>
      </c>
      <c r="Z6" s="16" t="str">
        <f t="shared" si="2"/>
        <v xml:space="preserve"> </v>
      </c>
      <c r="AA6" s="16" t="str">
        <f t="shared" si="2"/>
        <v xml:space="preserve"> </v>
      </c>
      <c r="AB6" s="16" t="str">
        <f t="shared" si="2"/>
        <v xml:space="preserve"> </v>
      </c>
      <c r="AC6" s="16" t="str">
        <f t="shared" si="2"/>
        <v xml:space="preserve"> </v>
      </c>
      <c r="AD6" s="16" t="str">
        <f t="shared" si="2"/>
        <v xml:space="preserve"> </v>
      </c>
      <c r="AE6" s="16" t="str">
        <f t="shared" si="2"/>
        <v xml:space="preserve"> </v>
      </c>
      <c r="AG6" s="27" t="str">
        <f>IF(NOT(ISBLANK(Results!F32)), Results!F32, "")</f>
        <v>Chase Rodgers</v>
      </c>
      <c r="AH6" s="28">
        <f>IF(AG6&lt;&gt;"", COUNTIF($F$5:$F$204,Results!E32), "")</f>
        <v>0</v>
      </c>
      <c r="AI6" s="29" t="str">
        <f>INDEX(L$3:AE$3,ROWS(AI$5:AI6))</f>
        <v/>
      </c>
    </row>
    <row r="7" spans="1:35" ht="15" customHeight="1" thickBot="1" x14ac:dyDescent="0.35">
      <c r="A7"/>
      <c r="B7"/>
      <c r="C7"/>
      <c r="D7"/>
      <c r="E7"/>
      <c r="F7"/>
      <c r="G7" s="36" t="e">
        <f>VLOOKUP(F7,Results!$E$31:$F$50,2,FALSE)</f>
        <v>#N/A</v>
      </c>
      <c r="H7" s="38"/>
      <c r="I7" s="39"/>
      <c r="K7" s="3">
        <f t="shared" si="3"/>
        <v>0</v>
      </c>
      <c r="L7" s="16" t="str">
        <f t="shared" si="4"/>
        <v xml:space="preserve"> </v>
      </c>
      <c r="M7" s="16" t="str">
        <f t="shared" si="2"/>
        <v xml:space="preserve"> </v>
      </c>
      <c r="N7" s="16" t="str">
        <f t="shared" si="2"/>
        <v xml:space="preserve"> </v>
      </c>
      <c r="O7" s="16" t="str">
        <f t="shared" si="2"/>
        <v xml:space="preserve"> </v>
      </c>
      <c r="P7" s="16" t="str">
        <f t="shared" si="2"/>
        <v xml:space="preserve"> </v>
      </c>
      <c r="Q7" s="16" t="str">
        <f t="shared" si="2"/>
        <v xml:space="preserve"> </v>
      </c>
      <c r="R7" s="16" t="str">
        <f t="shared" si="2"/>
        <v xml:space="preserve"> </v>
      </c>
      <c r="S7" s="16" t="str">
        <f t="shared" si="2"/>
        <v xml:space="preserve"> </v>
      </c>
      <c r="T7" s="16" t="str">
        <f t="shared" si="2"/>
        <v xml:space="preserve"> </v>
      </c>
      <c r="U7" s="16" t="str">
        <f t="shared" si="2"/>
        <v xml:space="preserve"> </v>
      </c>
      <c r="V7" s="16" t="str">
        <f t="shared" si="2"/>
        <v xml:space="preserve"> </v>
      </c>
      <c r="W7" s="16" t="str">
        <f t="shared" si="2"/>
        <v xml:space="preserve"> </v>
      </c>
      <c r="X7" s="16" t="str">
        <f t="shared" si="2"/>
        <v xml:space="preserve"> </v>
      </c>
      <c r="Y7" s="16" t="str">
        <f t="shared" si="2"/>
        <v xml:space="preserve"> </v>
      </c>
      <c r="Z7" s="16" t="str">
        <f t="shared" si="2"/>
        <v xml:space="preserve"> </v>
      </c>
      <c r="AA7" s="16" t="str">
        <f t="shared" si="2"/>
        <v xml:space="preserve"> </v>
      </c>
      <c r="AB7" s="16" t="str">
        <f t="shared" si="2"/>
        <v xml:space="preserve"> </v>
      </c>
      <c r="AC7" s="16" t="str">
        <f t="shared" si="2"/>
        <v xml:space="preserve"> </v>
      </c>
      <c r="AD7" s="16" t="str">
        <f t="shared" si="2"/>
        <v xml:space="preserve"> </v>
      </c>
      <c r="AE7" s="16" t="str">
        <f t="shared" si="2"/>
        <v xml:space="preserve"> </v>
      </c>
      <c r="AG7" s="24" t="str">
        <f>IF(NOT(ISBLANK(Results!F33)), Results!F33, "")</f>
        <v>Eric Heringer</v>
      </c>
      <c r="AH7" s="25">
        <f>IF(AG7&lt;&gt;"", COUNTIF($F$5:$F$204,Results!E33), "")</f>
        <v>0</v>
      </c>
      <c r="AI7" s="30" t="str">
        <f>INDEX(L$3:AE$3,ROWS(AI$5:AI7))</f>
        <v/>
      </c>
    </row>
    <row r="8" spans="1:35" ht="15" customHeight="1" thickBot="1" x14ac:dyDescent="0.35">
      <c r="A8"/>
      <c r="B8"/>
      <c r="C8"/>
      <c r="D8"/>
      <c r="E8"/>
      <c r="F8"/>
      <c r="G8" s="36" t="e">
        <f>VLOOKUP(F8,Results!$E$31:$F$50,2,FALSE)</f>
        <v>#N/A</v>
      </c>
      <c r="H8" s="38"/>
      <c r="I8" s="39"/>
      <c r="K8" s="3">
        <f t="shared" si="3"/>
        <v>0</v>
      </c>
      <c r="L8" s="16" t="str">
        <f t="shared" si="4"/>
        <v xml:space="preserve"> </v>
      </c>
      <c r="M8" s="16" t="str">
        <f t="shared" si="2"/>
        <v xml:space="preserve"> </v>
      </c>
      <c r="N8" s="16" t="str">
        <f t="shared" si="2"/>
        <v xml:space="preserve"> </v>
      </c>
      <c r="O8" s="16" t="str">
        <f t="shared" si="2"/>
        <v xml:space="preserve"> </v>
      </c>
      <c r="P8" s="16" t="str">
        <f t="shared" si="2"/>
        <v xml:space="preserve"> </v>
      </c>
      <c r="Q8" s="16" t="str">
        <f t="shared" si="2"/>
        <v xml:space="preserve"> </v>
      </c>
      <c r="R8" s="16" t="str">
        <f t="shared" si="2"/>
        <v xml:space="preserve"> </v>
      </c>
      <c r="S8" s="16" t="str">
        <f t="shared" si="2"/>
        <v xml:space="preserve"> </v>
      </c>
      <c r="T8" s="16" t="str">
        <f t="shared" si="2"/>
        <v xml:space="preserve"> </v>
      </c>
      <c r="U8" s="16" t="str">
        <f t="shared" si="2"/>
        <v xml:space="preserve"> </v>
      </c>
      <c r="V8" s="16" t="str">
        <f t="shared" si="2"/>
        <v xml:space="preserve"> </v>
      </c>
      <c r="W8" s="16" t="str">
        <f t="shared" si="2"/>
        <v xml:space="preserve"> </v>
      </c>
      <c r="X8" s="16" t="str">
        <f t="shared" si="2"/>
        <v xml:space="preserve"> </v>
      </c>
      <c r="Y8" s="16" t="str">
        <f t="shared" si="2"/>
        <v xml:space="preserve"> </v>
      </c>
      <c r="Z8" s="16" t="str">
        <f t="shared" si="2"/>
        <v xml:space="preserve"> </v>
      </c>
      <c r="AA8" s="16" t="str">
        <f t="shared" si="2"/>
        <v xml:space="preserve"> </v>
      </c>
      <c r="AB8" s="16" t="str">
        <f t="shared" si="2"/>
        <v xml:space="preserve"> </v>
      </c>
      <c r="AC8" s="16" t="str">
        <f t="shared" si="2"/>
        <v xml:space="preserve"> </v>
      </c>
      <c r="AD8" s="16" t="str">
        <f t="shared" si="2"/>
        <v xml:space="preserve"> </v>
      </c>
      <c r="AE8" s="16" t="str">
        <f t="shared" si="2"/>
        <v xml:space="preserve"> </v>
      </c>
      <c r="AG8" s="27" t="str">
        <f>IF(NOT(ISBLANK(Results!F34)), Results!F34, "")</f>
        <v>John Jones</v>
      </c>
      <c r="AH8" s="28">
        <f>IF(AG8&lt;&gt;"", COUNTIF($F$5:$F$204,Results!E34), "")</f>
        <v>0</v>
      </c>
      <c r="AI8" s="29" t="str">
        <f>INDEX(L$3:AE$3,ROWS(AI$5:AI8))</f>
        <v/>
      </c>
    </row>
    <row r="9" spans="1:35" ht="15" customHeight="1" thickBot="1" x14ac:dyDescent="0.35">
      <c r="A9"/>
      <c r="B9"/>
      <c r="C9"/>
      <c r="D9"/>
      <c r="E9"/>
      <c r="F9"/>
      <c r="G9" s="36" t="e">
        <f>VLOOKUP(F9,Results!$E$31:$F$50,2,FALSE)</f>
        <v>#N/A</v>
      </c>
      <c r="H9" s="38"/>
      <c r="I9" s="39"/>
      <c r="K9" s="3">
        <f t="shared" si="3"/>
        <v>0</v>
      </c>
      <c r="L9" s="16" t="str">
        <f t="shared" si="4"/>
        <v xml:space="preserve"> </v>
      </c>
      <c r="M9" s="16" t="str">
        <f t="shared" si="2"/>
        <v xml:space="preserve"> </v>
      </c>
      <c r="N9" s="16" t="str">
        <f t="shared" si="2"/>
        <v xml:space="preserve"> </v>
      </c>
      <c r="O9" s="16" t="str">
        <f t="shared" si="2"/>
        <v xml:space="preserve"> </v>
      </c>
      <c r="P9" s="16" t="str">
        <f t="shared" si="2"/>
        <v xml:space="preserve"> </v>
      </c>
      <c r="Q9" s="16" t="str">
        <f t="shared" si="2"/>
        <v xml:space="preserve"> </v>
      </c>
      <c r="R9" s="16" t="str">
        <f t="shared" si="2"/>
        <v xml:space="preserve"> </v>
      </c>
      <c r="S9" s="16" t="str">
        <f t="shared" si="2"/>
        <v xml:space="preserve"> </v>
      </c>
      <c r="T9" s="16" t="str">
        <f t="shared" si="2"/>
        <v xml:space="preserve"> </v>
      </c>
      <c r="U9" s="16" t="str">
        <f t="shared" si="2"/>
        <v xml:space="preserve"> </v>
      </c>
      <c r="V9" s="16" t="str">
        <f t="shared" si="2"/>
        <v xml:space="preserve"> </v>
      </c>
      <c r="W9" s="16" t="str">
        <f t="shared" si="2"/>
        <v xml:space="preserve"> </v>
      </c>
      <c r="X9" s="16" t="str">
        <f t="shared" si="2"/>
        <v xml:space="preserve"> </v>
      </c>
      <c r="Y9" s="16" t="str">
        <f t="shared" si="2"/>
        <v xml:space="preserve"> </v>
      </c>
      <c r="Z9" s="16" t="str">
        <f t="shared" si="2"/>
        <v xml:space="preserve"> </v>
      </c>
      <c r="AA9" s="16" t="str">
        <f t="shared" si="2"/>
        <v xml:space="preserve"> </v>
      </c>
      <c r="AB9" s="16" t="str">
        <f t="shared" si="2"/>
        <v xml:space="preserve"> </v>
      </c>
      <c r="AC9" s="16" t="str">
        <f t="shared" si="2"/>
        <v xml:space="preserve"> </v>
      </c>
      <c r="AD9" s="16" t="str">
        <f t="shared" si="2"/>
        <v xml:space="preserve"> </v>
      </c>
      <c r="AE9" s="16" t="str">
        <f t="shared" si="2"/>
        <v xml:space="preserve"> </v>
      </c>
      <c r="AG9" s="24" t="str">
        <f>IF(NOT(ISBLANK(Results!F35)), Results!F35, "")</f>
        <v>Jackson Bailey</v>
      </c>
      <c r="AH9" s="25">
        <f>IF(AG9&lt;&gt;"", COUNTIF($F$5:$F$204,Results!E35), "")</f>
        <v>0</v>
      </c>
      <c r="AI9" s="30" t="str">
        <f>INDEX(L$3:AE$3,ROWS(AI$5:AI9))</f>
        <v/>
      </c>
    </row>
    <row r="10" spans="1:35" ht="15" customHeight="1" thickBot="1" x14ac:dyDescent="0.35">
      <c r="A10"/>
      <c r="B10"/>
      <c r="C10"/>
      <c r="D10"/>
      <c r="E10"/>
      <c r="F10"/>
      <c r="G10" s="36" t="e">
        <f>VLOOKUP(F10,Results!$E$31:$F$50,2,FALSE)</f>
        <v>#N/A</v>
      </c>
      <c r="H10" s="38"/>
      <c r="I10" s="39"/>
      <c r="K10" s="3">
        <f t="shared" si="3"/>
        <v>0</v>
      </c>
      <c r="L10" s="16" t="str">
        <f t="shared" si="4"/>
        <v xml:space="preserve"> </v>
      </c>
      <c r="M10" s="16" t="str">
        <f t="shared" si="2"/>
        <v xml:space="preserve"> </v>
      </c>
      <c r="N10" s="16" t="str">
        <f t="shared" si="2"/>
        <v xml:space="preserve"> </v>
      </c>
      <c r="O10" s="16" t="str">
        <f t="shared" si="2"/>
        <v xml:space="preserve"> </v>
      </c>
      <c r="P10" s="16" t="str">
        <f t="shared" si="2"/>
        <v xml:space="preserve"> </v>
      </c>
      <c r="Q10" s="16" t="str">
        <f t="shared" si="2"/>
        <v xml:space="preserve"> </v>
      </c>
      <c r="R10" s="16" t="str">
        <f t="shared" si="2"/>
        <v xml:space="preserve"> </v>
      </c>
      <c r="S10" s="16" t="str">
        <f t="shared" si="2"/>
        <v xml:space="preserve"> </v>
      </c>
      <c r="T10" s="16" t="str">
        <f t="shared" si="2"/>
        <v xml:space="preserve"> </v>
      </c>
      <c r="U10" s="16" t="str">
        <f t="shared" si="2"/>
        <v xml:space="preserve"> </v>
      </c>
      <c r="V10" s="16" t="str">
        <f t="shared" si="2"/>
        <v xml:space="preserve"> </v>
      </c>
      <c r="W10" s="16" t="str">
        <f t="shared" si="2"/>
        <v xml:space="preserve"> </v>
      </c>
      <c r="X10" s="16" t="str">
        <f t="shared" si="2"/>
        <v xml:space="preserve"> </v>
      </c>
      <c r="Y10" s="16" t="str">
        <f t="shared" si="2"/>
        <v xml:space="preserve"> </v>
      </c>
      <c r="Z10" s="16" t="str">
        <f t="shared" si="2"/>
        <v xml:space="preserve"> </v>
      </c>
      <c r="AA10" s="16" t="str">
        <f t="shared" si="2"/>
        <v xml:space="preserve"> </v>
      </c>
      <c r="AB10" s="16" t="str">
        <f t="shared" si="2"/>
        <v xml:space="preserve"> </v>
      </c>
      <c r="AC10" s="16" t="str">
        <f t="shared" si="2"/>
        <v xml:space="preserve"> </v>
      </c>
      <c r="AD10" s="16" t="str">
        <f t="shared" si="2"/>
        <v xml:space="preserve"> </v>
      </c>
      <c r="AE10" s="16" t="str">
        <f t="shared" si="2"/>
        <v xml:space="preserve"> </v>
      </c>
      <c r="AG10" s="27" t="str">
        <f>IF(NOT(ISBLANK(Results!F36)), Results!F36, "")</f>
        <v>Kyle Ostrow</v>
      </c>
      <c r="AH10" s="28">
        <f>IF(AG10&lt;&gt;"", COUNTIF($F$5:$F$204,Results!E36), "")</f>
        <v>0</v>
      </c>
      <c r="AI10" s="29" t="str">
        <f>INDEX(L$3:AE$3,ROWS(AI$5:AI10))</f>
        <v/>
      </c>
    </row>
    <row r="11" spans="1:35" ht="15" customHeight="1" thickBot="1" x14ac:dyDescent="0.35">
      <c r="A11"/>
      <c r="B11"/>
      <c r="C11"/>
      <c r="D11"/>
      <c r="E11"/>
      <c r="F11"/>
      <c r="G11" s="36" t="e">
        <f>VLOOKUP(F11,Results!$E$31:$F$50,2,FALSE)</f>
        <v>#N/A</v>
      </c>
      <c r="H11" s="38"/>
      <c r="I11" s="39"/>
      <c r="K11" s="3">
        <f t="shared" si="3"/>
        <v>0</v>
      </c>
      <c r="L11" s="16" t="str">
        <f t="shared" si="4"/>
        <v xml:space="preserve"> </v>
      </c>
      <c r="M11" s="16" t="str">
        <f t="shared" si="2"/>
        <v xml:space="preserve"> </v>
      </c>
      <c r="N11" s="16" t="str">
        <f t="shared" si="2"/>
        <v xml:space="preserve"> </v>
      </c>
      <c r="O11" s="16" t="str">
        <f t="shared" si="2"/>
        <v xml:space="preserve"> </v>
      </c>
      <c r="P11" s="16" t="str">
        <f t="shared" si="2"/>
        <v xml:space="preserve"> </v>
      </c>
      <c r="Q11" s="16" t="str">
        <f t="shared" si="2"/>
        <v xml:space="preserve"> </v>
      </c>
      <c r="R11" s="16" t="str">
        <f t="shared" si="2"/>
        <v xml:space="preserve"> </v>
      </c>
      <c r="S11" s="16" t="str">
        <f t="shared" si="2"/>
        <v xml:space="preserve"> </v>
      </c>
      <c r="T11" s="16" t="str">
        <f t="shared" si="2"/>
        <v xml:space="preserve"> </v>
      </c>
      <c r="U11" s="16" t="str">
        <f t="shared" si="2"/>
        <v xml:space="preserve"> </v>
      </c>
      <c r="V11" s="16" t="str">
        <f t="shared" si="2"/>
        <v xml:space="preserve"> </v>
      </c>
      <c r="W11" s="16" t="str">
        <f t="shared" si="2"/>
        <v xml:space="preserve"> </v>
      </c>
      <c r="X11" s="16" t="str">
        <f t="shared" si="2"/>
        <v xml:space="preserve"> </v>
      </c>
      <c r="Y11" s="16" t="str">
        <f t="shared" si="2"/>
        <v xml:space="preserve"> </v>
      </c>
      <c r="Z11" s="16" t="str">
        <f t="shared" si="2"/>
        <v xml:space="preserve"> </v>
      </c>
      <c r="AA11" s="16" t="str">
        <f t="shared" si="2"/>
        <v xml:space="preserve"> </v>
      </c>
      <c r="AB11" s="16" t="str">
        <f t="shared" si="2"/>
        <v xml:space="preserve"> </v>
      </c>
      <c r="AC11" s="16" t="str">
        <f t="shared" si="2"/>
        <v xml:space="preserve"> </v>
      </c>
      <c r="AD11" s="16" t="str">
        <f t="shared" si="2"/>
        <v xml:space="preserve"> </v>
      </c>
      <c r="AE11" s="16" t="str">
        <f t="shared" si="2"/>
        <v xml:space="preserve"> </v>
      </c>
      <c r="AG11" s="24" t="str">
        <f>IF(NOT(ISBLANK(Results!F37)), Results!F37, "")</f>
        <v>Ryan Holligan</v>
      </c>
      <c r="AH11" s="25">
        <f>IF(AG11&lt;&gt;"", COUNTIF($F$5:$F$204,Results!E37), "")</f>
        <v>0</v>
      </c>
      <c r="AI11" s="30" t="str">
        <f>INDEX(L$3:AE$3,ROWS(AI$5:AI11))</f>
        <v/>
      </c>
    </row>
    <row r="12" spans="1:35" ht="15" customHeight="1" thickBot="1" x14ac:dyDescent="0.35">
      <c r="A12"/>
      <c r="B12"/>
      <c r="C12"/>
      <c r="D12"/>
      <c r="E12"/>
      <c r="F12"/>
      <c r="G12" s="36" t="e">
        <f>VLOOKUP(F12,Results!$E$31:$F$50,2,FALSE)</f>
        <v>#N/A</v>
      </c>
      <c r="H12" s="38"/>
      <c r="I12" s="39"/>
      <c r="K12" s="3">
        <f t="shared" si="3"/>
        <v>0</v>
      </c>
      <c r="L12" s="16" t="str">
        <f t="shared" si="4"/>
        <v xml:space="preserve"> </v>
      </c>
      <c r="M12" s="16" t="str">
        <f t="shared" si="2"/>
        <v xml:space="preserve"> </v>
      </c>
      <c r="N12" s="16" t="str">
        <f t="shared" si="2"/>
        <v xml:space="preserve"> </v>
      </c>
      <c r="O12" s="16" t="str">
        <f t="shared" si="2"/>
        <v xml:space="preserve"> </v>
      </c>
      <c r="P12" s="16" t="str">
        <f t="shared" si="2"/>
        <v xml:space="preserve"> </v>
      </c>
      <c r="Q12" s="16" t="str">
        <f t="shared" si="2"/>
        <v xml:space="preserve"> </v>
      </c>
      <c r="R12" s="16" t="str">
        <f t="shared" si="2"/>
        <v xml:space="preserve"> </v>
      </c>
      <c r="S12" s="16" t="str">
        <f t="shared" si="2"/>
        <v xml:space="preserve"> </v>
      </c>
      <c r="T12" s="16" t="str">
        <f t="shared" si="2"/>
        <v xml:space="preserve"> </v>
      </c>
      <c r="U12" s="16" t="str">
        <f t="shared" si="2"/>
        <v xml:space="preserve"> </v>
      </c>
      <c r="V12" s="16" t="str">
        <f t="shared" si="2"/>
        <v xml:space="preserve"> </v>
      </c>
      <c r="W12" s="16" t="str">
        <f t="shared" si="2"/>
        <v xml:space="preserve"> </v>
      </c>
      <c r="X12" s="16" t="str">
        <f t="shared" si="2"/>
        <v xml:space="preserve"> </v>
      </c>
      <c r="Y12" s="16" t="str">
        <f t="shared" si="2"/>
        <v xml:space="preserve"> </v>
      </c>
      <c r="Z12" s="16" t="str">
        <f t="shared" si="2"/>
        <v xml:space="preserve"> </v>
      </c>
      <c r="AA12" s="16" t="str">
        <f t="shared" si="2"/>
        <v xml:space="preserve"> </v>
      </c>
      <c r="AB12" s="16" t="str">
        <f t="shared" si="2"/>
        <v xml:space="preserve"> </v>
      </c>
      <c r="AC12" s="16" t="str">
        <f t="shared" si="2"/>
        <v xml:space="preserve"> </v>
      </c>
      <c r="AD12" s="16" t="str">
        <f t="shared" si="2"/>
        <v xml:space="preserve"> </v>
      </c>
      <c r="AE12" s="16" t="str">
        <f t="shared" si="2"/>
        <v xml:space="preserve"> </v>
      </c>
      <c r="AG12" s="27" t="str">
        <f>IF(NOT(ISBLANK(Results!F38)), Results!F38, "")</f>
        <v/>
      </c>
      <c r="AH12" s="28" t="str">
        <f>IF(AG12&lt;&gt;"", COUNTIF($F$5:$F$204,Results!E38), "")</f>
        <v/>
      </c>
      <c r="AI12" s="29" t="str">
        <f>INDEX(L$3:AE$3,ROWS(AI$5:AI12))</f>
        <v/>
      </c>
    </row>
    <row r="13" spans="1:35" ht="15" customHeight="1" thickBot="1" x14ac:dyDescent="0.35">
      <c r="A13"/>
      <c r="B13"/>
      <c r="C13"/>
      <c r="D13"/>
      <c r="E13"/>
      <c r="F13"/>
      <c r="G13" s="36" t="e">
        <f>VLOOKUP(F13,Results!$E$31:$F$50,2,FALSE)</f>
        <v>#N/A</v>
      </c>
      <c r="H13" s="38"/>
      <c r="I13" s="39"/>
      <c r="K13" s="3">
        <f t="shared" si="3"/>
        <v>0</v>
      </c>
      <c r="L13" s="16" t="str">
        <f t="shared" si="4"/>
        <v xml:space="preserve"> </v>
      </c>
      <c r="M13" s="16" t="str">
        <f t="shared" si="2"/>
        <v xml:space="preserve"> </v>
      </c>
      <c r="N13" s="16" t="str">
        <f t="shared" si="2"/>
        <v xml:space="preserve"> </v>
      </c>
      <c r="O13" s="16" t="str">
        <f t="shared" si="2"/>
        <v xml:space="preserve"> </v>
      </c>
      <c r="P13" s="16" t="str">
        <f t="shared" si="2"/>
        <v xml:space="preserve"> </v>
      </c>
      <c r="Q13" s="16" t="str">
        <f t="shared" si="2"/>
        <v xml:space="preserve"> </v>
      </c>
      <c r="R13" s="16" t="str">
        <f t="shared" si="2"/>
        <v xml:space="preserve"> </v>
      </c>
      <c r="S13" s="16" t="str">
        <f t="shared" si="2"/>
        <v xml:space="preserve"> </v>
      </c>
      <c r="T13" s="16" t="str">
        <f t="shared" si="2"/>
        <v xml:space="preserve"> </v>
      </c>
      <c r="U13" s="16" t="str">
        <f t="shared" si="2"/>
        <v xml:space="preserve"> </v>
      </c>
      <c r="V13" s="16" t="str">
        <f t="shared" si="2"/>
        <v xml:space="preserve"> </v>
      </c>
      <c r="W13" s="16" t="str">
        <f t="shared" si="2"/>
        <v xml:space="preserve"> </v>
      </c>
      <c r="X13" s="16" t="str">
        <f t="shared" si="2"/>
        <v xml:space="preserve"> </v>
      </c>
      <c r="Y13" s="16" t="str">
        <f t="shared" si="2"/>
        <v xml:space="preserve"> </v>
      </c>
      <c r="Z13" s="16" t="str">
        <f t="shared" si="2"/>
        <v xml:space="preserve"> </v>
      </c>
      <c r="AA13" s="16" t="str">
        <f t="shared" si="2"/>
        <v xml:space="preserve"> </v>
      </c>
      <c r="AB13" s="16" t="str">
        <f t="shared" si="2"/>
        <v xml:space="preserve"> </v>
      </c>
      <c r="AC13" s="16" t="str">
        <f t="shared" si="2"/>
        <v xml:space="preserve"> </v>
      </c>
      <c r="AD13" s="16" t="str">
        <f t="shared" si="2"/>
        <v xml:space="preserve"> </v>
      </c>
      <c r="AE13" s="16" t="str">
        <f t="shared" si="2"/>
        <v xml:space="preserve"> </v>
      </c>
      <c r="AG13" s="24" t="str">
        <f>IF(NOT(ISBLANK(Results!F39)), Results!F39, "")</f>
        <v/>
      </c>
      <c r="AH13" s="25" t="str">
        <f>IF(AG13&lt;&gt;"", COUNTIF($F$5:$F$204,Results!E39), "")</f>
        <v/>
      </c>
      <c r="AI13" s="30" t="str">
        <f>INDEX(L$3:AE$3,ROWS(AI$5:AI13))</f>
        <v/>
      </c>
    </row>
    <row r="14" spans="1:35" ht="15" customHeight="1" thickBot="1" x14ac:dyDescent="0.35">
      <c r="A14"/>
      <c r="B14"/>
      <c r="C14"/>
      <c r="D14"/>
      <c r="E14"/>
      <c r="F14"/>
      <c r="G14" s="36" t="e">
        <f>VLOOKUP(F14,Results!$E$31:$F$50,2,FALSE)</f>
        <v>#N/A</v>
      </c>
      <c r="H14" s="38"/>
      <c r="I14" s="39"/>
      <c r="K14" s="3">
        <f t="shared" si="3"/>
        <v>0</v>
      </c>
      <c r="L14" s="16" t="str">
        <f t="shared" si="4"/>
        <v xml:space="preserve"> </v>
      </c>
      <c r="M14" s="16" t="str">
        <f t="shared" si="2"/>
        <v xml:space="preserve"> </v>
      </c>
      <c r="N14" s="16" t="str">
        <f t="shared" si="2"/>
        <v xml:space="preserve"> </v>
      </c>
      <c r="O14" s="16" t="str">
        <f t="shared" si="2"/>
        <v xml:space="preserve"> </v>
      </c>
      <c r="P14" s="16" t="str">
        <f t="shared" si="2"/>
        <v xml:space="preserve"> </v>
      </c>
      <c r="Q14" s="16" t="str">
        <f t="shared" si="2"/>
        <v xml:space="preserve"> </v>
      </c>
      <c r="R14" s="16" t="str">
        <f t="shared" si="2"/>
        <v xml:space="preserve"> </v>
      </c>
      <c r="S14" s="16" t="str">
        <f t="shared" si="2"/>
        <v xml:space="preserve"> </v>
      </c>
      <c r="T14" s="16" t="str">
        <f t="shared" si="2"/>
        <v xml:space="preserve"> </v>
      </c>
      <c r="U14" s="16" t="str">
        <f t="shared" si="2"/>
        <v xml:space="preserve"> </v>
      </c>
      <c r="V14" s="16" t="str">
        <f t="shared" si="2"/>
        <v xml:space="preserve"> </v>
      </c>
      <c r="W14" s="16" t="str">
        <f t="shared" si="2"/>
        <v xml:space="preserve"> </v>
      </c>
      <c r="X14" s="16" t="str">
        <f t="shared" si="2"/>
        <v xml:space="preserve"> </v>
      </c>
      <c r="Y14" s="16" t="str">
        <f t="shared" si="2"/>
        <v xml:space="preserve"> </v>
      </c>
      <c r="Z14" s="16" t="str">
        <f t="shared" si="2"/>
        <v xml:space="preserve"> </v>
      </c>
      <c r="AA14" s="16" t="str">
        <f t="shared" si="2"/>
        <v xml:space="preserve"> </v>
      </c>
      <c r="AB14" s="16" t="str">
        <f t="shared" si="2"/>
        <v xml:space="preserve"> </v>
      </c>
      <c r="AC14" s="16" t="str">
        <f t="shared" si="2"/>
        <v xml:space="preserve"> </v>
      </c>
      <c r="AD14" s="16" t="str">
        <f t="shared" si="2"/>
        <v xml:space="preserve"> </v>
      </c>
      <c r="AE14" s="16" t="str">
        <f t="shared" si="2"/>
        <v xml:space="preserve"> </v>
      </c>
      <c r="AG14" s="27" t="str">
        <f>IF(NOT(ISBLANK(Results!F40)), Results!F40, "")</f>
        <v/>
      </c>
      <c r="AH14" s="28" t="str">
        <f>IF(AG14&lt;&gt;"", COUNTIF($F$5:$F$204,Results!E40), "")</f>
        <v/>
      </c>
      <c r="AI14" s="29" t="str">
        <f>INDEX(L$3:AE$3,ROWS(AI$5:AI14))</f>
        <v/>
      </c>
    </row>
    <row r="15" spans="1:35" ht="15" customHeight="1" thickBot="1" x14ac:dyDescent="0.35">
      <c r="A15"/>
      <c r="B15"/>
      <c r="C15"/>
      <c r="D15"/>
      <c r="E15"/>
      <c r="F15"/>
      <c r="G15" s="36" t="e">
        <f>VLOOKUP(F15,Results!$E$31:$F$50,2,FALSE)</f>
        <v>#N/A</v>
      </c>
      <c r="H15" s="38"/>
      <c r="I15" s="39"/>
      <c r="K15" s="3">
        <f t="shared" si="3"/>
        <v>0</v>
      </c>
      <c r="L15" s="16" t="str">
        <f t="shared" si="4"/>
        <v xml:space="preserve"> </v>
      </c>
      <c r="M15" s="16" t="str">
        <f t="shared" si="2"/>
        <v xml:space="preserve"> </v>
      </c>
      <c r="N15" s="16" t="str">
        <f t="shared" si="2"/>
        <v xml:space="preserve"> </v>
      </c>
      <c r="O15" s="16" t="str">
        <f t="shared" si="2"/>
        <v xml:space="preserve"> </v>
      </c>
      <c r="P15" s="16" t="str">
        <f t="shared" si="2"/>
        <v xml:space="preserve"> </v>
      </c>
      <c r="Q15" s="16" t="str">
        <f t="shared" si="2"/>
        <v xml:space="preserve"> </v>
      </c>
      <c r="R15" s="16" t="str">
        <f t="shared" si="2"/>
        <v xml:space="preserve"> </v>
      </c>
      <c r="S15" s="16" t="str">
        <f t="shared" si="2"/>
        <v xml:space="preserve"> </v>
      </c>
      <c r="T15" s="16" t="str">
        <f t="shared" si="2"/>
        <v xml:space="preserve"> </v>
      </c>
      <c r="U15" s="16" t="str">
        <f t="shared" si="2"/>
        <v xml:space="preserve"> </v>
      </c>
      <c r="V15" s="16" t="str">
        <f t="shared" si="2"/>
        <v xml:space="preserve"> </v>
      </c>
      <c r="W15" s="16" t="str">
        <f t="shared" si="2"/>
        <v xml:space="preserve"> </v>
      </c>
      <c r="X15" s="16" t="str">
        <f t="shared" si="2"/>
        <v xml:space="preserve"> </v>
      </c>
      <c r="Y15" s="16" t="str">
        <f t="shared" si="2"/>
        <v xml:space="preserve"> </v>
      </c>
      <c r="Z15" s="16" t="str">
        <f t="shared" si="2"/>
        <v xml:space="preserve"> </v>
      </c>
      <c r="AA15" s="16" t="str">
        <f t="shared" si="2"/>
        <v xml:space="preserve"> </v>
      </c>
      <c r="AB15" s="16" t="str">
        <f t="shared" si="2"/>
        <v xml:space="preserve"> </v>
      </c>
      <c r="AC15" s="16" t="str">
        <f t="shared" si="2"/>
        <v xml:space="preserve"> </v>
      </c>
      <c r="AD15" s="16" t="str">
        <f t="shared" si="2"/>
        <v xml:space="preserve"> </v>
      </c>
      <c r="AE15" s="16" t="str">
        <f t="shared" si="2"/>
        <v xml:space="preserve"> </v>
      </c>
      <c r="AG15" s="24" t="str">
        <f>IF(NOT(ISBLANK(Results!F41)), Results!F41, "")</f>
        <v/>
      </c>
      <c r="AH15" s="25" t="str">
        <f>IF(AG15&lt;&gt;"", COUNTIF($F$5:$F$204,Results!E41), "")</f>
        <v/>
      </c>
      <c r="AI15" s="30" t="str">
        <f>INDEX(L$3:AE$3,ROWS(AI$5:AI15))</f>
        <v/>
      </c>
    </row>
    <row r="16" spans="1:35" ht="15" customHeight="1" thickBot="1" x14ac:dyDescent="0.35">
      <c r="A16"/>
      <c r="B16"/>
      <c r="C16"/>
      <c r="D16"/>
      <c r="E16"/>
      <c r="F16"/>
      <c r="G16" s="36" t="e">
        <f>VLOOKUP(F16,Results!$E$31:$F$50,2,FALSE)</f>
        <v>#N/A</v>
      </c>
      <c r="H16" s="38"/>
      <c r="I16" s="39"/>
      <c r="K16" s="3">
        <f t="shared" si="3"/>
        <v>0</v>
      </c>
      <c r="L16" s="16" t="str">
        <f t="shared" si="4"/>
        <v xml:space="preserve"> </v>
      </c>
      <c r="M16" s="16" t="str">
        <f t="shared" si="2"/>
        <v xml:space="preserve"> </v>
      </c>
      <c r="N16" s="16" t="str">
        <f t="shared" si="2"/>
        <v xml:space="preserve"> </v>
      </c>
      <c r="O16" s="16" t="str">
        <f t="shared" si="2"/>
        <v xml:space="preserve"> </v>
      </c>
      <c r="P16" s="16" t="str">
        <f t="shared" si="2"/>
        <v xml:space="preserve"> </v>
      </c>
      <c r="Q16" s="16" t="str">
        <f t="shared" si="2"/>
        <v xml:space="preserve"> </v>
      </c>
      <c r="R16" s="16" t="str">
        <f t="shared" si="2"/>
        <v xml:space="preserve"> </v>
      </c>
      <c r="S16" s="16" t="str">
        <f t="shared" si="2"/>
        <v xml:space="preserve"> </v>
      </c>
      <c r="T16" s="16" t="str">
        <f t="shared" si="2"/>
        <v xml:space="preserve"> </v>
      </c>
      <c r="U16" s="16" t="str">
        <f t="shared" si="2"/>
        <v xml:space="preserve"> </v>
      </c>
      <c r="V16" s="16" t="str">
        <f t="shared" si="2"/>
        <v xml:space="preserve"> </v>
      </c>
      <c r="W16" s="16" t="str">
        <f t="shared" si="2"/>
        <v xml:space="preserve"> </v>
      </c>
      <c r="X16" s="16" t="str">
        <f t="shared" si="2"/>
        <v xml:space="preserve"> </v>
      </c>
      <c r="Y16" s="16" t="str">
        <f t="shared" si="2"/>
        <v xml:space="preserve"> </v>
      </c>
      <c r="Z16" s="16" t="str">
        <f t="shared" si="2"/>
        <v xml:space="preserve"> </v>
      </c>
      <c r="AA16" s="16" t="str">
        <f t="shared" si="2"/>
        <v xml:space="preserve"> </v>
      </c>
      <c r="AB16" s="16" t="str">
        <f t="shared" si="2"/>
        <v xml:space="preserve"> </v>
      </c>
      <c r="AC16" s="16" t="str">
        <f t="shared" si="2"/>
        <v xml:space="preserve"> </v>
      </c>
      <c r="AD16" s="16" t="str">
        <f t="shared" si="2"/>
        <v xml:space="preserve"> </v>
      </c>
      <c r="AE16" s="16" t="str">
        <f t="shared" si="2"/>
        <v xml:space="preserve"> </v>
      </c>
      <c r="AG16" s="27" t="str">
        <f>IF(NOT(ISBLANK(Results!F42)), Results!F42, "")</f>
        <v/>
      </c>
      <c r="AH16" s="28" t="str">
        <f>IF(AG16&lt;&gt;"", COUNTIF($F$5:$F$204,Results!E42), "")</f>
        <v/>
      </c>
      <c r="AI16" s="29" t="str">
        <f>INDEX(L$3:AE$3,ROWS(AI$5:AI16))</f>
        <v/>
      </c>
    </row>
    <row r="17" spans="1:35" ht="15" customHeight="1" thickBot="1" x14ac:dyDescent="0.35">
      <c r="A17"/>
      <c r="B17"/>
      <c r="C17"/>
      <c r="D17"/>
      <c r="E17"/>
      <c r="F17"/>
      <c r="G17" s="36" t="e">
        <f>VLOOKUP(F17,Results!$E$31:$F$50,2,FALSE)</f>
        <v>#N/A</v>
      </c>
      <c r="H17" s="38"/>
      <c r="I17" s="39"/>
      <c r="K17" s="3">
        <f t="shared" si="3"/>
        <v>0</v>
      </c>
      <c r="L17" s="16" t="str">
        <f t="shared" si="4"/>
        <v xml:space="preserve"> </v>
      </c>
      <c r="M17" s="16" t="str">
        <f t="shared" si="2"/>
        <v xml:space="preserve"> </v>
      </c>
      <c r="N17" s="16" t="str">
        <f t="shared" si="2"/>
        <v xml:space="preserve"> </v>
      </c>
      <c r="O17" s="16" t="str">
        <f t="shared" si="2"/>
        <v xml:space="preserve"> </v>
      </c>
      <c r="P17" s="16" t="str">
        <f t="shared" si="2"/>
        <v xml:space="preserve"> </v>
      </c>
      <c r="Q17" s="16" t="str">
        <f t="shared" si="2"/>
        <v xml:space="preserve"> </v>
      </c>
      <c r="R17" s="16" t="str">
        <f t="shared" si="2"/>
        <v xml:space="preserve"> </v>
      </c>
      <c r="S17" s="16" t="str">
        <f t="shared" si="2"/>
        <v xml:space="preserve"> </v>
      </c>
      <c r="T17" s="16" t="str">
        <f t="shared" si="2"/>
        <v xml:space="preserve"> </v>
      </c>
      <c r="U17" s="16" t="str">
        <f t="shared" si="2"/>
        <v xml:space="preserve"> </v>
      </c>
      <c r="V17" s="16" t="str">
        <f t="shared" si="2"/>
        <v xml:space="preserve"> </v>
      </c>
      <c r="W17" s="16" t="str">
        <f t="shared" si="2"/>
        <v xml:space="preserve"> </v>
      </c>
      <c r="X17" s="16" t="str">
        <f t="shared" si="2"/>
        <v xml:space="preserve"> </v>
      </c>
      <c r="Y17" s="16" t="str">
        <f t="shared" si="2"/>
        <v xml:space="preserve"> </v>
      </c>
      <c r="Z17" s="16" t="str">
        <f t="shared" si="2"/>
        <v xml:space="preserve"> </v>
      </c>
      <c r="AA17" s="16" t="str">
        <f t="shared" si="2"/>
        <v xml:space="preserve"> </v>
      </c>
      <c r="AB17" s="16" t="str">
        <f t="shared" si="2"/>
        <v xml:space="preserve"> </v>
      </c>
      <c r="AC17" s="16" t="str">
        <f t="shared" si="2"/>
        <v xml:space="preserve"> </v>
      </c>
      <c r="AD17" s="16" t="str">
        <f t="shared" si="2"/>
        <v xml:space="preserve"> </v>
      </c>
      <c r="AE17" s="16" t="str">
        <f t="shared" si="2"/>
        <v xml:space="preserve"> </v>
      </c>
      <c r="AG17" s="24" t="str">
        <f>IF(NOT(ISBLANK(Results!F43)), Results!F43, "")</f>
        <v/>
      </c>
      <c r="AH17" s="25" t="str">
        <f>IF(AG17&lt;&gt;"", COUNTIF($F$5:$F$204,Results!E43), "")</f>
        <v/>
      </c>
      <c r="AI17" s="30" t="str">
        <f>INDEX(L$3:AE$3,ROWS(AI$5:AI17))</f>
        <v/>
      </c>
    </row>
    <row r="18" spans="1:35" ht="15" customHeight="1" thickBot="1" x14ac:dyDescent="0.35">
      <c r="A18"/>
      <c r="B18"/>
      <c r="C18"/>
      <c r="D18"/>
      <c r="E18"/>
      <c r="F18"/>
      <c r="G18" s="36" t="e">
        <f>VLOOKUP(F18,Results!$E$31:$F$50,2,FALSE)</f>
        <v>#N/A</v>
      </c>
      <c r="H18" s="38"/>
      <c r="I18" s="39"/>
      <c r="K18" s="3">
        <f t="shared" si="3"/>
        <v>0</v>
      </c>
      <c r="L18" s="16" t="str">
        <f t="shared" si="4"/>
        <v xml:space="preserve"> </v>
      </c>
      <c r="M18" s="16" t="str">
        <f t="shared" si="2"/>
        <v xml:space="preserve"> </v>
      </c>
      <c r="N18" s="16" t="str">
        <f t="shared" si="2"/>
        <v xml:space="preserve"> </v>
      </c>
      <c r="O18" s="16" t="str">
        <f t="shared" si="2"/>
        <v xml:space="preserve"> </v>
      </c>
      <c r="P18" s="16" t="str">
        <f t="shared" si="2"/>
        <v xml:space="preserve"> </v>
      </c>
      <c r="Q18" s="16" t="str">
        <f t="shared" si="2"/>
        <v xml:space="preserve"> </v>
      </c>
      <c r="R18" s="16" t="str">
        <f t="shared" si="2"/>
        <v xml:space="preserve"> </v>
      </c>
      <c r="S18" s="16" t="str">
        <f t="shared" si="2"/>
        <v xml:space="preserve"> </v>
      </c>
      <c r="T18" s="16" t="str">
        <f t="shared" si="2"/>
        <v xml:space="preserve"> </v>
      </c>
      <c r="U18" s="16" t="str">
        <f t="shared" ref="U18:AE18" si="5">IF($F18=COLUMN((U:U))-11,$E18," ")</f>
        <v xml:space="preserve"> </v>
      </c>
      <c r="V18" s="16" t="str">
        <f t="shared" si="5"/>
        <v xml:space="preserve"> </v>
      </c>
      <c r="W18" s="16" t="str">
        <f t="shared" si="5"/>
        <v xml:space="preserve"> </v>
      </c>
      <c r="X18" s="16" t="str">
        <f t="shared" si="5"/>
        <v xml:space="preserve"> </v>
      </c>
      <c r="Y18" s="16" t="str">
        <f t="shared" si="5"/>
        <v xml:space="preserve"> </v>
      </c>
      <c r="Z18" s="16" t="str">
        <f t="shared" si="5"/>
        <v xml:space="preserve"> </v>
      </c>
      <c r="AA18" s="16" t="str">
        <f t="shared" si="5"/>
        <v xml:space="preserve"> </v>
      </c>
      <c r="AB18" s="16" t="str">
        <f t="shared" si="5"/>
        <v xml:space="preserve"> </v>
      </c>
      <c r="AC18" s="16" t="str">
        <f t="shared" si="5"/>
        <v xml:space="preserve"> </v>
      </c>
      <c r="AD18" s="16" t="str">
        <f t="shared" si="5"/>
        <v xml:space="preserve"> </v>
      </c>
      <c r="AE18" s="16" t="str">
        <f t="shared" si="5"/>
        <v xml:space="preserve"> </v>
      </c>
      <c r="AG18" s="27" t="str">
        <f>IF(NOT(ISBLANK(Results!F44)), Results!F44, "")</f>
        <v/>
      </c>
      <c r="AH18" s="28" t="str">
        <f>IF(AG18&lt;&gt;"", COUNTIF($F$5:$F$204,Results!E44), "")</f>
        <v/>
      </c>
      <c r="AI18" s="29" t="str">
        <f>INDEX(L$3:AE$3,ROWS(AI$5:AI18))</f>
        <v/>
      </c>
    </row>
    <row r="19" spans="1:35" ht="15" customHeight="1" thickBot="1" x14ac:dyDescent="0.35">
      <c r="A19"/>
      <c r="B19"/>
      <c r="C19"/>
      <c r="D19"/>
      <c r="E19"/>
      <c r="F19"/>
      <c r="G19" s="36" t="e">
        <f>VLOOKUP(F19,Results!$E$31:$F$50,2,FALSE)</f>
        <v>#N/A</v>
      </c>
      <c r="H19" s="38"/>
      <c r="I19" s="39"/>
      <c r="K19" s="3">
        <f t="shared" si="3"/>
        <v>0</v>
      </c>
      <c r="L19" s="16" t="str">
        <f t="shared" si="4"/>
        <v xml:space="preserve"> </v>
      </c>
      <c r="M19" s="16" t="str">
        <f t="shared" si="4"/>
        <v xml:space="preserve"> </v>
      </c>
      <c r="N19" s="16" t="str">
        <f t="shared" si="4"/>
        <v xml:space="preserve"> </v>
      </c>
      <c r="O19" s="16" t="str">
        <f t="shared" si="4"/>
        <v xml:space="preserve"> </v>
      </c>
      <c r="P19" s="16" t="str">
        <f t="shared" si="4"/>
        <v xml:space="preserve"> </v>
      </c>
      <c r="Q19" s="16" t="str">
        <f t="shared" si="4"/>
        <v xml:space="preserve"> </v>
      </c>
      <c r="R19" s="16" t="str">
        <f t="shared" si="4"/>
        <v xml:space="preserve"> </v>
      </c>
      <c r="S19" s="16" t="str">
        <f t="shared" si="4"/>
        <v xml:space="preserve"> </v>
      </c>
      <c r="T19" s="16" t="str">
        <f t="shared" si="4"/>
        <v xml:space="preserve"> </v>
      </c>
      <c r="U19" s="16" t="str">
        <f t="shared" si="4"/>
        <v xml:space="preserve"> </v>
      </c>
      <c r="V19" s="16" t="str">
        <f t="shared" si="4"/>
        <v xml:space="preserve"> </v>
      </c>
      <c r="W19" s="16" t="str">
        <f t="shared" si="4"/>
        <v xml:space="preserve"> </v>
      </c>
      <c r="X19" s="16" t="str">
        <f t="shared" si="4"/>
        <v xml:space="preserve"> </v>
      </c>
      <c r="Y19" s="16" t="str">
        <f t="shared" si="4"/>
        <v xml:space="preserve"> </v>
      </c>
      <c r="Z19" s="16" t="str">
        <f t="shared" si="4"/>
        <v xml:space="preserve"> </v>
      </c>
      <c r="AA19" s="16" t="str">
        <f t="shared" si="4"/>
        <v xml:space="preserve"> </v>
      </c>
      <c r="AB19" s="16" t="str">
        <f t="shared" ref="AB19:AE49" si="6">IF($F19=COLUMN((AB:AB))-11,$E19," ")</f>
        <v xml:space="preserve"> </v>
      </c>
      <c r="AC19" s="16" t="str">
        <f t="shared" si="6"/>
        <v xml:space="preserve"> </v>
      </c>
      <c r="AD19" s="16" t="str">
        <f t="shared" si="6"/>
        <v xml:space="preserve"> </v>
      </c>
      <c r="AE19" s="16" t="str">
        <f t="shared" si="6"/>
        <v xml:space="preserve"> </v>
      </c>
      <c r="AG19" s="24" t="str">
        <f>IF(NOT(ISBLANK(Results!F45)), Results!F45, "")</f>
        <v/>
      </c>
      <c r="AH19" s="25" t="str">
        <f>IF(AG19&lt;&gt;"", COUNTIF($F$5:$F$204,Results!E45), "")</f>
        <v/>
      </c>
      <c r="AI19" s="30" t="str">
        <f>INDEX(L$3:AE$3,ROWS(AI$5:AI19))</f>
        <v/>
      </c>
    </row>
    <row r="20" spans="1:35" ht="15" customHeight="1" thickBot="1" x14ac:dyDescent="0.35">
      <c r="A20"/>
      <c r="B20"/>
      <c r="C20"/>
      <c r="D20"/>
      <c r="E20"/>
      <c r="F20"/>
      <c r="G20" s="36" t="e">
        <f>VLOOKUP(F20,Results!$E$31:$F$50,2,FALSE)</f>
        <v>#N/A</v>
      </c>
      <c r="H20" s="38"/>
      <c r="I20" s="39"/>
      <c r="K20" s="3">
        <f t="shared" si="3"/>
        <v>0</v>
      </c>
      <c r="L20" s="16" t="str">
        <f t="shared" si="4"/>
        <v xml:space="preserve"> </v>
      </c>
      <c r="M20" s="16" t="str">
        <f t="shared" si="4"/>
        <v xml:space="preserve"> </v>
      </c>
      <c r="N20" s="16" t="str">
        <f t="shared" si="4"/>
        <v xml:space="preserve"> </v>
      </c>
      <c r="O20" s="16" t="str">
        <f t="shared" si="4"/>
        <v xml:space="preserve"> </v>
      </c>
      <c r="P20" s="16" t="str">
        <f t="shared" si="4"/>
        <v xml:space="preserve"> </v>
      </c>
      <c r="Q20" s="16" t="str">
        <f t="shared" si="4"/>
        <v xml:space="preserve"> </v>
      </c>
      <c r="R20" s="16" t="str">
        <f t="shared" si="4"/>
        <v xml:space="preserve"> </v>
      </c>
      <c r="S20" s="16" t="str">
        <f t="shared" si="4"/>
        <v xml:space="preserve"> </v>
      </c>
      <c r="T20" s="16" t="str">
        <f t="shared" si="4"/>
        <v xml:space="preserve"> </v>
      </c>
      <c r="U20" s="16" t="str">
        <f t="shared" si="4"/>
        <v xml:space="preserve"> </v>
      </c>
      <c r="V20" s="16" t="str">
        <f t="shared" si="4"/>
        <v xml:space="preserve"> </v>
      </c>
      <c r="W20" s="16" t="str">
        <f t="shared" si="4"/>
        <v xml:space="preserve"> </v>
      </c>
      <c r="X20" s="16" t="str">
        <f t="shared" si="4"/>
        <v xml:space="preserve"> </v>
      </c>
      <c r="Y20" s="16" t="str">
        <f t="shared" si="4"/>
        <v xml:space="preserve"> </v>
      </c>
      <c r="Z20" s="16" t="str">
        <f t="shared" si="4"/>
        <v xml:space="preserve"> </v>
      </c>
      <c r="AA20" s="16" t="str">
        <f t="shared" si="4"/>
        <v xml:space="preserve"> </v>
      </c>
      <c r="AB20" s="16" t="str">
        <f t="shared" si="6"/>
        <v xml:space="preserve"> </v>
      </c>
      <c r="AC20" s="16" t="str">
        <f t="shared" si="6"/>
        <v xml:space="preserve"> </v>
      </c>
      <c r="AD20" s="16" t="str">
        <f t="shared" si="6"/>
        <v xml:space="preserve"> </v>
      </c>
      <c r="AE20" s="16" t="str">
        <f t="shared" si="6"/>
        <v xml:space="preserve"> </v>
      </c>
      <c r="AG20" s="27" t="str">
        <f>IF(NOT(ISBLANK(Results!F46)), Results!F46, "")</f>
        <v/>
      </c>
      <c r="AH20" s="28" t="str">
        <f>IF(AG20&lt;&gt;"", COUNTIF($F$5:$F$204,Results!E46), "")</f>
        <v/>
      </c>
      <c r="AI20" s="29" t="str">
        <f>INDEX(L$3:AE$3,ROWS(AI$5:AI20))</f>
        <v/>
      </c>
    </row>
    <row r="21" spans="1:35" ht="15" customHeight="1" thickBot="1" x14ac:dyDescent="0.35">
      <c r="A21"/>
      <c r="B21"/>
      <c r="C21"/>
      <c r="D21"/>
      <c r="E21"/>
      <c r="F21"/>
      <c r="G21" s="36" t="e">
        <f>VLOOKUP(F21,Results!$E$31:$F$50,2,FALSE)</f>
        <v>#N/A</v>
      </c>
      <c r="H21" s="38"/>
      <c r="I21" s="39"/>
      <c r="K21" s="3">
        <f t="shared" si="3"/>
        <v>0</v>
      </c>
      <c r="L21" s="16" t="str">
        <f t="shared" si="4"/>
        <v xml:space="preserve"> </v>
      </c>
      <c r="M21" s="16" t="str">
        <f t="shared" si="4"/>
        <v xml:space="preserve"> </v>
      </c>
      <c r="N21" s="16" t="str">
        <f t="shared" si="4"/>
        <v xml:space="preserve"> </v>
      </c>
      <c r="O21" s="16" t="str">
        <f t="shared" si="4"/>
        <v xml:space="preserve"> </v>
      </c>
      <c r="P21" s="16" t="str">
        <f t="shared" si="4"/>
        <v xml:space="preserve"> </v>
      </c>
      <c r="Q21" s="16" t="str">
        <f t="shared" si="4"/>
        <v xml:space="preserve"> </v>
      </c>
      <c r="R21" s="16" t="str">
        <f t="shared" si="4"/>
        <v xml:space="preserve"> </v>
      </c>
      <c r="S21" s="16" t="str">
        <f t="shared" si="4"/>
        <v xml:space="preserve"> </v>
      </c>
      <c r="T21" s="16" t="str">
        <f t="shared" si="4"/>
        <v xml:space="preserve"> </v>
      </c>
      <c r="U21" s="16" t="str">
        <f t="shared" si="4"/>
        <v xml:space="preserve"> </v>
      </c>
      <c r="V21" s="16" t="str">
        <f t="shared" si="4"/>
        <v xml:space="preserve"> </v>
      </c>
      <c r="W21" s="16" t="str">
        <f t="shared" si="4"/>
        <v xml:space="preserve"> </v>
      </c>
      <c r="X21" s="16" t="str">
        <f t="shared" si="4"/>
        <v xml:space="preserve"> </v>
      </c>
      <c r="Y21" s="16" t="str">
        <f t="shared" si="4"/>
        <v xml:space="preserve"> </v>
      </c>
      <c r="Z21" s="16" t="str">
        <f t="shared" si="4"/>
        <v xml:space="preserve"> </v>
      </c>
      <c r="AA21" s="16" t="str">
        <f t="shared" si="4"/>
        <v xml:space="preserve"> </v>
      </c>
      <c r="AB21" s="16" t="str">
        <f t="shared" si="6"/>
        <v xml:space="preserve"> </v>
      </c>
      <c r="AC21" s="16" t="str">
        <f t="shared" si="6"/>
        <v xml:space="preserve"> </v>
      </c>
      <c r="AD21" s="16" t="str">
        <f t="shared" si="6"/>
        <v xml:space="preserve"> </v>
      </c>
      <c r="AE21" s="16" t="str">
        <f t="shared" si="6"/>
        <v xml:space="preserve"> </v>
      </c>
      <c r="AG21" s="24" t="str">
        <f>IF(NOT(ISBLANK(Results!F47)), Results!F47, "")</f>
        <v/>
      </c>
      <c r="AH21" s="25" t="str">
        <f>IF(AG21&lt;&gt;"", COUNTIF($F$5:$F$204,Results!E47), "")</f>
        <v/>
      </c>
      <c r="AI21" s="30" t="str">
        <f>INDEX(L$3:AE$3,ROWS(AI$5:AI21))</f>
        <v/>
      </c>
    </row>
    <row r="22" spans="1:35" ht="15" customHeight="1" thickBot="1" x14ac:dyDescent="0.35">
      <c r="A22"/>
      <c r="B22"/>
      <c r="C22"/>
      <c r="D22"/>
      <c r="E22"/>
      <c r="F22"/>
      <c r="G22" s="36" t="e">
        <f>VLOOKUP(F22,Results!$E$31:$F$50,2,FALSE)</f>
        <v>#N/A</v>
      </c>
      <c r="H22" s="38"/>
      <c r="I22" s="39"/>
      <c r="K22" s="3">
        <f t="shared" si="3"/>
        <v>0</v>
      </c>
      <c r="L22" s="16" t="str">
        <f t="shared" si="4"/>
        <v xml:space="preserve"> </v>
      </c>
      <c r="M22" s="16" t="str">
        <f t="shared" si="4"/>
        <v xml:space="preserve"> </v>
      </c>
      <c r="N22" s="16" t="str">
        <f t="shared" si="4"/>
        <v xml:space="preserve"> </v>
      </c>
      <c r="O22" s="16" t="str">
        <f t="shared" si="4"/>
        <v xml:space="preserve"> </v>
      </c>
      <c r="P22" s="16" t="str">
        <f t="shared" si="4"/>
        <v xml:space="preserve"> </v>
      </c>
      <c r="Q22" s="16" t="str">
        <f t="shared" si="4"/>
        <v xml:space="preserve"> </v>
      </c>
      <c r="R22" s="16" t="str">
        <f t="shared" si="4"/>
        <v xml:space="preserve"> </v>
      </c>
      <c r="S22" s="16" t="str">
        <f t="shared" si="4"/>
        <v xml:space="preserve"> </v>
      </c>
      <c r="T22" s="16" t="str">
        <f t="shared" si="4"/>
        <v xml:space="preserve"> </v>
      </c>
      <c r="U22" s="16" t="str">
        <f t="shared" si="4"/>
        <v xml:space="preserve"> </v>
      </c>
      <c r="V22" s="16" t="str">
        <f t="shared" si="4"/>
        <v xml:space="preserve"> </v>
      </c>
      <c r="W22" s="16" t="str">
        <f t="shared" si="4"/>
        <v xml:space="preserve"> </v>
      </c>
      <c r="X22" s="16" t="str">
        <f t="shared" si="4"/>
        <v xml:space="preserve"> </v>
      </c>
      <c r="Y22" s="16" t="str">
        <f t="shared" si="4"/>
        <v xml:space="preserve"> </v>
      </c>
      <c r="Z22" s="16" t="str">
        <f t="shared" si="4"/>
        <v xml:space="preserve"> </v>
      </c>
      <c r="AA22" s="16" t="str">
        <f t="shared" si="4"/>
        <v xml:space="preserve"> </v>
      </c>
      <c r="AB22" s="16" t="str">
        <f t="shared" si="6"/>
        <v xml:space="preserve"> </v>
      </c>
      <c r="AC22" s="16" t="str">
        <f t="shared" si="6"/>
        <v xml:space="preserve"> </v>
      </c>
      <c r="AD22" s="16" t="str">
        <f t="shared" si="6"/>
        <v xml:space="preserve"> </v>
      </c>
      <c r="AE22" s="16" t="str">
        <f t="shared" si="6"/>
        <v xml:space="preserve"> </v>
      </c>
      <c r="AG22" s="27" t="str">
        <f>IF(NOT(ISBLANK(Results!F48)), Results!F48, "")</f>
        <v/>
      </c>
      <c r="AH22" s="28" t="str">
        <f>IF(AG22&lt;&gt;"", COUNTIF($F$5:$F$204,Results!E48), "")</f>
        <v/>
      </c>
      <c r="AI22" s="29" t="str">
        <f>INDEX(L$3:AE$3,ROWS(AI$5:AI22))</f>
        <v/>
      </c>
    </row>
    <row r="23" spans="1:35" ht="15" customHeight="1" thickBot="1" x14ac:dyDescent="0.35">
      <c r="A23"/>
      <c r="B23"/>
      <c r="C23"/>
      <c r="D23"/>
      <c r="E23"/>
      <c r="F23"/>
      <c r="G23" s="36" t="e">
        <f>VLOOKUP(F23,Results!$E$31:$F$50,2,FALSE)</f>
        <v>#N/A</v>
      </c>
      <c r="H23" s="38"/>
      <c r="I23" s="39"/>
      <c r="K23" s="3">
        <f t="shared" si="3"/>
        <v>0</v>
      </c>
      <c r="L23" s="16" t="str">
        <f t="shared" si="4"/>
        <v xml:space="preserve"> </v>
      </c>
      <c r="M23" s="16" t="str">
        <f t="shared" si="4"/>
        <v xml:space="preserve"> </v>
      </c>
      <c r="N23" s="16" t="str">
        <f t="shared" si="4"/>
        <v xml:space="preserve"> </v>
      </c>
      <c r="O23" s="16" t="str">
        <f t="shared" si="4"/>
        <v xml:space="preserve"> </v>
      </c>
      <c r="P23" s="16" t="str">
        <f t="shared" si="4"/>
        <v xml:space="preserve"> </v>
      </c>
      <c r="Q23" s="16" t="str">
        <f t="shared" si="4"/>
        <v xml:space="preserve"> </v>
      </c>
      <c r="R23" s="16" t="str">
        <f t="shared" si="4"/>
        <v xml:space="preserve"> </v>
      </c>
      <c r="S23" s="16" t="str">
        <f t="shared" si="4"/>
        <v xml:space="preserve"> </v>
      </c>
      <c r="T23" s="16" t="str">
        <f t="shared" si="4"/>
        <v xml:space="preserve"> </v>
      </c>
      <c r="U23" s="16" t="str">
        <f t="shared" si="4"/>
        <v xml:space="preserve"> </v>
      </c>
      <c r="V23" s="16" t="str">
        <f t="shared" si="4"/>
        <v xml:space="preserve"> </v>
      </c>
      <c r="W23" s="16" t="str">
        <f t="shared" si="4"/>
        <v xml:space="preserve"> </v>
      </c>
      <c r="X23" s="16" t="str">
        <f t="shared" si="4"/>
        <v xml:space="preserve"> </v>
      </c>
      <c r="Y23" s="16" t="str">
        <f t="shared" si="4"/>
        <v xml:space="preserve"> </v>
      </c>
      <c r="Z23" s="16" t="str">
        <f t="shared" si="4"/>
        <v xml:space="preserve"> </v>
      </c>
      <c r="AA23" s="16" t="str">
        <f t="shared" si="4"/>
        <v xml:space="preserve"> </v>
      </c>
      <c r="AB23" s="16" t="str">
        <f t="shared" si="6"/>
        <v xml:space="preserve"> </v>
      </c>
      <c r="AC23" s="16" t="str">
        <f t="shared" si="6"/>
        <v xml:space="preserve"> </v>
      </c>
      <c r="AD23" s="16" t="str">
        <f t="shared" si="6"/>
        <v xml:space="preserve"> </v>
      </c>
      <c r="AE23" s="16" t="str">
        <f t="shared" si="6"/>
        <v xml:space="preserve"> </v>
      </c>
      <c r="AG23" s="24" t="str">
        <f>IF(NOT(ISBLANK(Results!F49)), Results!F49, "")</f>
        <v/>
      </c>
      <c r="AH23" s="25" t="str">
        <f>IF(AG23&lt;&gt;"", COUNTIF($F$5:$F$204,Results!E49), "")</f>
        <v/>
      </c>
      <c r="AI23" s="30" t="str">
        <f>INDEX(L$3:AE$3,ROWS(AI$5:AI23))</f>
        <v/>
      </c>
    </row>
    <row r="24" spans="1:35" ht="15" customHeight="1" thickBot="1" x14ac:dyDescent="0.35">
      <c r="A24"/>
      <c r="B24"/>
      <c r="C24"/>
      <c r="D24"/>
      <c r="E24"/>
      <c r="F24"/>
      <c r="G24" s="36" t="e">
        <f>VLOOKUP(F24,Results!$E$31:$F$50,2,FALSE)</f>
        <v>#N/A</v>
      </c>
      <c r="H24" s="38"/>
      <c r="I24" s="39"/>
      <c r="K24" s="3">
        <f t="shared" si="3"/>
        <v>0</v>
      </c>
      <c r="L24" s="16" t="str">
        <f t="shared" si="4"/>
        <v xml:space="preserve"> </v>
      </c>
      <c r="M24" s="16" t="str">
        <f t="shared" si="4"/>
        <v xml:space="preserve"> </v>
      </c>
      <c r="N24" s="16" t="str">
        <f t="shared" si="4"/>
        <v xml:space="preserve"> </v>
      </c>
      <c r="O24" s="16" t="str">
        <f t="shared" si="4"/>
        <v xml:space="preserve"> </v>
      </c>
      <c r="P24" s="16" t="str">
        <f t="shared" si="4"/>
        <v xml:space="preserve"> </v>
      </c>
      <c r="Q24" s="16" t="str">
        <f t="shared" si="4"/>
        <v xml:space="preserve"> </v>
      </c>
      <c r="R24" s="16" t="str">
        <f t="shared" si="4"/>
        <v xml:space="preserve"> </v>
      </c>
      <c r="S24" s="16" t="str">
        <f t="shared" si="4"/>
        <v xml:space="preserve"> </v>
      </c>
      <c r="T24" s="16" t="str">
        <f t="shared" si="4"/>
        <v xml:space="preserve"> </v>
      </c>
      <c r="U24" s="16" t="str">
        <f t="shared" si="4"/>
        <v xml:space="preserve"> </v>
      </c>
      <c r="V24" s="16" t="str">
        <f t="shared" si="4"/>
        <v xml:space="preserve"> </v>
      </c>
      <c r="W24" s="16" t="str">
        <f t="shared" si="4"/>
        <v xml:space="preserve"> </v>
      </c>
      <c r="X24" s="16" t="str">
        <f t="shared" si="4"/>
        <v xml:space="preserve"> </v>
      </c>
      <c r="Y24" s="16" t="str">
        <f t="shared" si="4"/>
        <v xml:space="preserve"> </v>
      </c>
      <c r="Z24" s="16" t="str">
        <f t="shared" si="4"/>
        <v xml:space="preserve"> </v>
      </c>
      <c r="AA24" s="16" t="str">
        <f t="shared" si="4"/>
        <v xml:space="preserve"> </v>
      </c>
      <c r="AB24" s="16" t="str">
        <f t="shared" si="6"/>
        <v xml:space="preserve"> </v>
      </c>
      <c r="AC24" s="16" t="str">
        <f t="shared" si="6"/>
        <v xml:space="preserve"> </v>
      </c>
      <c r="AD24" s="16" t="str">
        <f t="shared" si="6"/>
        <v xml:space="preserve"> </v>
      </c>
      <c r="AE24" s="16" t="str">
        <f t="shared" si="6"/>
        <v xml:space="preserve"> </v>
      </c>
      <c r="AG24" s="18" t="str">
        <f>IF(NOT(ISBLANK(Results!F50)), Results!F50, "")</f>
        <v/>
      </c>
      <c r="AH24" s="19" t="str">
        <f>IF(AG24&lt;&gt;"", COUNTIF($F$5:$F$204,Results!E50), "")</f>
        <v/>
      </c>
      <c r="AI24" s="20" t="str">
        <f>INDEX(L$3:AE$3,ROWS(AI$5:AI24))</f>
        <v/>
      </c>
    </row>
    <row r="25" spans="1:35" ht="15" customHeight="1" thickBot="1" x14ac:dyDescent="0.35">
      <c r="A25"/>
      <c r="B25"/>
      <c r="C25"/>
      <c r="D25"/>
      <c r="E25"/>
      <c r="F25"/>
      <c r="G25" s="36" t="e">
        <f>VLOOKUP(F25,Results!$E$31:$F$50,2,FALSE)</f>
        <v>#N/A</v>
      </c>
      <c r="H25" s="38"/>
      <c r="I25" s="39"/>
      <c r="K25" s="3">
        <f t="shared" si="3"/>
        <v>0</v>
      </c>
      <c r="L25" s="16" t="str">
        <f t="shared" si="4"/>
        <v xml:space="preserve"> </v>
      </c>
      <c r="M25" s="16" t="str">
        <f t="shared" si="4"/>
        <v xml:space="preserve"> </v>
      </c>
      <c r="N25" s="16" t="str">
        <f t="shared" si="4"/>
        <v xml:space="preserve"> </v>
      </c>
      <c r="O25" s="16" t="str">
        <f t="shared" si="4"/>
        <v xml:space="preserve"> </v>
      </c>
      <c r="P25" s="16" t="str">
        <f t="shared" si="4"/>
        <v xml:space="preserve"> </v>
      </c>
      <c r="Q25" s="16" t="str">
        <f t="shared" si="4"/>
        <v xml:space="preserve"> </v>
      </c>
      <c r="R25" s="16" t="str">
        <f t="shared" si="4"/>
        <v xml:space="preserve"> </v>
      </c>
      <c r="S25" s="16" t="str">
        <f t="shared" si="4"/>
        <v xml:space="preserve"> </v>
      </c>
      <c r="T25" s="16" t="str">
        <f t="shared" si="4"/>
        <v xml:space="preserve"> </v>
      </c>
      <c r="U25" s="16" t="str">
        <f t="shared" si="4"/>
        <v xml:space="preserve"> </v>
      </c>
      <c r="V25" s="16" t="str">
        <f t="shared" si="4"/>
        <v xml:space="preserve"> </v>
      </c>
      <c r="W25" s="16" t="str">
        <f t="shared" si="4"/>
        <v xml:space="preserve"> </v>
      </c>
      <c r="X25" s="16" t="str">
        <f t="shared" si="4"/>
        <v xml:space="preserve"> </v>
      </c>
      <c r="Y25" s="16" t="str">
        <f t="shared" si="4"/>
        <v xml:space="preserve"> </v>
      </c>
      <c r="Z25" s="16" t="str">
        <f t="shared" si="4"/>
        <v xml:space="preserve"> </v>
      </c>
      <c r="AA25" s="16" t="str">
        <f t="shared" si="4"/>
        <v xml:space="preserve"> </v>
      </c>
      <c r="AB25" s="16" t="str">
        <f t="shared" si="6"/>
        <v xml:space="preserve"> </v>
      </c>
      <c r="AC25" s="16" t="str">
        <f t="shared" si="6"/>
        <v xml:space="preserve"> </v>
      </c>
      <c r="AD25" s="16" t="str">
        <f t="shared" si="6"/>
        <v xml:space="preserve"> </v>
      </c>
      <c r="AE25" s="16" t="str">
        <f t="shared" si="6"/>
        <v xml:space="preserve"> </v>
      </c>
    </row>
    <row r="26" spans="1:35" ht="15" customHeight="1" thickBot="1" x14ac:dyDescent="0.35">
      <c r="A26"/>
      <c r="B26"/>
      <c r="C26"/>
      <c r="D26"/>
      <c r="E26"/>
      <c r="F26"/>
      <c r="G26" s="36" t="e">
        <f>VLOOKUP(F26,Results!$E$31:$F$50,2,FALSE)</f>
        <v>#N/A</v>
      </c>
      <c r="H26" s="38"/>
      <c r="I26" s="39"/>
      <c r="K26" s="3">
        <f t="shared" si="3"/>
        <v>0</v>
      </c>
      <c r="L26" s="16" t="str">
        <f t="shared" si="4"/>
        <v xml:space="preserve"> </v>
      </c>
      <c r="M26" s="16" t="str">
        <f t="shared" si="4"/>
        <v xml:space="preserve"> </v>
      </c>
      <c r="N26" s="16" t="str">
        <f t="shared" si="4"/>
        <v xml:space="preserve"> </v>
      </c>
      <c r="O26" s="16" t="str">
        <f t="shared" si="4"/>
        <v xml:space="preserve"> </v>
      </c>
      <c r="P26" s="16" t="str">
        <f t="shared" si="4"/>
        <v xml:space="preserve"> </v>
      </c>
      <c r="Q26" s="16" t="str">
        <f t="shared" si="4"/>
        <v xml:space="preserve"> </v>
      </c>
      <c r="R26" s="16" t="str">
        <f t="shared" si="4"/>
        <v xml:space="preserve"> </v>
      </c>
      <c r="S26" s="16" t="str">
        <f t="shared" si="4"/>
        <v xml:space="preserve"> </v>
      </c>
      <c r="T26" s="16" t="str">
        <f t="shared" si="4"/>
        <v xml:space="preserve"> </v>
      </c>
      <c r="U26" s="16" t="str">
        <f t="shared" si="4"/>
        <v xml:space="preserve"> </v>
      </c>
      <c r="V26" s="16" t="str">
        <f t="shared" si="4"/>
        <v xml:space="preserve"> </v>
      </c>
      <c r="W26" s="16" t="str">
        <f t="shared" si="4"/>
        <v xml:space="preserve"> </v>
      </c>
      <c r="X26" s="16" t="str">
        <f t="shared" si="4"/>
        <v xml:space="preserve"> </v>
      </c>
      <c r="Y26" s="16" t="str">
        <f t="shared" si="4"/>
        <v xml:space="preserve"> </v>
      </c>
      <c r="Z26" s="16" t="str">
        <f t="shared" si="4"/>
        <v xml:space="preserve"> </v>
      </c>
      <c r="AA26" s="16" t="str">
        <f t="shared" si="4"/>
        <v xml:space="preserve"> </v>
      </c>
      <c r="AB26" s="16" t="str">
        <f t="shared" si="6"/>
        <v xml:space="preserve"> </v>
      </c>
      <c r="AC26" s="16" t="str">
        <f t="shared" si="6"/>
        <v xml:space="preserve"> </v>
      </c>
      <c r="AD26" s="16" t="str">
        <f t="shared" si="6"/>
        <v xml:space="preserve"> </v>
      </c>
      <c r="AE26" s="16" t="str">
        <f t="shared" si="6"/>
        <v xml:space="preserve"> </v>
      </c>
    </row>
    <row r="27" spans="1:35" ht="15" customHeight="1" thickBot="1" x14ac:dyDescent="0.35">
      <c r="A27"/>
      <c r="B27"/>
      <c r="C27"/>
      <c r="D27"/>
      <c r="E27"/>
      <c r="F27"/>
      <c r="G27" s="36" t="e">
        <f>VLOOKUP(F27,Results!$E$31:$F$50,2,FALSE)</f>
        <v>#N/A</v>
      </c>
      <c r="H27" s="38"/>
      <c r="I27" s="39"/>
      <c r="K27" s="3">
        <f t="shared" si="3"/>
        <v>0</v>
      </c>
      <c r="L27" s="16" t="str">
        <f t="shared" si="4"/>
        <v xml:space="preserve"> </v>
      </c>
      <c r="M27" s="16" t="str">
        <f t="shared" si="4"/>
        <v xml:space="preserve"> </v>
      </c>
      <c r="N27" s="16" t="str">
        <f t="shared" si="4"/>
        <v xml:space="preserve"> </v>
      </c>
      <c r="O27" s="16" t="str">
        <f t="shared" si="4"/>
        <v xml:space="preserve"> </v>
      </c>
      <c r="P27" s="16" t="str">
        <f t="shared" si="4"/>
        <v xml:space="preserve"> </v>
      </c>
      <c r="Q27" s="16" t="str">
        <f t="shared" si="4"/>
        <v xml:space="preserve"> </v>
      </c>
      <c r="R27" s="16" t="str">
        <f t="shared" si="4"/>
        <v xml:space="preserve"> </v>
      </c>
      <c r="S27" s="16" t="str">
        <f t="shared" si="4"/>
        <v xml:space="preserve"> </v>
      </c>
      <c r="T27" s="16" t="str">
        <f t="shared" si="4"/>
        <v xml:space="preserve"> </v>
      </c>
      <c r="U27" s="16" t="str">
        <f t="shared" si="4"/>
        <v xml:space="preserve"> </v>
      </c>
      <c r="V27" s="16" t="str">
        <f t="shared" si="4"/>
        <v xml:space="preserve"> </v>
      </c>
      <c r="W27" s="16" t="str">
        <f t="shared" si="4"/>
        <v xml:space="preserve"> </v>
      </c>
      <c r="X27" s="16" t="str">
        <f t="shared" si="4"/>
        <v xml:space="preserve"> </v>
      </c>
      <c r="Y27" s="16" t="str">
        <f t="shared" si="4"/>
        <v xml:space="preserve"> </v>
      </c>
      <c r="Z27" s="16" t="str">
        <f t="shared" si="4"/>
        <v xml:space="preserve"> </v>
      </c>
      <c r="AA27" s="16" t="str">
        <f t="shared" si="4"/>
        <v xml:space="preserve"> </v>
      </c>
      <c r="AB27" s="16" t="str">
        <f t="shared" si="6"/>
        <v xml:space="preserve"> </v>
      </c>
      <c r="AC27" s="16" t="str">
        <f t="shared" si="6"/>
        <v xml:space="preserve"> </v>
      </c>
      <c r="AD27" s="16" t="str">
        <f t="shared" si="6"/>
        <v xml:space="preserve"> </v>
      </c>
      <c r="AE27" s="16" t="str">
        <f t="shared" si="6"/>
        <v xml:space="preserve"> </v>
      </c>
    </row>
    <row r="28" spans="1:35" ht="15" customHeight="1" thickBot="1" x14ac:dyDescent="0.35">
      <c r="A28"/>
      <c r="B28"/>
      <c r="C28"/>
      <c r="D28"/>
      <c r="E28"/>
      <c r="F28"/>
      <c r="G28" s="36" t="e">
        <f>VLOOKUP(F28,Results!$E$31:$F$50,2,FALSE)</f>
        <v>#N/A</v>
      </c>
      <c r="H28" s="38"/>
      <c r="I28" s="39"/>
      <c r="K28" s="3">
        <f t="shared" si="3"/>
        <v>0</v>
      </c>
      <c r="L28" s="16" t="str">
        <f t="shared" si="4"/>
        <v xml:space="preserve"> </v>
      </c>
      <c r="M28" s="16" t="str">
        <f t="shared" si="4"/>
        <v xml:space="preserve"> </v>
      </c>
      <c r="N28" s="16" t="str">
        <f t="shared" si="4"/>
        <v xml:space="preserve"> </v>
      </c>
      <c r="O28" s="16" t="str">
        <f t="shared" si="4"/>
        <v xml:space="preserve"> </v>
      </c>
      <c r="P28" s="16" t="str">
        <f t="shared" si="4"/>
        <v xml:space="preserve"> </v>
      </c>
      <c r="Q28" s="16" t="str">
        <f t="shared" si="4"/>
        <v xml:space="preserve"> </v>
      </c>
      <c r="R28" s="16" t="str">
        <f t="shared" si="4"/>
        <v xml:space="preserve"> </v>
      </c>
      <c r="S28" s="16" t="str">
        <f t="shared" si="4"/>
        <v xml:space="preserve"> </v>
      </c>
      <c r="T28" s="16" t="str">
        <f t="shared" si="4"/>
        <v xml:space="preserve"> </v>
      </c>
      <c r="U28" s="16" t="str">
        <f t="shared" si="4"/>
        <v xml:space="preserve"> </v>
      </c>
      <c r="V28" s="16" t="str">
        <f t="shared" si="4"/>
        <v xml:space="preserve"> </v>
      </c>
      <c r="W28" s="16" t="str">
        <f t="shared" si="4"/>
        <v xml:space="preserve"> </v>
      </c>
      <c r="X28" s="16" t="str">
        <f t="shared" si="4"/>
        <v xml:space="preserve"> </v>
      </c>
      <c r="Y28" s="16" t="str">
        <f t="shared" si="4"/>
        <v xml:space="preserve"> </v>
      </c>
      <c r="Z28" s="16" t="str">
        <f t="shared" si="4"/>
        <v xml:space="preserve"> </v>
      </c>
      <c r="AA28" s="16" t="str">
        <f t="shared" si="4"/>
        <v xml:space="preserve"> </v>
      </c>
      <c r="AB28" s="16" t="str">
        <f t="shared" si="6"/>
        <v xml:space="preserve"> </v>
      </c>
      <c r="AC28" s="16" t="str">
        <f t="shared" si="6"/>
        <v xml:space="preserve"> </v>
      </c>
      <c r="AD28" s="16" t="str">
        <f t="shared" si="6"/>
        <v xml:space="preserve"> </v>
      </c>
      <c r="AE28" s="16" t="str">
        <f t="shared" si="6"/>
        <v xml:space="preserve"> </v>
      </c>
    </row>
    <row r="29" spans="1:35" ht="15" customHeight="1" thickBot="1" x14ac:dyDescent="0.35">
      <c r="A29"/>
      <c r="B29"/>
      <c r="C29"/>
      <c r="D29"/>
      <c r="E29"/>
      <c r="F29"/>
      <c r="G29" s="36" t="e">
        <f>VLOOKUP(F29,Results!$E$31:$F$50,2,FALSE)</f>
        <v>#N/A</v>
      </c>
      <c r="H29" s="38"/>
      <c r="I29" s="39"/>
      <c r="K29" s="3">
        <f t="shared" si="3"/>
        <v>0</v>
      </c>
      <c r="L29" s="16" t="str">
        <f t="shared" si="4"/>
        <v xml:space="preserve"> </v>
      </c>
      <c r="M29" s="16" t="str">
        <f t="shared" si="4"/>
        <v xml:space="preserve"> </v>
      </c>
      <c r="N29" s="16" t="str">
        <f t="shared" si="4"/>
        <v xml:space="preserve"> </v>
      </c>
      <c r="O29" s="16" t="str">
        <f t="shared" si="4"/>
        <v xml:space="preserve"> </v>
      </c>
      <c r="P29" s="16" t="str">
        <f t="shared" si="4"/>
        <v xml:space="preserve"> </v>
      </c>
      <c r="Q29" s="16" t="str">
        <f t="shared" si="4"/>
        <v xml:space="preserve"> </v>
      </c>
      <c r="R29" s="16" t="str">
        <f t="shared" si="4"/>
        <v xml:space="preserve"> </v>
      </c>
      <c r="S29" s="16" t="str">
        <f t="shared" si="4"/>
        <v xml:space="preserve"> </v>
      </c>
      <c r="T29" s="16" t="str">
        <f t="shared" si="4"/>
        <v xml:space="preserve"> </v>
      </c>
      <c r="U29" s="16" t="str">
        <f t="shared" si="4"/>
        <v xml:space="preserve"> </v>
      </c>
      <c r="V29" s="16" t="str">
        <f t="shared" si="4"/>
        <v xml:space="preserve"> </v>
      </c>
      <c r="W29" s="16" t="str">
        <f t="shared" si="4"/>
        <v xml:space="preserve"> </v>
      </c>
      <c r="X29" s="16" t="str">
        <f t="shared" si="4"/>
        <v xml:space="preserve"> </v>
      </c>
      <c r="Y29" s="16" t="str">
        <f t="shared" si="4"/>
        <v xml:space="preserve"> </v>
      </c>
      <c r="Z29" s="16" t="str">
        <f t="shared" si="4"/>
        <v xml:space="preserve"> </v>
      </c>
      <c r="AA29" s="16" t="str">
        <f t="shared" si="4"/>
        <v xml:space="preserve"> </v>
      </c>
      <c r="AB29" s="16" t="str">
        <f t="shared" si="6"/>
        <v xml:space="preserve"> </v>
      </c>
      <c r="AC29" s="16" t="str">
        <f t="shared" si="6"/>
        <v xml:space="preserve"> </v>
      </c>
      <c r="AD29" s="16" t="str">
        <f t="shared" si="6"/>
        <v xml:space="preserve"> </v>
      </c>
      <c r="AE29" s="16" t="str">
        <f t="shared" si="6"/>
        <v xml:space="preserve"> </v>
      </c>
    </row>
    <row r="30" spans="1:35" ht="15" customHeight="1" thickBot="1" x14ac:dyDescent="0.35">
      <c r="A30"/>
      <c r="B30"/>
      <c r="C30"/>
      <c r="D30"/>
      <c r="E30"/>
      <c r="F30"/>
      <c r="G30" s="36" t="e">
        <f>VLOOKUP(F30,Results!$E$31:$F$50,2,FALSE)</f>
        <v>#N/A</v>
      </c>
      <c r="H30" s="38"/>
      <c r="I30" s="39"/>
      <c r="K30" s="3">
        <f t="shared" si="3"/>
        <v>0</v>
      </c>
      <c r="L30" s="16" t="str">
        <f t="shared" si="4"/>
        <v xml:space="preserve"> </v>
      </c>
      <c r="M30" s="16" t="str">
        <f t="shared" si="4"/>
        <v xml:space="preserve"> </v>
      </c>
      <c r="N30" s="16" t="str">
        <f t="shared" si="4"/>
        <v xml:space="preserve"> </v>
      </c>
      <c r="O30" s="16" t="str">
        <f t="shared" si="4"/>
        <v xml:space="preserve"> </v>
      </c>
      <c r="P30" s="16" t="str">
        <f t="shared" si="4"/>
        <v xml:space="preserve"> </v>
      </c>
      <c r="Q30" s="16" t="str">
        <f t="shared" si="4"/>
        <v xml:space="preserve"> </v>
      </c>
      <c r="R30" s="16" t="str">
        <f t="shared" si="4"/>
        <v xml:space="preserve"> </v>
      </c>
      <c r="S30" s="16" t="str">
        <f t="shared" si="4"/>
        <v xml:space="preserve"> </v>
      </c>
      <c r="T30" s="16" t="str">
        <f t="shared" si="4"/>
        <v xml:space="preserve"> </v>
      </c>
      <c r="U30" s="16" t="str">
        <f t="shared" si="4"/>
        <v xml:space="preserve"> </v>
      </c>
      <c r="V30" s="16" t="str">
        <f t="shared" si="4"/>
        <v xml:space="preserve"> </v>
      </c>
      <c r="W30" s="16" t="str">
        <f t="shared" si="4"/>
        <v xml:space="preserve"> </v>
      </c>
      <c r="X30" s="16" t="str">
        <f t="shared" si="4"/>
        <v xml:space="preserve"> </v>
      </c>
      <c r="Y30" s="16" t="str">
        <f t="shared" si="4"/>
        <v xml:space="preserve"> </v>
      </c>
      <c r="Z30" s="16" t="str">
        <f t="shared" si="4"/>
        <v xml:space="preserve"> </v>
      </c>
      <c r="AA30" s="16" t="str">
        <f t="shared" si="4"/>
        <v xml:space="preserve"> </v>
      </c>
      <c r="AB30" s="16" t="str">
        <f t="shared" si="6"/>
        <v xml:space="preserve"> </v>
      </c>
      <c r="AC30" s="16" t="str">
        <f t="shared" si="6"/>
        <v xml:space="preserve"> </v>
      </c>
      <c r="AD30" s="16" t="str">
        <f t="shared" si="6"/>
        <v xml:space="preserve"> </v>
      </c>
      <c r="AE30" s="16" t="str">
        <f t="shared" si="6"/>
        <v xml:space="preserve"> </v>
      </c>
    </row>
    <row r="31" spans="1:35" ht="15" customHeight="1" thickBot="1" x14ac:dyDescent="0.35">
      <c r="A31"/>
      <c r="B31"/>
      <c r="C31"/>
      <c r="D31"/>
      <c r="E31"/>
      <c r="F31"/>
      <c r="G31" s="36" t="e">
        <f>VLOOKUP(F31,Results!$E$31:$F$50,2,FALSE)</f>
        <v>#N/A</v>
      </c>
      <c r="H31" s="38"/>
      <c r="I31" s="39"/>
      <c r="K31" s="3">
        <f t="shared" si="3"/>
        <v>0</v>
      </c>
      <c r="L31" s="16" t="str">
        <f t="shared" si="4"/>
        <v xml:space="preserve"> </v>
      </c>
      <c r="M31" s="16" t="str">
        <f t="shared" si="4"/>
        <v xml:space="preserve"> </v>
      </c>
      <c r="N31" s="16" t="str">
        <f t="shared" si="4"/>
        <v xml:space="preserve"> </v>
      </c>
      <c r="O31" s="16" t="str">
        <f t="shared" si="4"/>
        <v xml:space="preserve"> </v>
      </c>
      <c r="P31" s="16" t="str">
        <f t="shared" si="4"/>
        <v xml:space="preserve"> </v>
      </c>
      <c r="Q31" s="16" t="str">
        <f t="shared" si="4"/>
        <v xml:space="preserve"> </v>
      </c>
      <c r="R31" s="16" t="str">
        <f t="shared" si="4"/>
        <v xml:space="preserve"> </v>
      </c>
      <c r="S31" s="16" t="str">
        <f t="shared" si="4"/>
        <v xml:space="preserve"> </v>
      </c>
      <c r="T31" s="16" t="str">
        <f t="shared" si="4"/>
        <v xml:space="preserve"> </v>
      </c>
      <c r="U31" s="16" t="str">
        <f t="shared" si="4"/>
        <v xml:space="preserve"> </v>
      </c>
      <c r="V31" s="16" t="str">
        <f t="shared" si="4"/>
        <v xml:space="preserve"> </v>
      </c>
      <c r="W31" s="16" t="str">
        <f t="shared" si="4"/>
        <v xml:space="preserve"> </v>
      </c>
      <c r="X31" s="16" t="str">
        <f t="shared" si="4"/>
        <v xml:space="preserve"> </v>
      </c>
      <c r="Y31" s="16" t="str">
        <f t="shared" si="4"/>
        <v xml:space="preserve"> </v>
      </c>
      <c r="Z31" s="16" t="str">
        <f t="shared" si="4"/>
        <v xml:space="preserve"> </v>
      </c>
      <c r="AA31" s="16" t="str">
        <f t="shared" si="4"/>
        <v xml:space="preserve"> </v>
      </c>
      <c r="AB31" s="16" t="str">
        <f t="shared" si="6"/>
        <v xml:space="preserve"> </v>
      </c>
      <c r="AC31" s="16" t="str">
        <f t="shared" si="6"/>
        <v xml:space="preserve"> </v>
      </c>
      <c r="AD31" s="16" t="str">
        <f t="shared" si="6"/>
        <v xml:space="preserve"> </v>
      </c>
      <c r="AE31" s="16" t="str">
        <f t="shared" si="6"/>
        <v xml:space="preserve"> </v>
      </c>
    </row>
    <row r="32" spans="1:35" ht="15" customHeight="1" thickBot="1" x14ac:dyDescent="0.35">
      <c r="A32"/>
      <c r="B32"/>
      <c r="C32"/>
      <c r="D32"/>
      <c r="E32"/>
      <c r="F32"/>
      <c r="G32" s="36" t="e">
        <f>VLOOKUP(F32,Results!$E$31:$F$50,2,FALSE)</f>
        <v>#N/A</v>
      </c>
      <c r="H32" s="38"/>
      <c r="I32" s="39"/>
      <c r="K32" s="3">
        <f t="shared" si="3"/>
        <v>0</v>
      </c>
      <c r="L32" s="16" t="str">
        <f t="shared" si="4"/>
        <v xml:space="preserve"> </v>
      </c>
      <c r="M32" s="16" t="str">
        <f t="shared" si="4"/>
        <v xml:space="preserve"> </v>
      </c>
      <c r="N32" s="16" t="str">
        <f t="shared" si="4"/>
        <v xml:space="preserve"> </v>
      </c>
      <c r="O32" s="16" t="str">
        <f t="shared" si="4"/>
        <v xml:space="preserve"> </v>
      </c>
      <c r="P32" s="16" t="str">
        <f t="shared" si="4"/>
        <v xml:space="preserve"> </v>
      </c>
      <c r="Q32" s="16" t="str">
        <f t="shared" si="4"/>
        <v xml:space="preserve"> </v>
      </c>
      <c r="R32" s="16" t="str">
        <f t="shared" si="4"/>
        <v xml:space="preserve"> </v>
      </c>
      <c r="S32" s="16" t="str">
        <f t="shared" si="4"/>
        <v xml:space="preserve"> </v>
      </c>
      <c r="T32" s="16" t="str">
        <f t="shared" si="4"/>
        <v xml:space="preserve"> </v>
      </c>
      <c r="U32" s="16" t="str">
        <f t="shared" si="4"/>
        <v xml:space="preserve"> </v>
      </c>
      <c r="V32" s="16" t="str">
        <f t="shared" si="4"/>
        <v xml:space="preserve"> </v>
      </c>
      <c r="W32" s="16" t="str">
        <f t="shared" si="4"/>
        <v xml:space="preserve"> </v>
      </c>
      <c r="X32" s="16" t="str">
        <f t="shared" si="4"/>
        <v xml:space="preserve"> </v>
      </c>
      <c r="Y32" s="16" t="str">
        <f t="shared" si="4"/>
        <v xml:space="preserve"> </v>
      </c>
      <c r="Z32" s="16" t="str">
        <f t="shared" si="4"/>
        <v xml:space="preserve"> </v>
      </c>
      <c r="AA32" s="16" t="str">
        <f t="shared" si="4"/>
        <v xml:space="preserve"> </v>
      </c>
      <c r="AB32" s="16" t="str">
        <f t="shared" si="6"/>
        <v xml:space="preserve"> </v>
      </c>
      <c r="AC32" s="16" t="str">
        <f t="shared" si="6"/>
        <v xml:space="preserve"> </v>
      </c>
      <c r="AD32" s="16" t="str">
        <f t="shared" si="6"/>
        <v xml:space="preserve"> </v>
      </c>
      <c r="AE32" s="16" t="str">
        <f t="shared" si="6"/>
        <v xml:space="preserve"> </v>
      </c>
    </row>
    <row r="33" spans="1:31" ht="15" customHeight="1" thickBot="1" x14ac:dyDescent="0.35">
      <c r="A33"/>
      <c r="B33"/>
      <c r="C33"/>
      <c r="D33"/>
      <c r="E33"/>
      <c r="F33"/>
      <c r="G33" s="36" t="e">
        <f>VLOOKUP(F33,Results!$E$31:$F$50,2,FALSE)</f>
        <v>#N/A</v>
      </c>
      <c r="H33" s="38"/>
      <c r="I33" s="39"/>
      <c r="K33" s="3">
        <f t="shared" si="3"/>
        <v>0</v>
      </c>
      <c r="L33" s="16" t="str">
        <f t="shared" si="4"/>
        <v xml:space="preserve"> </v>
      </c>
      <c r="M33" s="16" t="str">
        <f t="shared" si="4"/>
        <v xml:space="preserve"> </v>
      </c>
      <c r="N33" s="16" t="str">
        <f t="shared" si="4"/>
        <v xml:space="preserve"> </v>
      </c>
      <c r="O33" s="16" t="str">
        <f t="shared" si="4"/>
        <v xml:space="preserve"> </v>
      </c>
      <c r="P33" s="16" t="str">
        <f t="shared" si="4"/>
        <v xml:space="preserve"> </v>
      </c>
      <c r="Q33" s="16" t="str">
        <f t="shared" si="4"/>
        <v xml:space="preserve"> </v>
      </c>
      <c r="R33" s="16" t="str">
        <f t="shared" si="4"/>
        <v xml:space="preserve"> </v>
      </c>
      <c r="S33" s="16" t="str">
        <f t="shared" si="4"/>
        <v xml:space="preserve"> </v>
      </c>
      <c r="T33" s="16" t="str">
        <f t="shared" si="4"/>
        <v xml:space="preserve"> </v>
      </c>
      <c r="U33" s="16" t="str">
        <f t="shared" si="4"/>
        <v xml:space="preserve"> </v>
      </c>
      <c r="V33" s="16" t="str">
        <f t="shared" si="4"/>
        <v xml:space="preserve"> </v>
      </c>
      <c r="W33" s="16" t="str">
        <f t="shared" si="4"/>
        <v xml:space="preserve"> </v>
      </c>
      <c r="X33" s="16" t="str">
        <f t="shared" si="4"/>
        <v xml:space="preserve"> </v>
      </c>
      <c r="Y33" s="16" t="str">
        <f t="shared" si="4"/>
        <v xml:space="preserve"> </v>
      </c>
      <c r="Z33" s="16" t="str">
        <f t="shared" si="4"/>
        <v xml:space="preserve"> </v>
      </c>
      <c r="AA33" s="16" t="str">
        <f t="shared" si="4"/>
        <v xml:space="preserve"> </v>
      </c>
      <c r="AB33" s="16" t="str">
        <f t="shared" si="6"/>
        <v xml:space="preserve"> </v>
      </c>
      <c r="AC33" s="16" t="str">
        <f t="shared" si="6"/>
        <v xml:space="preserve"> </v>
      </c>
      <c r="AD33" s="16" t="str">
        <f t="shared" si="6"/>
        <v xml:space="preserve"> </v>
      </c>
      <c r="AE33" s="16" t="str">
        <f t="shared" si="6"/>
        <v xml:space="preserve"> </v>
      </c>
    </row>
    <row r="34" spans="1:31" ht="15" customHeight="1" thickBot="1" x14ac:dyDescent="0.35">
      <c r="A34"/>
      <c r="B34"/>
      <c r="C34"/>
      <c r="D34"/>
      <c r="E34"/>
      <c r="F34"/>
      <c r="G34" s="36" t="e">
        <f>VLOOKUP(F34,Results!$E$31:$F$50,2,FALSE)</f>
        <v>#N/A</v>
      </c>
      <c r="H34" s="38"/>
      <c r="I34" s="39"/>
      <c r="K34" s="3">
        <f t="shared" si="3"/>
        <v>0</v>
      </c>
      <c r="L34" s="16" t="str">
        <f t="shared" si="4"/>
        <v xml:space="preserve"> </v>
      </c>
      <c r="M34" s="16" t="str">
        <f t="shared" si="4"/>
        <v xml:space="preserve"> </v>
      </c>
      <c r="N34" s="16" t="str">
        <f t="shared" ref="N34:AA34" si="7">IF($F34=COLUMN((N:N))-11,$E34," ")</f>
        <v xml:space="preserve"> </v>
      </c>
      <c r="O34" s="16" t="str">
        <f t="shared" si="7"/>
        <v xml:space="preserve"> </v>
      </c>
      <c r="P34" s="16" t="str">
        <f t="shared" si="7"/>
        <v xml:space="preserve"> </v>
      </c>
      <c r="Q34" s="16" t="str">
        <f t="shared" si="7"/>
        <v xml:space="preserve"> </v>
      </c>
      <c r="R34" s="16" t="str">
        <f t="shared" si="7"/>
        <v xml:space="preserve"> </v>
      </c>
      <c r="S34" s="16" t="str">
        <f t="shared" si="7"/>
        <v xml:space="preserve"> </v>
      </c>
      <c r="T34" s="16" t="str">
        <f t="shared" si="7"/>
        <v xml:space="preserve"> </v>
      </c>
      <c r="U34" s="16" t="str">
        <f t="shared" si="7"/>
        <v xml:space="preserve"> </v>
      </c>
      <c r="V34" s="16" t="str">
        <f t="shared" si="7"/>
        <v xml:space="preserve"> </v>
      </c>
      <c r="W34" s="16" t="str">
        <f t="shared" si="7"/>
        <v xml:space="preserve"> </v>
      </c>
      <c r="X34" s="16" t="str">
        <f t="shared" si="7"/>
        <v xml:space="preserve"> </v>
      </c>
      <c r="Y34" s="16" t="str">
        <f t="shared" si="7"/>
        <v xml:space="preserve"> </v>
      </c>
      <c r="Z34" s="16" t="str">
        <f t="shared" si="7"/>
        <v xml:space="preserve"> </v>
      </c>
      <c r="AA34" s="16" t="str">
        <f t="shared" si="7"/>
        <v xml:space="preserve"> </v>
      </c>
      <c r="AB34" s="16" t="str">
        <f t="shared" si="6"/>
        <v xml:space="preserve"> </v>
      </c>
      <c r="AC34" s="16" t="str">
        <f t="shared" si="6"/>
        <v xml:space="preserve"> </v>
      </c>
      <c r="AD34" s="16" t="str">
        <f t="shared" si="6"/>
        <v xml:space="preserve"> </v>
      </c>
      <c r="AE34" s="16" t="str">
        <f t="shared" si="6"/>
        <v xml:space="preserve"> </v>
      </c>
    </row>
    <row r="35" spans="1:31" ht="15" customHeight="1" thickBot="1" x14ac:dyDescent="0.35">
      <c r="A35"/>
      <c r="B35"/>
      <c r="C35"/>
      <c r="D35"/>
      <c r="E35"/>
      <c r="F35"/>
      <c r="G35" s="36" t="e">
        <f>VLOOKUP(F35,Results!$E$31:$F$50,2,FALSE)</f>
        <v>#N/A</v>
      </c>
      <c r="H35" s="38"/>
      <c r="I35" s="39"/>
      <c r="K35" s="3">
        <f t="shared" si="3"/>
        <v>0</v>
      </c>
      <c r="L35" s="16" t="str">
        <f t="shared" ref="L35:AA50" si="8">IF($F35=COLUMN((L:L))-11,$E35," ")</f>
        <v xml:space="preserve"> </v>
      </c>
      <c r="M35" s="16" t="str">
        <f t="shared" si="8"/>
        <v xml:space="preserve"> </v>
      </c>
      <c r="N35" s="16" t="str">
        <f t="shared" si="8"/>
        <v xml:space="preserve"> </v>
      </c>
      <c r="O35" s="16" t="str">
        <f t="shared" si="8"/>
        <v xml:space="preserve"> </v>
      </c>
      <c r="P35" s="16" t="str">
        <f t="shared" si="8"/>
        <v xml:space="preserve"> </v>
      </c>
      <c r="Q35" s="16" t="str">
        <f t="shared" si="8"/>
        <v xml:space="preserve"> </v>
      </c>
      <c r="R35" s="16" t="str">
        <f t="shared" si="8"/>
        <v xml:space="preserve"> </v>
      </c>
      <c r="S35" s="16" t="str">
        <f t="shared" si="8"/>
        <v xml:space="preserve"> </v>
      </c>
      <c r="T35" s="16" t="str">
        <f t="shared" si="8"/>
        <v xml:space="preserve"> </v>
      </c>
      <c r="U35" s="16" t="str">
        <f t="shared" si="8"/>
        <v xml:space="preserve"> </v>
      </c>
      <c r="V35" s="16" t="str">
        <f t="shared" si="8"/>
        <v xml:space="preserve"> </v>
      </c>
      <c r="W35" s="16" t="str">
        <f t="shared" si="8"/>
        <v xml:space="preserve"> </v>
      </c>
      <c r="X35" s="16" t="str">
        <f t="shared" si="8"/>
        <v xml:space="preserve"> </v>
      </c>
      <c r="Y35" s="16" t="str">
        <f t="shared" si="8"/>
        <v xml:space="preserve"> </v>
      </c>
      <c r="Z35" s="16" t="str">
        <f t="shared" si="8"/>
        <v xml:space="preserve"> </v>
      </c>
      <c r="AA35" s="16" t="str">
        <f t="shared" si="8"/>
        <v xml:space="preserve"> </v>
      </c>
      <c r="AB35" s="16" t="str">
        <f t="shared" si="6"/>
        <v xml:space="preserve"> </v>
      </c>
      <c r="AC35" s="16" t="str">
        <f t="shared" si="6"/>
        <v xml:space="preserve"> </v>
      </c>
      <c r="AD35" s="16" t="str">
        <f t="shared" si="6"/>
        <v xml:space="preserve"> </v>
      </c>
      <c r="AE35" s="16" t="str">
        <f t="shared" si="6"/>
        <v xml:space="preserve"> </v>
      </c>
    </row>
    <row r="36" spans="1:31" ht="15" customHeight="1" thickBot="1" x14ac:dyDescent="0.35">
      <c r="A36"/>
      <c r="B36"/>
      <c r="C36"/>
      <c r="D36"/>
      <c r="E36"/>
      <c r="F36"/>
      <c r="G36" s="36" t="e">
        <f>VLOOKUP(F36,Results!$E$31:$F$50,2,FALSE)</f>
        <v>#N/A</v>
      </c>
      <c r="H36" s="38"/>
      <c r="I36" s="39"/>
      <c r="K36" s="3">
        <f t="shared" si="3"/>
        <v>0</v>
      </c>
      <c r="L36" s="16" t="str">
        <f t="shared" si="8"/>
        <v xml:space="preserve"> </v>
      </c>
      <c r="M36" s="16" t="str">
        <f t="shared" si="8"/>
        <v xml:space="preserve"> </v>
      </c>
      <c r="N36" s="16" t="str">
        <f t="shared" si="8"/>
        <v xml:space="preserve"> </v>
      </c>
      <c r="O36" s="16" t="str">
        <f t="shared" si="8"/>
        <v xml:space="preserve"> </v>
      </c>
      <c r="P36" s="16" t="str">
        <f t="shared" si="8"/>
        <v xml:space="preserve"> </v>
      </c>
      <c r="Q36" s="16" t="str">
        <f t="shared" si="8"/>
        <v xml:space="preserve"> </v>
      </c>
      <c r="R36" s="16" t="str">
        <f t="shared" si="8"/>
        <v xml:space="preserve"> </v>
      </c>
      <c r="S36" s="16" t="str">
        <f t="shared" si="8"/>
        <v xml:space="preserve"> </v>
      </c>
      <c r="T36" s="16" t="str">
        <f t="shared" si="8"/>
        <v xml:space="preserve"> </v>
      </c>
      <c r="U36" s="16" t="str">
        <f t="shared" si="8"/>
        <v xml:space="preserve"> </v>
      </c>
      <c r="V36" s="16" t="str">
        <f t="shared" si="8"/>
        <v xml:space="preserve"> </v>
      </c>
      <c r="W36" s="16" t="str">
        <f t="shared" si="8"/>
        <v xml:space="preserve"> </v>
      </c>
      <c r="X36" s="16" t="str">
        <f t="shared" si="8"/>
        <v xml:space="preserve"> </v>
      </c>
      <c r="Y36" s="16" t="str">
        <f t="shared" si="8"/>
        <v xml:space="preserve"> </v>
      </c>
      <c r="Z36" s="16" t="str">
        <f t="shared" si="8"/>
        <v xml:space="preserve"> </v>
      </c>
      <c r="AA36" s="16" t="str">
        <f t="shared" si="8"/>
        <v xml:space="preserve"> </v>
      </c>
      <c r="AB36" s="16" t="str">
        <f t="shared" si="6"/>
        <v xml:space="preserve"> </v>
      </c>
      <c r="AC36" s="16" t="str">
        <f t="shared" si="6"/>
        <v xml:space="preserve"> </v>
      </c>
      <c r="AD36" s="16" t="str">
        <f t="shared" si="6"/>
        <v xml:space="preserve"> </v>
      </c>
      <c r="AE36" s="16" t="str">
        <f t="shared" si="6"/>
        <v xml:space="preserve"> </v>
      </c>
    </row>
    <row r="37" spans="1:31" ht="15" customHeight="1" thickBot="1" x14ac:dyDescent="0.35">
      <c r="A37"/>
      <c r="B37"/>
      <c r="C37"/>
      <c r="D37"/>
      <c r="E37"/>
      <c r="F37"/>
      <c r="G37" s="36" t="e">
        <f>VLOOKUP(F37,Results!$E$31:$F$50,2,FALSE)</f>
        <v>#N/A</v>
      </c>
      <c r="H37" s="38"/>
      <c r="I37" s="39"/>
      <c r="K37" s="3">
        <f t="shared" si="3"/>
        <v>0</v>
      </c>
      <c r="L37" s="16" t="str">
        <f t="shared" si="8"/>
        <v xml:space="preserve"> </v>
      </c>
      <c r="M37" s="16" t="str">
        <f t="shared" si="8"/>
        <v xml:space="preserve"> </v>
      </c>
      <c r="N37" s="16" t="str">
        <f t="shared" si="8"/>
        <v xml:space="preserve"> </v>
      </c>
      <c r="O37" s="16" t="str">
        <f t="shared" si="8"/>
        <v xml:space="preserve"> </v>
      </c>
      <c r="P37" s="16" t="str">
        <f t="shared" si="8"/>
        <v xml:space="preserve"> </v>
      </c>
      <c r="Q37" s="16" t="str">
        <f t="shared" si="8"/>
        <v xml:space="preserve"> </v>
      </c>
      <c r="R37" s="16" t="str">
        <f t="shared" si="8"/>
        <v xml:space="preserve"> </v>
      </c>
      <c r="S37" s="16" t="str">
        <f t="shared" si="8"/>
        <v xml:space="preserve"> </v>
      </c>
      <c r="T37" s="16" t="str">
        <f t="shared" si="8"/>
        <v xml:space="preserve"> </v>
      </c>
      <c r="U37" s="16" t="str">
        <f t="shared" si="8"/>
        <v xml:space="preserve"> </v>
      </c>
      <c r="V37" s="16" t="str">
        <f t="shared" si="8"/>
        <v xml:space="preserve"> </v>
      </c>
      <c r="W37" s="16" t="str">
        <f t="shared" si="8"/>
        <v xml:space="preserve"> </v>
      </c>
      <c r="X37" s="16" t="str">
        <f t="shared" si="8"/>
        <v xml:space="preserve"> </v>
      </c>
      <c r="Y37" s="16" t="str">
        <f t="shared" si="8"/>
        <v xml:space="preserve"> </v>
      </c>
      <c r="Z37" s="16" t="str">
        <f t="shared" si="8"/>
        <v xml:space="preserve"> </v>
      </c>
      <c r="AA37" s="16" t="str">
        <f t="shared" si="8"/>
        <v xml:space="preserve"> </v>
      </c>
      <c r="AB37" s="16" t="str">
        <f t="shared" si="6"/>
        <v xml:space="preserve"> </v>
      </c>
      <c r="AC37" s="16" t="str">
        <f t="shared" si="6"/>
        <v xml:space="preserve"> </v>
      </c>
      <c r="AD37" s="16" t="str">
        <f t="shared" si="6"/>
        <v xml:space="preserve"> </v>
      </c>
      <c r="AE37" s="16" t="str">
        <f t="shared" si="6"/>
        <v xml:space="preserve"> </v>
      </c>
    </row>
    <row r="38" spans="1:31" ht="15" customHeight="1" thickBot="1" x14ac:dyDescent="0.35">
      <c r="A38"/>
      <c r="B38"/>
      <c r="C38"/>
      <c r="D38"/>
      <c r="E38"/>
      <c r="F38"/>
      <c r="G38" s="36" t="e">
        <f>VLOOKUP(F38,Results!$E$31:$F$50,2,FALSE)</f>
        <v>#N/A</v>
      </c>
      <c r="H38" s="38"/>
      <c r="I38" s="39"/>
      <c r="K38" s="3">
        <f t="shared" si="3"/>
        <v>0</v>
      </c>
      <c r="L38" s="16" t="str">
        <f t="shared" si="8"/>
        <v xml:space="preserve"> </v>
      </c>
      <c r="M38" s="16" t="str">
        <f t="shared" si="8"/>
        <v xml:space="preserve"> </v>
      </c>
      <c r="N38" s="16" t="str">
        <f t="shared" si="8"/>
        <v xml:space="preserve"> </v>
      </c>
      <c r="O38" s="16" t="str">
        <f t="shared" si="8"/>
        <v xml:space="preserve"> </v>
      </c>
      <c r="P38" s="16" t="str">
        <f t="shared" si="8"/>
        <v xml:space="preserve"> </v>
      </c>
      <c r="Q38" s="16" t="str">
        <f t="shared" si="8"/>
        <v xml:space="preserve"> </v>
      </c>
      <c r="R38" s="16" t="str">
        <f t="shared" si="8"/>
        <v xml:space="preserve"> </v>
      </c>
      <c r="S38" s="16" t="str">
        <f t="shared" si="8"/>
        <v xml:space="preserve"> </v>
      </c>
      <c r="T38" s="16" t="str">
        <f t="shared" si="8"/>
        <v xml:space="preserve"> </v>
      </c>
      <c r="U38" s="16" t="str">
        <f t="shared" si="8"/>
        <v xml:space="preserve"> </v>
      </c>
      <c r="V38" s="16" t="str">
        <f t="shared" si="8"/>
        <v xml:space="preserve"> </v>
      </c>
      <c r="W38" s="16" t="str">
        <f t="shared" si="8"/>
        <v xml:space="preserve"> </v>
      </c>
      <c r="X38" s="16" t="str">
        <f t="shared" si="8"/>
        <v xml:space="preserve"> </v>
      </c>
      <c r="Y38" s="16" t="str">
        <f t="shared" si="8"/>
        <v xml:space="preserve"> </v>
      </c>
      <c r="Z38" s="16" t="str">
        <f t="shared" si="8"/>
        <v xml:space="preserve"> </v>
      </c>
      <c r="AA38" s="16" t="str">
        <f t="shared" si="8"/>
        <v xml:space="preserve"> </v>
      </c>
      <c r="AB38" s="16" t="str">
        <f t="shared" si="6"/>
        <v xml:space="preserve"> </v>
      </c>
      <c r="AC38" s="16" t="str">
        <f t="shared" si="6"/>
        <v xml:space="preserve"> </v>
      </c>
      <c r="AD38" s="16" t="str">
        <f t="shared" si="6"/>
        <v xml:space="preserve"> </v>
      </c>
      <c r="AE38" s="16" t="str">
        <f t="shared" si="6"/>
        <v xml:space="preserve"> </v>
      </c>
    </row>
    <row r="39" spans="1:31" ht="15" customHeight="1" thickBot="1" x14ac:dyDescent="0.35">
      <c r="A39"/>
      <c r="B39"/>
      <c r="C39"/>
      <c r="D39"/>
      <c r="E39"/>
      <c r="F39"/>
      <c r="G39" s="36" t="e">
        <f>VLOOKUP(F39,Results!$E$31:$F$50,2,FALSE)</f>
        <v>#N/A</v>
      </c>
      <c r="H39" s="38"/>
      <c r="I39" s="39"/>
      <c r="K39" s="3">
        <f t="shared" si="3"/>
        <v>0</v>
      </c>
      <c r="L39" s="16" t="str">
        <f t="shared" si="8"/>
        <v xml:space="preserve"> </v>
      </c>
      <c r="M39" s="16" t="str">
        <f t="shared" si="8"/>
        <v xml:space="preserve"> </v>
      </c>
      <c r="N39" s="16" t="str">
        <f t="shared" si="8"/>
        <v xml:space="preserve"> </v>
      </c>
      <c r="O39" s="16" t="str">
        <f t="shared" si="8"/>
        <v xml:space="preserve"> </v>
      </c>
      <c r="P39" s="16" t="str">
        <f t="shared" si="8"/>
        <v xml:space="preserve"> </v>
      </c>
      <c r="Q39" s="16" t="str">
        <f t="shared" si="8"/>
        <v xml:space="preserve"> </v>
      </c>
      <c r="R39" s="16" t="str">
        <f t="shared" si="8"/>
        <v xml:space="preserve"> </v>
      </c>
      <c r="S39" s="16" t="str">
        <f t="shared" si="8"/>
        <v xml:space="preserve"> </v>
      </c>
      <c r="T39" s="16" t="str">
        <f t="shared" si="8"/>
        <v xml:space="preserve"> </v>
      </c>
      <c r="U39" s="16" t="str">
        <f t="shared" si="8"/>
        <v xml:space="preserve"> </v>
      </c>
      <c r="V39" s="16" t="str">
        <f t="shared" si="8"/>
        <v xml:space="preserve"> </v>
      </c>
      <c r="W39" s="16" t="str">
        <f t="shared" si="8"/>
        <v xml:space="preserve"> </v>
      </c>
      <c r="X39" s="16" t="str">
        <f t="shared" si="8"/>
        <v xml:space="preserve"> </v>
      </c>
      <c r="Y39" s="16" t="str">
        <f t="shared" si="8"/>
        <v xml:space="preserve"> </v>
      </c>
      <c r="Z39" s="16" t="str">
        <f t="shared" si="8"/>
        <v xml:space="preserve"> </v>
      </c>
      <c r="AA39" s="16" t="str">
        <f t="shared" si="8"/>
        <v xml:space="preserve"> </v>
      </c>
      <c r="AB39" s="16" t="str">
        <f t="shared" si="6"/>
        <v xml:space="preserve"> </v>
      </c>
      <c r="AC39" s="16" t="str">
        <f t="shared" si="6"/>
        <v xml:space="preserve"> </v>
      </c>
      <c r="AD39" s="16" t="str">
        <f t="shared" si="6"/>
        <v xml:space="preserve"> </v>
      </c>
      <c r="AE39" s="16" t="str">
        <f t="shared" si="6"/>
        <v xml:space="preserve"> </v>
      </c>
    </row>
    <row r="40" spans="1:31" ht="15" customHeight="1" thickBot="1" x14ac:dyDescent="0.35">
      <c r="A40"/>
      <c r="B40"/>
      <c r="C40"/>
      <c r="D40"/>
      <c r="E40"/>
      <c r="F40"/>
      <c r="G40" s="36" t="e">
        <f>VLOOKUP(F40,Results!$E$31:$F$50,2,FALSE)</f>
        <v>#N/A</v>
      </c>
      <c r="H40" s="38"/>
      <c r="I40" s="39"/>
      <c r="K40" s="3">
        <f t="shared" si="3"/>
        <v>0</v>
      </c>
      <c r="L40" s="16" t="str">
        <f t="shared" si="8"/>
        <v xml:space="preserve"> </v>
      </c>
      <c r="M40" s="16" t="str">
        <f t="shared" si="8"/>
        <v xml:space="preserve"> </v>
      </c>
      <c r="N40" s="16" t="str">
        <f t="shared" si="8"/>
        <v xml:space="preserve"> </v>
      </c>
      <c r="O40" s="16" t="str">
        <f t="shared" si="8"/>
        <v xml:space="preserve"> </v>
      </c>
      <c r="P40" s="16" t="str">
        <f t="shared" si="8"/>
        <v xml:space="preserve"> </v>
      </c>
      <c r="Q40" s="16" t="str">
        <f t="shared" si="8"/>
        <v xml:space="preserve"> </v>
      </c>
      <c r="R40" s="16" t="str">
        <f t="shared" si="8"/>
        <v xml:space="preserve"> </v>
      </c>
      <c r="S40" s="16" t="str">
        <f t="shared" si="8"/>
        <v xml:space="preserve"> </v>
      </c>
      <c r="T40" s="16" t="str">
        <f t="shared" si="8"/>
        <v xml:space="preserve"> </v>
      </c>
      <c r="U40" s="16" t="str">
        <f t="shared" si="8"/>
        <v xml:space="preserve"> </v>
      </c>
      <c r="V40" s="16" t="str">
        <f t="shared" si="8"/>
        <v xml:space="preserve"> </v>
      </c>
      <c r="W40" s="16" t="str">
        <f t="shared" si="8"/>
        <v xml:space="preserve"> </v>
      </c>
      <c r="X40" s="16" t="str">
        <f t="shared" si="8"/>
        <v xml:space="preserve"> </v>
      </c>
      <c r="Y40" s="16" t="str">
        <f t="shared" si="8"/>
        <v xml:space="preserve"> </v>
      </c>
      <c r="Z40" s="16" t="str">
        <f t="shared" si="8"/>
        <v xml:space="preserve"> </v>
      </c>
      <c r="AA40" s="16" t="str">
        <f t="shared" si="8"/>
        <v xml:space="preserve"> </v>
      </c>
      <c r="AB40" s="16" t="str">
        <f t="shared" si="6"/>
        <v xml:space="preserve"> </v>
      </c>
      <c r="AC40" s="16" t="str">
        <f t="shared" si="6"/>
        <v xml:space="preserve"> </v>
      </c>
      <c r="AD40" s="16" t="str">
        <f t="shared" si="6"/>
        <v xml:space="preserve"> </v>
      </c>
      <c r="AE40" s="16" t="str">
        <f t="shared" si="6"/>
        <v xml:space="preserve"> </v>
      </c>
    </row>
    <row r="41" spans="1:31" ht="15" customHeight="1" thickBot="1" x14ac:dyDescent="0.35">
      <c r="A41"/>
      <c r="B41"/>
      <c r="C41"/>
      <c r="D41"/>
      <c r="E41"/>
      <c r="F41"/>
      <c r="G41" s="36" t="e">
        <f>VLOOKUP(F41,Results!$E$31:$F$50,2,FALSE)</f>
        <v>#N/A</v>
      </c>
      <c r="H41" s="38"/>
      <c r="I41" s="39"/>
      <c r="K41" s="3">
        <f t="shared" si="3"/>
        <v>0</v>
      </c>
      <c r="L41" s="16" t="str">
        <f t="shared" si="8"/>
        <v xml:space="preserve"> </v>
      </c>
      <c r="M41" s="16" t="str">
        <f t="shared" si="8"/>
        <v xml:space="preserve"> </v>
      </c>
      <c r="N41" s="16" t="str">
        <f t="shared" si="8"/>
        <v xml:space="preserve"> </v>
      </c>
      <c r="O41" s="16" t="str">
        <f t="shared" si="8"/>
        <v xml:space="preserve"> </v>
      </c>
      <c r="P41" s="16" t="str">
        <f t="shared" si="8"/>
        <v xml:space="preserve"> </v>
      </c>
      <c r="Q41" s="16" t="str">
        <f t="shared" si="8"/>
        <v xml:space="preserve"> </v>
      </c>
      <c r="R41" s="16" t="str">
        <f t="shared" si="8"/>
        <v xml:space="preserve"> </v>
      </c>
      <c r="S41" s="16" t="str">
        <f t="shared" si="8"/>
        <v xml:space="preserve"> </v>
      </c>
      <c r="T41" s="16" t="str">
        <f t="shared" si="8"/>
        <v xml:space="preserve"> </v>
      </c>
      <c r="U41" s="16" t="str">
        <f t="shared" si="8"/>
        <v xml:space="preserve"> </v>
      </c>
      <c r="V41" s="16" t="str">
        <f t="shared" si="8"/>
        <v xml:space="preserve"> </v>
      </c>
      <c r="W41" s="16" t="str">
        <f t="shared" si="8"/>
        <v xml:space="preserve"> </v>
      </c>
      <c r="X41" s="16" t="str">
        <f t="shared" si="8"/>
        <v xml:space="preserve"> </v>
      </c>
      <c r="Y41" s="16" t="str">
        <f t="shared" si="8"/>
        <v xml:space="preserve"> </v>
      </c>
      <c r="Z41" s="16" t="str">
        <f t="shared" si="8"/>
        <v xml:space="preserve"> </v>
      </c>
      <c r="AA41" s="16" t="str">
        <f t="shared" si="8"/>
        <v xml:space="preserve"> </v>
      </c>
      <c r="AB41" s="16" t="str">
        <f t="shared" si="6"/>
        <v xml:space="preserve"> </v>
      </c>
      <c r="AC41" s="16" t="str">
        <f t="shared" si="6"/>
        <v xml:space="preserve"> </v>
      </c>
      <c r="AD41" s="16" t="str">
        <f t="shared" si="6"/>
        <v xml:space="preserve"> </v>
      </c>
      <c r="AE41" s="16" t="str">
        <f t="shared" si="6"/>
        <v xml:space="preserve"> </v>
      </c>
    </row>
    <row r="42" spans="1:31" ht="15" customHeight="1" thickBot="1" x14ac:dyDescent="0.35">
      <c r="A42"/>
      <c r="B42"/>
      <c r="C42"/>
      <c r="D42"/>
      <c r="E42"/>
      <c r="F42"/>
      <c r="G42" s="36" t="e">
        <f>VLOOKUP(F42,Results!$E$31:$F$50,2,FALSE)</f>
        <v>#N/A</v>
      </c>
      <c r="H42" s="38"/>
      <c r="I42" s="39"/>
      <c r="K42" s="3">
        <f t="shared" si="3"/>
        <v>0</v>
      </c>
      <c r="L42" s="16" t="str">
        <f t="shared" si="8"/>
        <v xml:space="preserve"> </v>
      </c>
      <c r="M42" s="16" t="str">
        <f t="shared" si="8"/>
        <v xml:space="preserve"> </v>
      </c>
      <c r="N42" s="16" t="str">
        <f t="shared" si="8"/>
        <v xml:space="preserve"> </v>
      </c>
      <c r="O42" s="16" t="str">
        <f t="shared" si="8"/>
        <v xml:space="preserve"> </v>
      </c>
      <c r="P42" s="16" t="str">
        <f t="shared" si="8"/>
        <v xml:space="preserve"> </v>
      </c>
      <c r="Q42" s="16" t="str">
        <f t="shared" si="8"/>
        <v xml:space="preserve"> </v>
      </c>
      <c r="R42" s="16" t="str">
        <f t="shared" si="8"/>
        <v xml:space="preserve"> </v>
      </c>
      <c r="S42" s="16" t="str">
        <f t="shared" si="8"/>
        <v xml:space="preserve"> </v>
      </c>
      <c r="T42" s="16" t="str">
        <f t="shared" si="8"/>
        <v xml:space="preserve"> </v>
      </c>
      <c r="U42" s="16" t="str">
        <f t="shared" si="8"/>
        <v xml:space="preserve"> </v>
      </c>
      <c r="V42" s="16" t="str">
        <f t="shared" si="8"/>
        <v xml:space="preserve"> </v>
      </c>
      <c r="W42" s="16" t="str">
        <f t="shared" si="8"/>
        <v xml:space="preserve"> </v>
      </c>
      <c r="X42" s="16" t="str">
        <f t="shared" si="8"/>
        <v xml:space="preserve"> </v>
      </c>
      <c r="Y42" s="16" t="str">
        <f t="shared" si="8"/>
        <v xml:space="preserve"> </v>
      </c>
      <c r="Z42" s="16" t="str">
        <f t="shared" si="8"/>
        <v xml:space="preserve"> </v>
      </c>
      <c r="AA42" s="16" t="str">
        <f t="shared" si="8"/>
        <v xml:space="preserve"> </v>
      </c>
      <c r="AB42" s="16" t="str">
        <f t="shared" si="6"/>
        <v xml:space="preserve"> </v>
      </c>
      <c r="AC42" s="16" t="str">
        <f t="shared" si="6"/>
        <v xml:space="preserve"> </v>
      </c>
      <c r="AD42" s="16" t="str">
        <f t="shared" si="6"/>
        <v xml:space="preserve"> </v>
      </c>
      <c r="AE42" s="16" t="str">
        <f t="shared" si="6"/>
        <v xml:space="preserve"> </v>
      </c>
    </row>
    <row r="43" spans="1:31" ht="15" customHeight="1" thickBot="1" x14ac:dyDescent="0.35">
      <c r="A43"/>
      <c r="B43"/>
      <c r="C43"/>
      <c r="D43"/>
      <c r="E43"/>
      <c r="F43"/>
      <c r="G43" s="36" t="e">
        <f>VLOOKUP(F43,Results!$E$31:$F$50,2,FALSE)</f>
        <v>#N/A</v>
      </c>
      <c r="H43" s="38"/>
      <c r="I43" s="39"/>
      <c r="K43" s="3">
        <f t="shared" si="3"/>
        <v>0</v>
      </c>
      <c r="L43" s="16" t="str">
        <f t="shared" si="8"/>
        <v xml:space="preserve"> </v>
      </c>
      <c r="M43" s="16" t="str">
        <f t="shared" si="8"/>
        <v xml:space="preserve"> </v>
      </c>
      <c r="N43" s="16" t="str">
        <f t="shared" si="8"/>
        <v xml:space="preserve"> </v>
      </c>
      <c r="O43" s="16" t="str">
        <f t="shared" si="8"/>
        <v xml:space="preserve"> </v>
      </c>
      <c r="P43" s="16" t="str">
        <f t="shared" si="8"/>
        <v xml:space="preserve"> </v>
      </c>
      <c r="Q43" s="16" t="str">
        <f t="shared" si="8"/>
        <v xml:space="preserve"> </v>
      </c>
      <c r="R43" s="16" t="str">
        <f t="shared" si="8"/>
        <v xml:space="preserve"> </v>
      </c>
      <c r="S43" s="16" t="str">
        <f t="shared" si="8"/>
        <v xml:space="preserve"> </v>
      </c>
      <c r="T43" s="16" t="str">
        <f t="shared" si="8"/>
        <v xml:space="preserve"> </v>
      </c>
      <c r="U43" s="16" t="str">
        <f t="shared" si="8"/>
        <v xml:space="preserve"> </v>
      </c>
      <c r="V43" s="16" t="str">
        <f t="shared" si="8"/>
        <v xml:space="preserve"> </v>
      </c>
      <c r="W43" s="16" t="str">
        <f t="shared" si="8"/>
        <v xml:space="preserve"> </v>
      </c>
      <c r="X43" s="16" t="str">
        <f t="shared" si="8"/>
        <v xml:space="preserve"> </v>
      </c>
      <c r="Y43" s="16" t="str">
        <f t="shared" si="8"/>
        <v xml:space="preserve"> </v>
      </c>
      <c r="Z43" s="16" t="str">
        <f t="shared" si="8"/>
        <v xml:space="preserve"> </v>
      </c>
      <c r="AA43" s="16" t="str">
        <f t="shared" si="8"/>
        <v xml:space="preserve"> </v>
      </c>
      <c r="AB43" s="16" t="str">
        <f t="shared" si="6"/>
        <v xml:space="preserve"> </v>
      </c>
      <c r="AC43" s="16" t="str">
        <f t="shared" si="6"/>
        <v xml:space="preserve"> </v>
      </c>
      <c r="AD43" s="16" t="str">
        <f t="shared" si="6"/>
        <v xml:space="preserve"> </v>
      </c>
      <c r="AE43" s="16" t="str">
        <f t="shared" si="6"/>
        <v xml:space="preserve"> </v>
      </c>
    </row>
    <row r="44" spans="1:31" ht="15" customHeight="1" thickBot="1" x14ac:dyDescent="0.35">
      <c r="A44"/>
      <c r="B44"/>
      <c r="C44"/>
      <c r="D44"/>
      <c r="E44"/>
      <c r="F44"/>
      <c r="G44" s="36" t="e">
        <f>VLOOKUP(F44,Results!$E$31:$F$50,2,FALSE)</f>
        <v>#N/A</v>
      </c>
      <c r="H44" s="38"/>
      <c r="I44" s="39"/>
      <c r="K44" s="3">
        <f t="shared" si="3"/>
        <v>0</v>
      </c>
      <c r="L44" s="16" t="str">
        <f t="shared" si="8"/>
        <v xml:space="preserve"> </v>
      </c>
      <c r="M44" s="16" t="str">
        <f t="shared" si="8"/>
        <v xml:space="preserve"> </v>
      </c>
      <c r="N44" s="16" t="str">
        <f t="shared" si="8"/>
        <v xml:space="preserve"> </v>
      </c>
      <c r="O44" s="16" t="str">
        <f t="shared" si="8"/>
        <v xml:space="preserve"> </v>
      </c>
      <c r="P44" s="16" t="str">
        <f t="shared" si="8"/>
        <v xml:space="preserve"> </v>
      </c>
      <c r="Q44" s="16" t="str">
        <f t="shared" si="8"/>
        <v xml:space="preserve"> </v>
      </c>
      <c r="R44" s="16" t="str">
        <f t="shared" si="8"/>
        <v xml:space="preserve"> </v>
      </c>
      <c r="S44" s="16" t="str">
        <f t="shared" si="8"/>
        <v xml:space="preserve"> </v>
      </c>
      <c r="T44" s="16" t="str">
        <f t="shared" si="8"/>
        <v xml:space="preserve"> </v>
      </c>
      <c r="U44" s="16" t="str">
        <f t="shared" si="8"/>
        <v xml:space="preserve"> </v>
      </c>
      <c r="V44" s="16" t="str">
        <f t="shared" si="8"/>
        <v xml:space="preserve"> </v>
      </c>
      <c r="W44" s="16" t="str">
        <f t="shared" si="8"/>
        <v xml:space="preserve"> </v>
      </c>
      <c r="X44" s="16" t="str">
        <f t="shared" si="8"/>
        <v xml:space="preserve"> </v>
      </c>
      <c r="Y44" s="16" t="str">
        <f t="shared" si="8"/>
        <v xml:space="preserve"> </v>
      </c>
      <c r="Z44" s="16" t="str">
        <f t="shared" si="8"/>
        <v xml:space="preserve"> </v>
      </c>
      <c r="AA44" s="16" t="str">
        <f t="shared" si="8"/>
        <v xml:space="preserve"> </v>
      </c>
      <c r="AB44" s="16" t="str">
        <f t="shared" si="6"/>
        <v xml:space="preserve"> </v>
      </c>
      <c r="AC44" s="16" t="str">
        <f t="shared" si="6"/>
        <v xml:space="preserve"> </v>
      </c>
      <c r="AD44" s="16" t="str">
        <f t="shared" si="6"/>
        <v xml:space="preserve"> </v>
      </c>
      <c r="AE44" s="16" t="str">
        <f t="shared" si="6"/>
        <v xml:space="preserve"> </v>
      </c>
    </row>
    <row r="45" spans="1:31" ht="15" customHeight="1" thickBot="1" x14ac:dyDescent="0.35">
      <c r="A45"/>
      <c r="B45"/>
      <c r="C45"/>
      <c r="D45"/>
      <c r="E45"/>
      <c r="F45"/>
      <c r="G45" s="36" t="e">
        <f>VLOOKUP(F45,Results!$E$31:$F$50,2,FALSE)</f>
        <v>#N/A</v>
      </c>
      <c r="H45" s="38"/>
      <c r="I45" s="39"/>
      <c r="K45" s="3">
        <f t="shared" si="3"/>
        <v>0</v>
      </c>
      <c r="L45" s="16" t="str">
        <f t="shared" si="8"/>
        <v xml:space="preserve"> </v>
      </c>
      <c r="M45" s="16" t="str">
        <f t="shared" si="8"/>
        <v xml:space="preserve"> </v>
      </c>
      <c r="N45" s="16" t="str">
        <f t="shared" si="8"/>
        <v xml:space="preserve"> </v>
      </c>
      <c r="O45" s="16" t="str">
        <f t="shared" si="8"/>
        <v xml:space="preserve"> </v>
      </c>
      <c r="P45" s="16" t="str">
        <f t="shared" si="8"/>
        <v xml:space="preserve"> </v>
      </c>
      <c r="Q45" s="16" t="str">
        <f t="shared" si="8"/>
        <v xml:space="preserve"> </v>
      </c>
      <c r="R45" s="16" t="str">
        <f t="shared" si="8"/>
        <v xml:space="preserve"> </v>
      </c>
      <c r="S45" s="16" t="str">
        <f t="shared" si="8"/>
        <v xml:space="preserve"> </v>
      </c>
      <c r="T45" s="16" t="str">
        <f t="shared" si="8"/>
        <v xml:space="preserve"> </v>
      </c>
      <c r="U45" s="16" t="str">
        <f t="shared" si="8"/>
        <v xml:space="preserve"> </v>
      </c>
      <c r="V45" s="16" t="str">
        <f t="shared" si="8"/>
        <v xml:space="preserve"> </v>
      </c>
      <c r="W45" s="16" t="str">
        <f t="shared" si="8"/>
        <v xml:space="preserve"> </v>
      </c>
      <c r="X45" s="16" t="str">
        <f t="shared" si="8"/>
        <v xml:space="preserve"> </v>
      </c>
      <c r="Y45" s="16" t="str">
        <f t="shared" si="8"/>
        <v xml:space="preserve"> </v>
      </c>
      <c r="Z45" s="16" t="str">
        <f t="shared" si="8"/>
        <v xml:space="preserve"> </v>
      </c>
      <c r="AA45" s="16" t="str">
        <f t="shared" si="8"/>
        <v xml:space="preserve"> </v>
      </c>
      <c r="AB45" s="16" t="str">
        <f t="shared" si="6"/>
        <v xml:space="preserve"> </v>
      </c>
      <c r="AC45" s="16" t="str">
        <f t="shared" si="6"/>
        <v xml:space="preserve"> </v>
      </c>
      <c r="AD45" s="16" t="str">
        <f t="shared" si="6"/>
        <v xml:space="preserve"> </v>
      </c>
      <c r="AE45" s="16" t="str">
        <f t="shared" si="6"/>
        <v xml:space="preserve"> </v>
      </c>
    </row>
    <row r="46" spans="1:31" ht="15" customHeight="1" thickBot="1" x14ac:dyDescent="0.35">
      <c r="A46"/>
      <c r="B46"/>
      <c r="C46"/>
      <c r="D46"/>
      <c r="E46"/>
      <c r="F46"/>
      <c r="G46" s="36" t="e">
        <f>VLOOKUP(F46,Results!$E$31:$F$50,2,FALSE)</f>
        <v>#N/A</v>
      </c>
      <c r="H46" s="38"/>
      <c r="I46" s="39"/>
      <c r="K46" s="3">
        <f t="shared" si="3"/>
        <v>0</v>
      </c>
      <c r="L46" s="16" t="str">
        <f t="shared" si="8"/>
        <v xml:space="preserve"> </v>
      </c>
      <c r="M46" s="16" t="str">
        <f t="shared" si="8"/>
        <v xml:space="preserve"> </v>
      </c>
      <c r="N46" s="16" t="str">
        <f t="shared" si="8"/>
        <v xml:space="preserve"> </v>
      </c>
      <c r="O46" s="16" t="str">
        <f t="shared" si="8"/>
        <v xml:space="preserve"> </v>
      </c>
      <c r="P46" s="16" t="str">
        <f t="shared" si="8"/>
        <v xml:space="preserve"> </v>
      </c>
      <c r="Q46" s="16" t="str">
        <f t="shared" si="8"/>
        <v xml:space="preserve"> </v>
      </c>
      <c r="R46" s="16" t="str">
        <f t="shared" si="8"/>
        <v xml:space="preserve"> </v>
      </c>
      <c r="S46" s="16" t="str">
        <f t="shared" si="8"/>
        <v xml:space="preserve"> </v>
      </c>
      <c r="T46" s="16" t="str">
        <f t="shared" si="8"/>
        <v xml:space="preserve"> </v>
      </c>
      <c r="U46" s="16" t="str">
        <f t="shared" si="8"/>
        <v xml:space="preserve"> </v>
      </c>
      <c r="V46" s="16" t="str">
        <f t="shared" si="8"/>
        <v xml:space="preserve"> </v>
      </c>
      <c r="W46" s="16" t="str">
        <f t="shared" si="8"/>
        <v xml:space="preserve"> </v>
      </c>
      <c r="X46" s="16" t="str">
        <f t="shared" si="8"/>
        <v xml:space="preserve"> </v>
      </c>
      <c r="Y46" s="16" t="str">
        <f t="shared" si="8"/>
        <v xml:space="preserve"> </v>
      </c>
      <c r="Z46" s="16" t="str">
        <f t="shared" si="8"/>
        <v xml:space="preserve"> </v>
      </c>
      <c r="AA46" s="16" t="str">
        <f t="shared" si="8"/>
        <v xml:space="preserve"> </v>
      </c>
      <c r="AB46" s="16" t="str">
        <f t="shared" si="6"/>
        <v xml:space="preserve"> </v>
      </c>
      <c r="AC46" s="16" t="str">
        <f t="shared" si="6"/>
        <v xml:space="preserve"> </v>
      </c>
      <c r="AD46" s="16" t="str">
        <f t="shared" si="6"/>
        <v xml:space="preserve"> </v>
      </c>
      <c r="AE46" s="16" t="str">
        <f t="shared" si="6"/>
        <v xml:space="preserve"> </v>
      </c>
    </row>
    <row r="47" spans="1:31" ht="15" customHeight="1" thickBot="1" x14ac:dyDescent="0.35">
      <c r="A47"/>
      <c r="B47"/>
      <c r="C47"/>
      <c r="D47"/>
      <c r="E47"/>
      <c r="F47"/>
      <c r="G47" s="36" t="e">
        <f>VLOOKUP(F47,Results!$E$31:$F$50,2,FALSE)</f>
        <v>#N/A</v>
      </c>
      <c r="H47" s="38"/>
      <c r="I47" s="39"/>
      <c r="K47" s="3">
        <f t="shared" si="3"/>
        <v>0</v>
      </c>
      <c r="L47" s="16" t="str">
        <f t="shared" si="8"/>
        <v xml:space="preserve"> </v>
      </c>
      <c r="M47" s="16" t="str">
        <f t="shared" si="8"/>
        <v xml:space="preserve"> </v>
      </c>
      <c r="N47" s="16" t="str">
        <f t="shared" si="8"/>
        <v xml:space="preserve"> </v>
      </c>
      <c r="O47" s="16" t="str">
        <f t="shared" si="8"/>
        <v xml:space="preserve"> </v>
      </c>
      <c r="P47" s="16" t="str">
        <f t="shared" si="8"/>
        <v xml:space="preserve"> </v>
      </c>
      <c r="Q47" s="16" t="str">
        <f t="shared" si="8"/>
        <v xml:space="preserve"> </v>
      </c>
      <c r="R47" s="16" t="str">
        <f t="shared" si="8"/>
        <v xml:space="preserve"> </v>
      </c>
      <c r="S47" s="16" t="str">
        <f t="shared" si="8"/>
        <v xml:space="preserve"> </v>
      </c>
      <c r="T47" s="16" t="str">
        <f t="shared" si="8"/>
        <v xml:space="preserve"> </v>
      </c>
      <c r="U47" s="16" t="str">
        <f t="shared" si="8"/>
        <v xml:space="preserve"> </v>
      </c>
      <c r="V47" s="16" t="str">
        <f t="shared" si="8"/>
        <v xml:space="preserve"> </v>
      </c>
      <c r="W47" s="16" t="str">
        <f t="shared" si="8"/>
        <v xml:space="preserve"> </v>
      </c>
      <c r="X47" s="16" t="str">
        <f t="shared" si="8"/>
        <v xml:space="preserve"> </v>
      </c>
      <c r="Y47" s="16" t="str">
        <f t="shared" si="8"/>
        <v xml:space="preserve"> </v>
      </c>
      <c r="Z47" s="16" t="str">
        <f t="shared" si="8"/>
        <v xml:space="preserve"> </v>
      </c>
      <c r="AA47" s="16" t="str">
        <f t="shared" si="8"/>
        <v xml:space="preserve"> </v>
      </c>
      <c r="AB47" s="16" t="str">
        <f t="shared" si="6"/>
        <v xml:space="preserve"> </v>
      </c>
      <c r="AC47" s="16" t="str">
        <f t="shared" si="6"/>
        <v xml:space="preserve"> </v>
      </c>
      <c r="AD47" s="16" t="str">
        <f t="shared" si="6"/>
        <v xml:space="preserve"> </v>
      </c>
      <c r="AE47" s="16" t="str">
        <f t="shared" si="6"/>
        <v xml:space="preserve"> </v>
      </c>
    </row>
    <row r="48" spans="1:31" ht="15" customHeight="1" thickBot="1" x14ac:dyDescent="0.35">
      <c r="A48"/>
      <c r="B48"/>
      <c r="C48"/>
      <c r="D48"/>
      <c r="E48"/>
      <c r="F48"/>
      <c r="G48" s="36" t="e">
        <f>VLOOKUP(F48,Results!$E$31:$F$50,2,FALSE)</f>
        <v>#N/A</v>
      </c>
      <c r="H48" s="38"/>
      <c r="I48" s="39"/>
      <c r="K48" s="3">
        <f t="shared" si="3"/>
        <v>0</v>
      </c>
      <c r="L48" s="16" t="str">
        <f t="shared" si="8"/>
        <v xml:space="preserve"> </v>
      </c>
      <c r="M48" s="16" t="str">
        <f t="shared" si="8"/>
        <v xml:space="preserve"> </v>
      </c>
      <c r="N48" s="16" t="str">
        <f t="shared" si="8"/>
        <v xml:space="preserve"> </v>
      </c>
      <c r="O48" s="16" t="str">
        <f t="shared" si="8"/>
        <v xml:space="preserve"> </v>
      </c>
      <c r="P48" s="16" t="str">
        <f t="shared" si="8"/>
        <v xml:space="preserve"> </v>
      </c>
      <c r="Q48" s="16" t="str">
        <f t="shared" si="8"/>
        <v xml:space="preserve"> </v>
      </c>
      <c r="R48" s="16" t="str">
        <f t="shared" si="8"/>
        <v xml:space="preserve"> </v>
      </c>
      <c r="S48" s="16" t="str">
        <f t="shared" si="8"/>
        <v xml:space="preserve"> </v>
      </c>
      <c r="T48" s="16" t="str">
        <f t="shared" si="8"/>
        <v xml:space="preserve"> </v>
      </c>
      <c r="U48" s="16" t="str">
        <f t="shared" si="8"/>
        <v xml:space="preserve"> </v>
      </c>
      <c r="V48" s="16" t="str">
        <f t="shared" si="8"/>
        <v xml:space="preserve"> </v>
      </c>
      <c r="W48" s="16" t="str">
        <f t="shared" si="8"/>
        <v xml:space="preserve"> </v>
      </c>
      <c r="X48" s="16" t="str">
        <f t="shared" si="8"/>
        <v xml:space="preserve"> </v>
      </c>
      <c r="Y48" s="16" t="str">
        <f t="shared" si="8"/>
        <v xml:space="preserve"> </v>
      </c>
      <c r="Z48" s="16" t="str">
        <f t="shared" si="8"/>
        <v xml:space="preserve"> </v>
      </c>
      <c r="AA48" s="16" t="str">
        <f t="shared" si="8"/>
        <v xml:space="preserve"> </v>
      </c>
      <c r="AB48" s="16" t="str">
        <f t="shared" si="6"/>
        <v xml:space="preserve"> </v>
      </c>
      <c r="AC48" s="16" t="str">
        <f t="shared" si="6"/>
        <v xml:space="preserve"> </v>
      </c>
      <c r="AD48" s="16" t="str">
        <f t="shared" si="6"/>
        <v xml:space="preserve"> </v>
      </c>
      <c r="AE48" s="16" t="str">
        <f t="shared" si="6"/>
        <v xml:space="preserve"> </v>
      </c>
    </row>
    <row r="49" spans="1:31" ht="15" customHeight="1" thickBot="1" x14ac:dyDescent="0.35">
      <c r="A49"/>
      <c r="B49"/>
      <c r="C49"/>
      <c r="D49"/>
      <c r="E49"/>
      <c r="F49"/>
      <c r="G49" s="36" t="e">
        <f>VLOOKUP(F49,Results!$E$31:$F$50,2,FALSE)</f>
        <v>#N/A</v>
      </c>
      <c r="H49" s="38"/>
      <c r="I49" s="39"/>
      <c r="K49" s="3">
        <f t="shared" si="3"/>
        <v>0</v>
      </c>
      <c r="L49" s="16" t="str">
        <f t="shared" si="8"/>
        <v xml:space="preserve"> </v>
      </c>
      <c r="M49" s="16" t="str">
        <f t="shared" si="8"/>
        <v xml:space="preserve"> </v>
      </c>
      <c r="N49" s="16" t="str">
        <f t="shared" si="8"/>
        <v xml:space="preserve"> </v>
      </c>
      <c r="O49" s="16" t="str">
        <f t="shared" si="8"/>
        <v xml:space="preserve"> </v>
      </c>
      <c r="P49" s="16" t="str">
        <f t="shared" si="8"/>
        <v xml:space="preserve"> </v>
      </c>
      <c r="Q49" s="16" t="str">
        <f t="shared" si="8"/>
        <v xml:space="preserve"> </v>
      </c>
      <c r="R49" s="16" t="str">
        <f t="shared" si="8"/>
        <v xml:space="preserve"> </v>
      </c>
      <c r="S49" s="16" t="str">
        <f t="shared" si="8"/>
        <v xml:space="preserve"> </v>
      </c>
      <c r="T49" s="16" t="str">
        <f t="shared" si="8"/>
        <v xml:space="preserve"> </v>
      </c>
      <c r="U49" s="16" t="str">
        <f t="shared" si="8"/>
        <v xml:space="preserve"> </v>
      </c>
      <c r="V49" s="16" t="str">
        <f t="shared" si="8"/>
        <v xml:space="preserve"> </v>
      </c>
      <c r="W49" s="16" t="str">
        <f t="shared" si="8"/>
        <v xml:space="preserve"> </v>
      </c>
      <c r="X49" s="16" t="str">
        <f t="shared" si="8"/>
        <v xml:space="preserve"> </v>
      </c>
      <c r="Y49" s="16" t="str">
        <f t="shared" si="8"/>
        <v xml:space="preserve"> </v>
      </c>
      <c r="Z49" s="16" t="str">
        <f t="shared" si="8"/>
        <v xml:space="preserve"> </v>
      </c>
      <c r="AA49" s="16" t="str">
        <f t="shared" si="8"/>
        <v xml:space="preserve"> </v>
      </c>
      <c r="AB49" s="16" t="str">
        <f t="shared" si="6"/>
        <v xml:space="preserve"> </v>
      </c>
      <c r="AC49" s="16" t="str">
        <f t="shared" si="6"/>
        <v xml:space="preserve"> </v>
      </c>
      <c r="AD49" s="16" t="str">
        <f t="shared" si="6"/>
        <v xml:space="preserve"> </v>
      </c>
      <c r="AE49" s="16" t="str">
        <f t="shared" si="6"/>
        <v xml:space="preserve"> </v>
      </c>
    </row>
    <row r="50" spans="1:31" ht="15" customHeight="1" thickBot="1" x14ac:dyDescent="0.35">
      <c r="A50"/>
      <c r="B50"/>
      <c r="C50"/>
      <c r="D50"/>
      <c r="E50"/>
      <c r="F50"/>
      <c r="G50" s="36" t="e">
        <f>VLOOKUP(F50,Results!$E$31:$F$50,2,FALSE)</f>
        <v>#N/A</v>
      </c>
      <c r="H50" s="38"/>
      <c r="I50" s="39"/>
      <c r="K50" s="3">
        <f t="shared" si="3"/>
        <v>0</v>
      </c>
      <c r="L50" s="16" t="str">
        <f t="shared" si="8"/>
        <v xml:space="preserve"> </v>
      </c>
      <c r="M50" s="16" t="str">
        <f t="shared" si="8"/>
        <v xml:space="preserve"> </v>
      </c>
      <c r="N50" s="16" t="str">
        <f t="shared" si="8"/>
        <v xml:space="preserve"> </v>
      </c>
      <c r="O50" s="16" t="str">
        <f t="shared" si="8"/>
        <v xml:space="preserve"> </v>
      </c>
      <c r="P50" s="16" t="str">
        <f t="shared" si="8"/>
        <v xml:space="preserve"> </v>
      </c>
      <c r="Q50" s="16" t="str">
        <f t="shared" si="8"/>
        <v xml:space="preserve"> </v>
      </c>
      <c r="R50" s="16" t="str">
        <f t="shared" si="8"/>
        <v xml:space="preserve"> </v>
      </c>
      <c r="S50" s="16" t="str">
        <f t="shared" si="8"/>
        <v xml:space="preserve"> </v>
      </c>
      <c r="T50" s="16" t="str">
        <f t="shared" si="8"/>
        <v xml:space="preserve"> </v>
      </c>
      <c r="U50" s="16" t="str">
        <f t="shared" si="8"/>
        <v xml:space="preserve"> </v>
      </c>
      <c r="V50" s="16" t="str">
        <f t="shared" si="8"/>
        <v xml:space="preserve"> </v>
      </c>
      <c r="W50" s="16" t="str">
        <f t="shared" si="8"/>
        <v xml:space="preserve"> </v>
      </c>
      <c r="X50" s="16" t="str">
        <f t="shared" si="8"/>
        <v xml:space="preserve"> </v>
      </c>
      <c r="Y50" s="16" t="str">
        <f t="shared" si="8"/>
        <v xml:space="preserve"> </v>
      </c>
      <c r="Z50" s="16" t="str">
        <f t="shared" si="8"/>
        <v xml:space="preserve"> </v>
      </c>
      <c r="AA50" s="16" t="str">
        <f t="shared" ref="AA50:AE65" si="9">IF($F50=COLUMN((AA:AA))-11,$E50," ")</f>
        <v xml:space="preserve"> </v>
      </c>
      <c r="AB50" s="16" t="str">
        <f t="shared" si="9"/>
        <v xml:space="preserve"> </v>
      </c>
      <c r="AC50" s="16" t="str">
        <f t="shared" si="9"/>
        <v xml:space="preserve"> </v>
      </c>
      <c r="AD50" s="16" t="str">
        <f t="shared" si="9"/>
        <v xml:space="preserve"> </v>
      </c>
      <c r="AE50" s="16" t="str">
        <f t="shared" si="9"/>
        <v xml:space="preserve"> </v>
      </c>
    </row>
    <row r="51" spans="1:31" ht="15" customHeight="1" thickBot="1" x14ac:dyDescent="0.35">
      <c r="A51"/>
      <c r="B51"/>
      <c r="C51"/>
      <c r="D51"/>
      <c r="E51"/>
      <c r="F51"/>
      <c r="G51" s="36" t="e">
        <f>VLOOKUP(F51,Results!$E$31:$F$50,2,FALSE)</f>
        <v>#N/A</v>
      </c>
      <c r="H51" s="38"/>
      <c r="I51" s="39"/>
      <c r="K51" s="3">
        <f t="shared" si="3"/>
        <v>0</v>
      </c>
      <c r="L51" s="16" t="str">
        <f t="shared" ref="L51:AA66" si="10">IF($F51=COLUMN((L:L))-11,$E51," ")</f>
        <v xml:space="preserve"> </v>
      </c>
      <c r="M51" s="16" t="str">
        <f t="shared" si="10"/>
        <v xml:space="preserve"> </v>
      </c>
      <c r="N51" s="16" t="str">
        <f t="shared" si="10"/>
        <v xml:space="preserve"> </v>
      </c>
      <c r="O51" s="16" t="str">
        <f t="shared" si="10"/>
        <v xml:space="preserve"> </v>
      </c>
      <c r="P51" s="16" t="str">
        <f t="shared" si="10"/>
        <v xml:space="preserve"> </v>
      </c>
      <c r="Q51" s="16" t="str">
        <f t="shared" si="10"/>
        <v xml:space="preserve"> </v>
      </c>
      <c r="R51" s="16" t="str">
        <f t="shared" si="10"/>
        <v xml:space="preserve"> </v>
      </c>
      <c r="S51" s="16" t="str">
        <f t="shared" si="10"/>
        <v xml:space="preserve"> </v>
      </c>
      <c r="T51" s="16" t="str">
        <f t="shared" si="10"/>
        <v xml:space="preserve"> </v>
      </c>
      <c r="U51" s="16" t="str">
        <f t="shared" si="10"/>
        <v xml:space="preserve"> </v>
      </c>
      <c r="V51" s="16" t="str">
        <f t="shared" si="10"/>
        <v xml:space="preserve"> </v>
      </c>
      <c r="W51" s="16" t="str">
        <f t="shared" si="10"/>
        <v xml:space="preserve"> </v>
      </c>
      <c r="X51" s="16" t="str">
        <f t="shared" si="10"/>
        <v xml:space="preserve"> </v>
      </c>
      <c r="Y51" s="16" t="str">
        <f t="shared" si="10"/>
        <v xml:space="preserve"> </v>
      </c>
      <c r="Z51" s="16" t="str">
        <f t="shared" si="10"/>
        <v xml:space="preserve"> </v>
      </c>
      <c r="AA51" s="16" t="str">
        <f t="shared" si="10"/>
        <v xml:space="preserve"> </v>
      </c>
      <c r="AB51" s="16" t="str">
        <f t="shared" si="9"/>
        <v xml:space="preserve"> </v>
      </c>
      <c r="AC51" s="16" t="str">
        <f t="shared" si="9"/>
        <v xml:space="preserve"> </v>
      </c>
      <c r="AD51" s="16" t="str">
        <f t="shared" si="9"/>
        <v xml:space="preserve"> </v>
      </c>
      <c r="AE51" s="16" t="str">
        <f t="shared" si="9"/>
        <v xml:space="preserve"> </v>
      </c>
    </row>
    <row r="52" spans="1:31" ht="15" customHeight="1" thickBot="1" x14ac:dyDescent="0.35">
      <c r="A52"/>
      <c r="B52"/>
      <c r="C52"/>
      <c r="D52"/>
      <c r="E52"/>
      <c r="F52"/>
      <c r="G52" s="36" t="e">
        <f>VLOOKUP(F52,Results!$E$31:$F$50,2,FALSE)</f>
        <v>#N/A</v>
      </c>
      <c r="H52" s="38"/>
      <c r="I52" s="39"/>
      <c r="K52" s="3">
        <f t="shared" si="3"/>
        <v>0</v>
      </c>
      <c r="L52" s="16" t="str">
        <f t="shared" si="10"/>
        <v xml:space="preserve"> </v>
      </c>
      <c r="M52" s="16" t="str">
        <f t="shared" si="10"/>
        <v xml:space="preserve"> </v>
      </c>
      <c r="N52" s="16" t="str">
        <f t="shared" si="10"/>
        <v xml:space="preserve"> </v>
      </c>
      <c r="O52" s="16" t="str">
        <f t="shared" si="10"/>
        <v xml:space="preserve"> </v>
      </c>
      <c r="P52" s="16" t="str">
        <f t="shared" si="10"/>
        <v xml:space="preserve"> </v>
      </c>
      <c r="Q52" s="16" t="str">
        <f t="shared" si="10"/>
        <v xml:space="preserve"> </v>
      </c>
      <c r="R52" s="16" t="str">
        <f t="shared" si="10"/>
        <v xml:space="preserve"> </v>
      </c>
      <c r="S52" s="16" t="str">
        <f t="shared" si="10"/>
        <v xml:space="preserve"> </v>
      </c>
      <c r="T52" s="16" t="str">
        <f t="shared" si="10"/>
        <v xml:space="preserve"> </v>
      </c>
      <c r="U52" s="16" t="str">
        <f t="shared" si="10"/>
        <v xml:space="preserve"> </v>
      </c>
      <c r="V52" s="16" t="str">
        <f t="shared" si="10"/>
        <v xml:space="preserve"> </v>
      </c>
      <c r="W52" s="16" t="str">
        <f t="shared" si="10"/>
        <v xml:space="preserve"> </v>
      </c>
      <c r="X52" s="16" t="str">
        <f t="shared" si="10"/>
        <v xml:space="preserve"> </v>
      </c>
      <c r="Y52" s="16" t="str">
        <f t="shared" si="10"/>
        <v xml:space="preserve"> </v>
      </c>
      <c r="Z52" s="16" t="str">
        <f t="shared" si="10"/>
        <v xml:space="preserve"> </v>
      </c>
      <c r="AA52" s="16" t="str">
        <f t="shared" si="10"/>
        <v xml:space="preserve"> </v>
      </c>
      <c r="AB52" s="16" t="str">
        <f t="shared" si="9"/>
        <v xml:space="preserve"> </v>
      </c>
      <c r="AC52" s="16" t="str">
        <f t="shared" si="9"/>
        <v xml:space="preserve"> </v>
      </c>
      <c r="AD52" s="16" t="str">
        <f t="shared" si="9"/>
        <v xml:space="preserve"> </v>
      </c>
      <c r="AE52" s="16" t="str">
        <f t="shared" si="9"/>
        <v xml:space="preserve"> </v>
      </c>
    </row>
    <row r="53" spans="1:31" ht="15" customHeight="1" thickBot="1" x14ac:dyDescent="0.35">
      <c r="A53"/>
      <c r="B53"/>
      <c r="C53"/>
      <c r="D53"/>
      <c r="E53"/>
      <c r="F53"/>
      <c r="G53" s="36" t="e">
        <f>VLOOKUP(F53,Results!$E$31:$F$50,2,FALSE)</f>
        <v>#N/A</v>
      </c>
      <c r="H53" s="38"/>
      <c r="I53" s="39"/>
      <c r="K53" s="3">
        <f t="shared" si="3"/>
        <v>0</v>
      </c>
      <c r="L53" s="16" t="str">
        <f t="shared" si="10"/>
        <v xml:space="preserve"> </v>
      </c>
      <c r="M53" s="16" t="str">
        <f t="shared" si="10"/>
        <v xml:space="preserve"> </v>
      </c>
      <c r="N53" s="16" t="str">
        <f t="shared" si="10"/>
        <v xml:space="preserve"> </v>
      </c>
      <c r="O53" s="16" t="str">
        <f t="shared" si="10"/>
        <v xml:space="preserve"> </v>
      </c>
      <c r="P53" s="16" t="str">
        <f t="shared" si="10"/>
        <v xml:space="preserve"> </v>
      </c>
      <c r="Q53" s="16" t="str">
        <f t="shared" si="10"/>
        <v xml:space="preserve"> </v>
      </c>
      <c r="R53" s="16" t="str">
        <f t="shared" si="10"/>
        <v xml:space="preserve"> </v>
      </c>
      <c r="S53" s="16" t="str">
        <f t="shared" si="10"/>
        <v xml:space="preserve"> </v>
      </c>
      <c r="T53" s="16" t="str">
        <f t="shared" si="10"/>
        <v xml:space="preserve"> </v>
      </c>
      <c r="U53" s="16" t="str">
        <f t="shared" si="10"/>
        <v xml:space="preserve"> </v>
      </c>
      <c r="V53" s="16" t="str">
        <f t="shared" si="10"/>
        <v xml:space="preserve"> </v>
      </c>
      <c r="W53" s="16" t="str">
        <f t="shared" si="10"/>
        <v xml:space="preserve"> </v>
      </c>
      <c r="X53" s="16" t="str">
        <f t="shared" si="10"/>
        <v xml:space="preserve"> </v>
      </c>
      <c r="Y53" s="16" t="str">
        <f t="shared" si="10"/>
        <v xml:space="preserve"> </v>
      </c>
      <c r="Z53" s="16" t="str">
        <f t="shared" si="10"/>
        <v xml:space="preserve"> </v>
      </c>
      <c r="AA53" s="16" t="str">
        <f t="shared" si="10"/>
        <v xml:space="preserve"> </v>
      </c>
      <c r="AB53" s="16" t="str">
        <f t="shared" si="9"/>
        <v xml:space="preserve"> </v>
      </c>
      <c r="AC53" s="16" t="str">
        <f t="shared" si="9"/>
        <v xml:space="preserve"> </v>
      </c>
      <c r="AD53" s="16" t="str">
        <f t="shared" si="9"/>
        <v xml:space="preserve"> </v>
      </c>
      <c r="AE53" s="16" t="str">
        <f t="shared" si="9"/>
        <v xml:space="preserve"> </v>
      </c>
    </row>
    <row r="54" spans="1:31" ht="15" customHeight="1" thickBot="1" x14ac:dyDescent="0.35">
      <c r="A54"/>
      <c r="B54"/>
      <c r="C54"/>
      <c r="D54"/>
      <c r="E54"/>
      <c r="F54"/>
      <c r="G54" s="36" t="e">
        <f>VLOOKUP(F54,Results!$E$31:$F$50,2,FALSE)</f>
        <v>#N/A</v>
      </c>
      <c r="H54" s="38"/>
      <c r="I54" s="39"/>
      <c r="K54" s="3">
        <f t="shared" si="3"/>
        <v>0</v>
      </c>
      <c r="L54" s="16" t="str">
        <f t="shared" si="10"/>
        <v xml:space="preserve"> </v>
      </c>
      <c r="M54" s="16" t="str">
        <f t="shared" si="10"/>
        <v xml:space="preserve"> </v>
      </c>
      <c r="N54" s="16" t="str">
        <f t="shared" si="10"/>
        <v xml:space="preserve"> </v>
      </c>
      <c r="O54" s="16" t="str">
        <f t="shared" si="10"/>
        <v xml:space="preserve"> </v>
      </c>
      <c r="P54" s="16" t="str">
        <f t="shared" si="10"/>
        <v xml:space="preserve"> </v>
      </c>
      <c r="Q54" s="16" t="str">
        <f t="shared" si="10"/>
        <v xml:space="preserve"> </v>
      </c>
      <c r="R54" s="16" t="str">
        <f t="shared" si="10"/>
        <v xml:space="preserve"> </v>
      </c>
      <c r="S54" s="16" t="str">
        <f t="shared" si="10"/>
        <v xml:space="preserve"> </v>
      </c>
      <c r="T54" s="16" t="str">
        <f t="shared" si="10"/>
        <v xml:space="preserve"> </v>
      </c>
      <c r="U54" s="16" t="str">
        <f t="shared" si="10"/>
        <v xml:space="preserve"> </v>
      </c>
      <c r="V54" s="16" t="str">
        <f t="shared" si="10"/>
        <v xml:space="preserve"> </v>
      </c>
      <c r="W54" s="16" t="str">
        <f t="shared" si="10"/>
        <v xml:space="preserve"> </v>
      </c>
      <c r="X54" s="16" t="str">
        <f t="shared" si="10"/>
        <v xml:space="preserve"> </v>
      </c>
      <c r="Y54" s="16" t="str">
        <f t="shared" si="10"/>
        <v xml:space="preserve"> </v>
      </c>
      <c r="Z54" s="16" t="str">
        <f t="shared" si="10"/>
        <v xml:space="preserve"> </v>
      </c>
      <c r="AA54" s="16" t="str">
        <f t="shared" si="10"/>
        <v xml:space="preserve"> </v>
      </c>
      <c r="AB54" s="16" t="str">
        <f t="shared" si="9"/>
        <v xml:space="preserve"> </v>
      </c>
      <c r="AC54" s="16" t="str">
        <f t="shared" si="9"/>
        <v xml:space="preserve"> </v>
      </c>
      <c r="AD54" s="16" t="str">
        <f t="shared" si="9"/>
        <v xml:space="preserve"> </v>
      </c>
      <c r="AE54" s="16" t="str">
        <f t="shared" si="9"/>
        <v xml:space="preserve"> </v>
      </c>
    </row>
    <row r="55" spans="1:31" ht="15" customHeight="1" thickBot="1" x14ac:dyDescent="0.35">
      <c r="A55"/>
      <c r="B55"/>
      <c r="C55"/>
      <c r="D55"/>
      <c r="E55"/>
      <c r="F55"/>
      <c r="G55" s="36" t="e">
        <f>VLOOKUP(F55,Results!$E$31:$F$50,2,FALSE)</f>
        <v>#N/A</v>
      </c>
      <c r="H55" s="38"/>
      <c r="I55" s="39"/>
      <c r="K55" s="3">
        <f t="shared" si="3"/>
        <v>0</v>
      </c>
      <c r="L55" s="16" t="str">
        <f t="shared" si="10"/>
        <v xml:space="preserve"> </v>
      </c>
      <c r="M55" s="16" t="str">
        <f t="shared" si="10"/>
        <v xml:space="preserve"> </v>
      </c>
      <c r="N55" s="16" t="str">
        <f t="shared" si="10"/>
        <v xml:space="preserve"> </v>
      </c>
      <c r="O55" s="16" t="str">
        <f t="shared" si="10"/>
        <v xml:space="preserve"> </v>
      </c>
      <c r="P55" s="16" t="str">
        <f t="shared" si="10"/>
        <v xml:space="preserve"> </v>
      </c>
      <c r="Q55" s="16" t="str">
        <f t="shared" si="10"/>
        <v xml:space="preserve"> </v>
      </c>
      <c r="R55" s="16" t="str">
        <f t="shared" si="10"/>
        <v xml:space="preserve"> </v>
      </c>
      <c r="S55" s="16" t="str">
        <f t="shared" si="10"/>
        <v xml:space="preserve"> </v>
      </c>
      <c r="T55" s="16" t="str">
        <f t="shared" si="10"/>
        <v xml:space="preserve"> </v>
      </c>
      <c r="U55" s="16" t="str">
        <f t="shared" si="10"/>
        <v xml:space="preserve"> </v>
      </c>
      <c r="V55" s="16" t="str">
        <f t="shared" si="10"/>
        <v xml:space="preserve"> </v>
      </c>
      <c r="W55" s="16" t="str">
        <f t="shared" si="10"/>
        <v xml:space="preserve"> </v>
      </c>
      <c r="X55" s="16" t="str">
        <f t="shared" si="10"/>
        <v xml:space="preserve"> </v>
      </c>
      <c r="Y55" s="16" t="str">
        <f t="shared" si="10"/>
        <v xml:space="preserve"> </v>
      </c>
      <c r="Z55" s="16" t="str">
        <f t="shared" si="10"/>
        <v xml:space="preserve"> </v>
      </c>
      <c r="AA55" s="16" t="str">
        <f t="shared" si="10"/>
        <v xml:space="preserve"> </v>
      </c>
      <c r="AB55" s="16" t="str">
        <f t="shared" si="9"/>
        <v xml:space="preserve"> </v>
      </c>
      <c r="AC55" s="16" t="str">
        <f t="shared" si="9"/>
        <v xml:space="preserve"> </v>
      </c>
      <c r="AD55" s="16" t="str">
        <f t="shared" si="9"/>
        <v xml:space="preserve"> </v>
      </c>
      <c r="AE55" s="16" t="str">
        <f t="shared" si="9"/>
        <v xml:space="preserve"> </v>
      </c>
    </row>
    <row r="56" spans="1:31" ht="15" customHeight="1" thickBot="1" x14ac:dyDescent="0.35">
      <c r="A56"/>
      <c r="B56"/>
      <c r="C56"/>
      <c r="D56"/>
      <c r="E56"/>
      <c r="F56"/>
      <c r="G56" s="36" t="e">
        <f>VLOOKUP(F56,Results!$E$31:$F$50,2,FALSE)</f>
        <v>#N/A</v>
      </c>
      <c r="H56" s="38"/>
      <c r="I56" s="39"/>
      <c r="K56" s="3">
        <f t="shared" si="3"/>
        <v>0</v>
      </c>
      <c r="L56" s="16" t="str">
        <f t="shared" si="10"/>
        <v xml:space="preserve"> </v>
      </c>
      <c r="M56" s="16" t="str">
        <f t="shared" si="10"/>
        <v xml:space="preserve"> </v>
      </c>
      <c r="N56" s="16" t="str">
        <f t="shared" si="10"/>
        <v xml:space="preserve"> </v>
      </c>
      <c r="O56" s="16" t="str">
        <f t="shared" si="10"/>
        <v xml:space="preserve"> </v>
      </c>
      <c r="P56" s="16" t="str">
        <f t="shared" si="10"/>
        <v xml:space="preserve"> </v>
      </c>
      <c r="Q56" s="16" t="str">
        <f t="shared" si="10"/>
        <v xml:space="preserve"> </v>
      </c>
      <c r="R56" s="16" t="str">
        <f t="shared" si="10"/>
        <v xml:space="preserve"> </v>
      </c>
      <c r="S56" s="16" t="str">
        <f t="shared" si="10"/>
        <v xml:space="preserve"> </v>
      </c>
      <c r="T56" s="16" t="str">
        <f t="shared" si="10"/>
        <v xml:space="preserve"> </v>
      </c>
      <c r="U56" s="16" t="str">
        <f t="shared" si="10"/>
        <v xml:space="preserve"> </v>
      </c>
      <c r="V56" s="16" t="str">
        <f t="shared" si="10"/>
        <v xml:space="preserve"> </v>
      </c>
      <c r="W56" s="16" t="str">
        <f t="shared" si="10"/>
        <v xml:space="preserve"> </v>
      </c>
      <c r="X56" s="16" t="str">
        <f t="shared" si="10"/>
        <v xml:space="preserve"> </v>
      </c>
      <c r="Y56" s="16" t="str">
        <f t="shared" si="10"/>
        <v xml:space="preserve"> </v>
      </c>
      <c r="Z56" s="16" t="str">
        <f t="shared" si="10"/>
        <v xml:space="preserve"> </v>
      </c>
      <c r="AA56" s="16" t="str">
        <f t="shared" si="10"/>
        <v xml:space="preserve"> </v>
      </c>
      <c r="AB56" s="16" t="str">
        <f t="shared" si="9"/>
        <v xml:space="preserve"> </v>
      </c>
      <c r="AC56" s="16" t="str">
        <f t="shared" si="9"/>
        <v xml:space="preserve"> </v>
      </c>
      <c r="AD56" s="16" t="str">
        <f t="shared" si="9"/>
        <v xml:space="preserve"> </v>
      </c>
      <c r="AE56" s="16" t="str">
        <f t="shared" si="9"/>
        <v xml:space="preserve"> </v>
      </c>
    </row>
    <row r="57" spans="1:31" ht="15" customHeight="1" thickBot="1" x14ac:dyDescent="0.35">
      <c r="A57"/>
      <c r="B57"/>
      <c r="C57"/>
      <c r="D57"/>
      <c r="E57"/>
      <c r="F57"/>
      <c r="G57" s="36" t="e">
        <f>VLOOKUP(F57,Results!$E$31:$F$50,2,FALSE)</f>
        <v>#N/A</v>
      </c>
      <c r="H57" s="38"/>
      <c r="I57" s="39"/>
      <c r="K57" s="3">
        <f t="shared" si="3"/>
        <v>0</v>
      </c>
      <c r="L57" s="16" t="str">
        <f t="shared" si="10"/>
        <v xml:space="preserve"> </v>
      </c>
      <c r="M57" s="16" t="str">
        <f t="shared" si="10"/>
        <v xml:space="preserve"> </v>
      </c>
      <c r="N57" s="16" t="str">
        <f t="shared" si="10"/>
        <v xml:space="preserve"> </v>
      </c>
      <c r="O57" s="16" t="str">
        <f t="shared" si="10"/>
        <v xml:space="preserve"> </v>
      </c>
      <c r="P57" s="16" t="str">
        <f t="shared" si="10"/>
        <v xml:space="preserve"> </v>
      </c>
      <c r="Q57" s="16" t="str">
        <f t="shared" si="10"/>
        <v xml:space="preserve"> </v>
      </c>
      <c r="R57" s="16" t="str">
        <f t="shared" si="10"/>
        <v xml:space="preserve"> </v>
      </c>
      <c r="S57" s="16" t="str">
        <f t="shared" si="10"/>
        <v xml:space="preserve"> </v>
      </c>
      <c r="T57" s="16" t="str">
        <f t="shared" si="10"/>
        <v xml:space="preserve"> </v>
      </c>
      <c r="U57" s="16" t="str">
        <f t="shared" si="10"/>
        <v xml:space="preserve"> </v>
      </c>
      <c r="V57" s="16" t="str">
        <f t="shared" si="10"/>
        <v xml:space="preserve"> </v>
      </c>
      <c r="W57" s="16" t="str">
        <f t="shared" si="10"/>
        <v xml:space="preserve"> </v>
      </c>
      <c r="X57" s="16" t="str">
        <f t="shared" si="10"/>
        <v xml:space="preserve"> </v>
      </c>
      <c r="Y57" s="16" t="str">
        <f t="shared" si="10"/>
        <v xml:space="preserve"> </v>
      </c>
      <c r="Z57" s="16" t="str">
        <f t="shared" si="10"/>
        <v xml:space="preserve"> </v>
      </c>
      <c r="AA57" s="16" t="str">
        <f t="shared" si="10"/>
        <v xml:space="preserve"> </v>
      </c>
      <c r="AB57" s="16" t="str">
        <f t="shared" si="9"/>
        <v xml:space="preserve"> </v>
      </c>
      <c r="AC57" s="16" t="str">
        <f t="shared" si="9"/>
        <v xml:space="preserve"> </v>
      </c>
      <c r="AD57" s="16" t="str">
        <f t="shared" si="9"/>
        <v xml:space="preserve"> </v>
      </c>
      <c r="AE57" s="16" t="str">
        <f t="shared" si="9"/>
        <v xml:space="preserve"> </v>
      </c>
    </row>
    <row r="58" spans="1:31" ht="15" customHeight="1" thickBot="1" x14ac:dyDescent="0.35">
      <c r="A58"/>
      <c r="B58"/>
      <c r="C58"/>
      <c r="D58"/>
      <c r="E58"/>
      <c r="F58"/>
      <c r="G58" s="36" t="e">
        <f>VLOOKUP(F58,Results!$E$31:$F$50,2,FALSE)</f>
        <v>#N/A</v>
      </c>
      <c r="H58" s="38"/>
      <c r="I58" s="39"/>
      <c r="K58" s="3">
        <f t="shared" si="3"/>
        <v>0</v>
      </c>
      <c r="L58" s="16" t="str">
        <f t="shared" si="10"/>
        <v xml:space="preserve"> </v>
      </c>
      <c r="M58" s="16" t="str">
        <f t="shared" si="10"/>
        <v xml:space="preserve"> </v>
      </c>
      <c r="N58" s="16" t="str">
        <f t="shared" si="10"/>
        <v xml:space="preserve"> </v>
      </c>
      <c r="O58" s="16" t="str">
        <f t="shared" si="10"/>
        <v xml:space="preserve"> </v>
      </c>
      <c r="P58" s="16" t="str">
        <f t="shared" si="10"/>
        <v xml:space="preserve"> </v>
      </c>
      <c r="Q58" s="16" t="str">
        <f t="shared" si="10"/>
        <v xml:space="preserve"> </v>
      </c>
      <c r="R58" s="16" t="str">
        <f t="shared" si="10"/>
        <v xml:space="preserve"> </v>
      </c>
      <c r="S58" s="16" t="str">
        <f t="shared" si="10"/>
        <v xml:space="preserve"> </v>
      </c>
      <c r="T58" s="16" t="str">
        <f t="shared" si="10"/>
        <v xml:space="preserve"> </v>
      </c>
      <c r="U58" s="16" t="str">
        <f t="shared" si="10"/>
        <v xml:space="preserve"> </v>
      </c>
      <c r="V58" s="16" t="str">
        <f t="shared" si="10"/>
        <v xml:space="preserve"> </v>
      </c>
      <c r="W58" s="16" t="str">
        <f t="shared" si="10"/>
        <v xml:space="preserve"> </v>
      </c>
      <c r="X58" s="16" t="str">
        <f t="shared" si="10"/>
        <v xml:space="preserve"> </v>
      </c>
      <c r="Y58" s="16" t="str">
        <f t="shared" si="10"/>
        <v xml:space="preserve"> </v>
      </c>
      <c r="Z58" s="16" t="str">
        <f t="shared" si="10"/>
        <v xml:space="preserve"> </v>
      </c>
      <c r="AA58" s="16" t="str">
        <f t="shared" si="10"/>
        <v xml:space="preserve"> </v>
      </c>
      <c r="AB58" s="16" t="str">
        <f t="shared" si="9"/>
        <v xml:space="preserve"> </v>
      </c>
      <c r="AC58" s="16" t="str">
        <f t="shared" si="9"/>
        <v xml:space="preserve"> </v>
      </c>
      <c r="AD58" s="16" t="str">
        <f t="shared" si="9"/>
        <v xml:space="preserve"> </v>
      </c>
      <c r="AE58" s="16" t="str">
        <f t="shared" si="9"/>
        <v xml:space="preserve"> </v>
      </c>
    </row>
    <row r="59" spans="1:31" ht="15" customHeight="1" thickBot="1" x14ac:dyDescent="0.35">
      <c r="A59"/>
      <c r="B59"/>
      <c r="C59"/>
      <c r="D59"/>
      <c r="E59"/>
      <c r="F59"/>
      <c r="G59" s="36" t="e">
        <f>VLOOKUP(F59,Results!$E$31:$F$50,2,FALSE)</f>
        <v>#N/A</v>
      </c>
      <c r="H59" s="38"/>
      <c r="I59" s="39"/>
      <c r="K59" s="3">
        <f t="shared" si="3"/>
        <v>0</v>
      </c>
      <c r="L59" s="16" t="str">
        <f t="shared" si="10"/>
        <v xml:space="preserve"> </v>
      </c>
      <c r="M59" s="16" t="str">
        <f t="shared" si="10"/>
        <v xml:space="preserve"> </v>
      </c>
      <c r="N59" s="16" t="str">
        <f t="shared" si="10"/>
        <v xml:space="preserve"> </v>
      </c>
      <c r="O59" s="16" t="str">
        <f t="shared" si="10"/>
        <v xml:space="preserve"> </v>
      </c>
      <c r="P59" s="16" t="str">
        <f t="shared" si="10"/>
        <v xml:space="preserve"> </v>
      </c>
      <c r="Q59" s="16" t="str">
        <f t="shared" si="10"/>
        <v xml:space="preserve"> </v>
      </c>
      <c r="R59" s="16" t="str">
        <f t="shared" si="10"/>
        <v xml:space="preserve"> </v>
      </c>
      <c r="S59" s="16" t="str">
        <f t="shared" si="10"/>
        <v xml:space="preserve"> </v>
      </c>
      <c r="T59" s="16" t="str">
        <f t="shared" si="10"/>
        <v xml:space="preserve"> </v>
      </c>
      <c r="U59" s="16" t="str">
        <f t="shared" si="10"/>
        <v xml:space="preserve"> </v>
      </c>
      <c r="V59" s="16" t="str">
        <f t="shared" si="10"/>
        <v xml:space="preserve"> </v>
      </c>
      <c r="W59" s="16" t="str">
        <f t="shared" si="10"/>
        <v xml:space="preserve"> </v>
      </c>
      <c r="X59" s="16" t="str">
        <f t="shared" si="10"/>
        <v xml:space="preserve"> </v>
      </c>
      <c r="Y59" s="16" t="str">
        <f t="shared" si="10"/>
        <v xml:space="preserve"> </v>
      </c>
      <c r="Z59" s="16" t="str">
        <f t="shared" si="10"/>
        <v xml:space="preserve"> </v>
      </c>
      <c r="AA59" s="16" t="str">
        <f t="shared" si="10"/>
        <v xml:space="preserve"> </v>
      </c>
      <c r="AB59" s="16" t="str">
        <f t="shared" si="9"/>
        <v xml:space="preserve"> </v>
      </c>
      <c r="AC59" s="16" t="str">
        <f t="shared" si="9"/>
        <v xml:space="preserve"> </v>
      </c>
      <c r="AD59" s="16" t="str">
        <f t="shared" si="9"/>
        <v xml:space="preserve"> </v>
      </c>
      <c r="AE59" s="16" t="str">
        <f t="shared" si="9"/>
        <v xml:space="preserve"> </v>
      </c>
    </row>
    <row r="60" spans="1:31" ht="15" customHeight="1" thickBot="1" x14ac:dyDescent="0.35">
      <c r="A60"/>
      <c r="B60"/>
      <c r="C60"/>
      <c r="D60"/>
      <c r="E60"/>
      <c r="F60"/>
      <c r="G60" s="36" t="e">
        <f>VLOOKUP(F60,Results!$E$31:$F$50,2,FALSE)</f>
        <v>#N/A</v>
      </c>
      <c r="H60" s="38"/>
      <c r="I60" s="39"/>
      <c r="K60" s="3">
        <f t="shared" si="3"/>
        <v>0</v>
      </c>
      <c r="L60" s="16" t="str">
        <f t="shared" si="10"/>
        <v xml:space="preserve"> </v>
      </c>
      <c r="M60" s="16" t="str">
        <f t="shared" si="10"/>
        <v xml:space="preserve"> </v>
      </c>
      <c r="N60" s="16" t="str">
        <f t="shared" si="10"/>
        <v xml:space="preserve"> </v>
      </c>
      <c r="O60" s="16" t="str">
        <f t="shared" si="10"/>
        <v xml:space="preserve"> </v>
      </c>
      <c r="P60" s="16" t="str">
        <f t="shared" si="10"/>
        <v xml:space="preserve"> </v>
      </c>
      <c r="Q60" s="16" t="str">
        <f t="shared" si="10"/>
        <v xml:space="preserve"> </v>
      </c>
      <c r="R60" s="16" t="str">
        <f t="shared" si="10"/>
        <v xml:space="preserve"> </v>
      </c>
      <c r="S60" s="16" t="str">
        <f t="shared" si="10"/>
        <v xml:space="preserve"> </v>
      </c>
      <c r="T60" s="16" t="str">
        <f t="shared" si="10"/>
        <v xml:space="preserve"> </v>
      </c>
      <c r="U60" s="16" t="str">
        <f t="shared" si="10"/>
        <v xml:space="preserve"> </v>
      </c>
      <c r="V60" s="16" t="str">
        <f t="shared" si="10"/>
        <v xml:space="preserve"> </v>
      </c>
      <c r="W60" s="16" t="str">
        <f t="shared" si="10"/>
        <v xml:space="preserve"> </v>
      </c>
      <c r="X60" s="16" t="str">
        <f t="shared" si="10"/>
        <v xml:space="preserve"> </v>
      </c>
      <c r="Y60" s="16" t="str">
        <f t="shared" si="10"/>
        <v xml:space="preserve"> </v>
      </c>
      <c r="Z60" s="16" t="str">
        <f t="shared" si="10"/>
        <v xml:space="preserve"> </v>
      </c>
      <c r="AA60" s="16" t="str">
        <f t="shared" si="10"/>
        <v xml:space="preserve"> </v>
      </c>
      <c r="AB60" s="16" t="str">
        <f t="shared" si="9"/>
        <v xml:space="preserve"> </v>
      </c>
      <c r="AC60" s="16" t="str">
        <f t="shared" si="9"/>
        <v xml:space="preserve"> </v>
      </c>
      <c r="AD60" s="16" t="str">
        <f t="shared" si="9"/>
        <v xml:space="preserve"> </v>
      </c>
      <c r="AE60" s="16" t="str">
        <f t="shared" si="9"/>
        <v xml:space="preserve"> </v>
      </c>
    </row>
    <row r="61" spans="1:31" ht="15" customHeight="1" thickBot="1" x14ac:dyDescent="0.35">
      <c r="A61"/>
      <c r="B61"/>
      <c r="C61"/>
      <c r="D61"/>
      <c r="E61"/>
      <c r="F61"/>
      <c r="G61" s="36" t="e">
        <f>VLOOKUP(F61,Results!$E$31:$F$50,2,FALSE)</f>
        <v>#N/A</v>
      </c>
      <c r="H61" s="38"/>
      <c r="I61" s="39"/>
      <c r="K61" s="3">
        <f t="shared" si="3"/>
        <v>0</v>
      </c>
      <c r="L61" s="16" t="str">
        <f t="shared" si="10"/>
        <v xml:space="preserve"> </v>
      </c>
      <c r="M61" s="16" t="str">
        <f t="shared" si="10"/>
        <v xml:space="preserve"> </v>
      </c>
      <c r="N61" s="16" t="str">
        <f t="shared" si="10"/>
        <v xml:space="preserve"> </v>
      </c>
      <c r="O61" s="16" t="str">
        <f t="shared" si="10"/>
        <v xml:space="preserve"> </v>
      </c>
      <c r="P61" s="16" t="str">
        <f t="shared" si="10"/>
        <v xml:space="preserve"> </v>
      </c>
      <c r="Q61" s="16" t="str">
        <f t="shared" si="10"/>
        <v xml:space="preserve"> </v>
      </c>
      <c r="R61" s="16" t="str">
        <f t="shared" si="10"/>
        <v xml:space="preserve"> </v>
      </c>
      <c r="S61" s="16" t="str">
        <f t="shared" si="10"/>
        <v xml:space="preserve"> </v>
      </c>
      <c r="T61" s="16" t="str">
        <f t="shared" si="10"/>
        <v xml:space="preserve"> </v>
      </c>
      <c r="U61" s="16" t="str">
        <f t="shared" si="10"/>
        <v xml:space="preserve"> </v>
      </c>
      <c r="V61" s="16" t="str">
        <f t="shared" si="10"/>
        <v xml:space="preserve"> </v>
      </c>
      <c r="W61" s="16" t="str">
        <f t="shared" si="10"/>
        <v xml:space="preserve"> </v>
      </c>
      <c r="X61" s="16" t="str">
        <f t="shared" si="10"/>
        <v xml:space="preserve"> </v>
      </c>
      <c r="Y61" s="16" t="str">
        <f t="shared" si="10"/>
        <v xml:space="preserve"> </v>
      </c>
      <c r="Z61" s="16" t="str">
        <f t="shared" si="10"/>
        <v xml:space="preserve"> </v>
      </c>
      <c r="AA61" s="16" t="str">
        <f t="shared" si="10"/>
        <v xml:space="preserve"> </v>
      </c>
      <c r="AB61" s="16" t="str">
        <f t="shared" si="9"/>
        <v xml:space="preserve"> </v>
      </c>
      <c r="AC61" s="16" t="str">
        <f t="shared" si="9"/>
        <v xml:space="preserve"> </v>
      </c>
      <c r="AD61" s="16" t="str">
        <f t="shared" si="9"/>
        <v xml:space="preserve"> </v>
      </c>
      <c r="AE61" s="16" t="str">
        <f t="shared" si="9"/>
        <v xml:space="preserve"> </v>
      </c>
    </row>
    <row r="62" spans="1:31" ht="15" customHeight="1" thickBot="1" x14ac:dyDescent="0.35">
      <c r="A62"/>
      <c r="B62"/>
      <c r="C62"/>
      <c r="D62"/>
      <c r="E62"/>
      <c r="F62"/>
      <c r="G62" s="36" t="e">
        <f>VLOOKUP(F62,Results!$E$31:$F$50,2,FALSE)</f>
        <v>#N/A</v>
      </c>
      <c r="H62" s="38"/>
      <c r="I62" s="39"/>
      <c r="K62" s="3">
        <f t="shared" si="3"/>
        <v>0</v>
      </c>
      <c r="L62" s="16" t="str">
        <f t="shared" si="10"/>
        <v xml:space="preserve"> </v>
      </c>
      <c r="M62" s="16" t="str">
        <f t="shared" si="10"/>
        <v xml:space="preserve"> </v>
      </c>
      <c r="N62" s="16" t="str">
        <f t="shared" si="10"/>
        <v xml:space="preserve"> </v>
      </c>
      <c r="O62" s="16" t="str">
        <f t="shared" si="10"/>
        <v xml:space="preserve"> </v>
      </c>
      <c r="P62" s="16" t="str">
        <f t="shared" si="10"/>
        <v xml:space="preserve"> </v>
      </c>
      <c r="Q62" s="16" t="str">
        <f t="shared" si="10"/>
        <v xml:space="preserve"> </v>
      </c>
      <c r="R62" s="16" t="str">
        <f t="shared" si="10"/>
        <v xml:space="preserve"> </v>
      </c>
      <c r="S62" s="16" t="str">
        <f t="shared" si="10"/>
        <v xml:space="preserve"> </v>
      </c>
      <c r="T62" s="16" t="str">
        <f t="shared" si="10"/>
        <v xml:space="preserve"> </v>
      </c>
      <c r="U62" s="16" t="str">
        <f t="shared" si="10"/>
        <v xml:space="preserve"> </v>
      </c>
      <c r="V62" s="16" t="str">
        <f t="shared" si="10"/>
        <v xml:space="preserve"> </v>
      </c>
      <c r="W62" s="16" t="str">
        <f t="shared" si="10"/>
        <v xml:space="preserve"> </v>
      </c>
      <c r="X62" s="16" t="str">
        <f t="shared" si="10"/>
        <v xml:space="preserve"> </v>
      </c>
      <c r="Y62" s="16" t="str">
        <f t="shared" si="10"/>
        <v xml:space="preserve"> </v>
      </c>
      <c r="Z62" s="16" t="str">
        <f t="shared" si="10"/>
        <v xml:space="preserve"> </v>
      </c>
      <c r="AA62" s="16" t="str">
        <f t="shared" si="10"/>
        <v xml:space="preserve"> </v>
      </c>
      <c r="AB62" s="16" t="str">
        <f t="shared" si="9"/>
        <v xml:space="preserve"> </v>
      </c>
      <c r="AC62" s="16" t="str">
        <f t="shared" si="9"/>
        <v xml:space="preserve"> </v>
      </c>
      <c r="AD62" s="16" t="str">
        <f t="shared" si="9"/>
        <v xml:space="preserve"> </v>
      </c>
      <c r="AE62" s="16" t="str">
        <f t="shared" si="9"/>
        <v xml:space="preserve"> </v>
      </c>
    </row>
    <row r="63" spans="1:31" ht="15" customHeight="1" thickBot="1" x14ac:dyDescent="0.35">
      <c r="A63"/>
      <c r="B63"/>
      <c r="C63"/>
      <c r="D63"/>
      <c r="E63"/>
      <c r="F63"/>
      <c r="G63" s="36" t="e">
        <f>VLOOKUP(F63,Results!$E$31:$F$50,2,FALSE)</f>
        <v>#N/A</v>
      </c>
      <c r="H63" s="38"/>
      <c r="I63" s="39"/>
      <c r="K63" s="3">
        <f t="shared" si="3"/>
        <v>0</v>
      </c>
      <c r="L63" s="16" t="str">
        <f t="shared" si="10"/>
        <v xml:space="preserve"> </v>
      </c>
      <c r="M63" s="16" t="str">
        <f t="shared" si="10"/>
        <v xml:space="preserve"> </v>
      </c>
      <c r="N63" s="16" t="str">
        <f t="shared" si="10"/>
        <v xml:space="preserve"> </v>
      </c>
      <c r="O63" s="16" t="str">
        <f t="shared" si="10"/>
        <v xml:space="preserve"> </v>
      </c>
      <c r="P63" s="16" t="str">
        <f t="shared" si="10"/>
        <v xml:space="preserve"> </v>
      </c>
      <c r="Q63" s="16" t="str">
        <f t="shared" si="10"/>
        <v xml:space="preserve"> </v>
      </c>
      <c r="R63" s="16" t="str">
        <f t="shared" si="10"/>
        <v xml:space="preserve"> </v>
      </c>
      <c r="S63" s="16" t="str">
        <f t="shared" si="10"/>
        <v xml:space="preserve"> </v>
      </c>
      <c r="T63" s="16" t="str">
        <f t="shared" si="10"/>
        <v xml:space="preserve"> </v>
      </c>
      <c r="U63" s="16" t="str">
        <f t="shared" si="10"/>
        <v xml:space="preserve"> </v>
      </c>
      <c r="V63" s="16" t="str">
        <f t="shared" si="10"/>
        <v xml:space="preserve"> </v>
      </c>
      <c r="W63" s="16" t="str">
        <f t="shared" si="10"/>
        <v xml:space="preserve"> </v>
      </c>
      <c r="X63" s="16" t="str">
        <f t="shared" si="10"/>
        <v xml:space="preserve"> </v>
      </c>
      <c r="Y63" s="16" t="str">
        <f t="shared" si="10"/>
        <v xml:space="preserve"> </v>
      </c>
      <c r="Z63" s="16" t="str">
        <f t="shared" si="10"/>
        <v xml:space="preserve"> </v>
      </c>
      <c r="AA63" s="16" t="str">
        <f t="shared" si="10"/>
        <v xml:space="preserve"> </v>
      </c>
      <c r="AB63" s="16" t="str">
        <f t="shared" si="9"/>
        <v xml:space="preserve"> </v>
      </c>
      <c r="AC63" s="16" t="str">
        <f t="shared" si="9"/>
        <v xml:space="preserve"> </v>
      </c>
      <c r="AD63" s="16" t="str">
        <f t="shared" si="9"/>
        <v xml:space="preserve"> </v>
      </c>
      <c r="AE63" s="16" t="str">
        <f t="shared" si="9"/>
        <v xml:space="preserve"> </v>
      </c>
    </row>
    <row r="64" spans="1:31" ht="15" customHeight="1" thickBot="1" x14ac:dyDescent="0.35">
      <c r="A64"/>
      <c r="B64"/>
      <c r="C64"/>
      <c r="D64"/>
      <c r="E64"/>
      <c r="F64"/>
      <c r="G64" s="36" t="e">
        <f>VLOOKUP(F64,Results!$E$31:$F$50,2,FALSE)</f>
        <v>#N/A</v>
      </c>
      <c r="H64" s="38"/>
      <c r="I64" s="39"/>
      <c r="K64" s="3">
        <f t="shared" si="3"/>
        <v>0</v>
      </c>
      <c r="L64" s="16" t="str">
        <f t="shared" si="10"/>
        <v xml:space="preserve"> </v>
      </c>
      <c r="M64" s="16" t="str">
        <f t="shared" si="10"/>
        <v xml:space="preserve"> </v>
      </c>
      <c r="N64" s="16" t="str">
        <f t="shared" si="10"/>
        <v xml:space="preserve"> </v>
      </c>
      <c r="O64" s="16" t="str">
        <f t="shared" si="10"/>
        <v xml:space="preserve"> </v>
      </c>
      <c r="P64" s="16" t="str">
        <f t="shared" si="10"/>
        <v xml:space="preserve"> </v>
      </c>
      <c r="Q64" s="16" t="str">
        <f t="shared" si="10"/>
        <v xml:space="preserve"> </v>
      </c>
      <c r="R64" s="16" t="str">
        <f t="shared" si="10"/>
        <v xml:space="preserve"> </v>
      </c>
      <c r="S64" s="16" t="str">
        <f t="shared" si="10"/>
        <v xml:space="preserve"> </v>
      </c>
      <c r="T64" s="16" t="str">
        <f t="shared" si="10"/>
        <v xml:space="preserve"> </v>
      </c>
      <c r="U64" s="16" t="str">
        <f t="shared" si="10"/>
        <v xml:space="preserve"> </v>
      </c>
      <c r="V64" s="16" t="str">
        <f t="shared" si="10"/>
        <v xml:space="preserve"> </v>
      </c>
      <c r="W64" s="16" t="str">
        <f t="shared" si="10"/>
        <v xml:space="preserve"> </v>
      </c>
      <c r="X64" s="16" t="str">
        <f t="shared" si="10"/>
        <v xml:space="preserve"> </v>
      </c>
      <c r="Y64" s="16" t="str">
        <f t="shared" si="10"/>
        <v xml:space="preserve"> </v>
      </c>
      <c r="Z64" s="16" t="str">
        <f t="shared" si="10"/>
        <v xml:space="preserve"> </v>
      </c>
      <c r="AA64" s="16" t="str">
        <f t="shared" si="10"/>
        <v xml:space="preserve"> </v>
      </c>
      <c r="AB64" s="16" t="str">
        <f t="shared" si="9"/>
        <v xml:space="preserve"> </v>
      </c>
      <c r="AC64" s="16" t="str">
        <f t="shared" si="9"/>
        <v xml:space="preserve"> </v>
      </c>
      <c r="AD64" s="16" t="str">
        <f t="shared" si="9"/>
        <v xml:space="preserve"> </v>
      </c>
      <c r="AE64" s="16" t="str">
        <f t="shared" si="9"/>
        <v xml:space="preserve"> </v>
      </c>
    </row>
    <row r="65" spans="1:31" ht="15" customHeight="1" thickBot="1" x14ac:dyDescent="0.35">
      <c r="A65"/>
      <c r="B65"/>
      <c r="C65"/>
      <c r="D65"/>
      <c r="E65"/>
      <c r="F65"/>
      <c r="G65" s="36" t="e">
        <f>VLOOKUP(F65,Results!$E$31:$F$50,2,FALSE)</f>
        <v>#N/A</v>
      </c>
      <c r="H65" s="38"/>
      <c r="I65" s="39"/>
      <c r="K65" s="3">
        <f t="shared" si="3"/>
        <v>0</v>
      </c>
      <c r="L65" s="16" t="str">
        <f t="shared" si="10"/>
        <v xml:space="preserve"> </v>
      </c>
      <c r="M65" s="16" t="str">
        <f t="shared" si="10"/>
        <v xml:space="preserve"> </v>
      </c>
      <c r="N65" s="16" t="str">
        <f t="shared" si="10"/>
        <v xml:space="preserve"> </v>
      </c>
      <c r="O65" s="16" t="str">
        <f t="shared" si="10"/>
        <v xml:space="preserve"> </v>
      </c>
      <c r="P65" s="16" t="str">
        <f t="shared" si="10"/>
        <v xml:space="preserve"> </v>
      </c>
      <c r="Q65" s="16" t="str">
        <f t="shared" si="10"/>
        <v xml:space="preserve"> </v>
      </c>
      <c r="R65" s="16" t="str">
        <f t="shared" si="10"/>
        <v xml:space="preserve"> </v>
      </c>
      <c r="S65" s="16" t="str">
        <f t="shared" si="10"/>
        <v xml:space="preserve"> </v>
      </c>
      <c r="T65" s="16" t="str">
        <f t="shared" si="10"/>
        <v xml:space="preserve"> </v>
      </c>
      <c r="U65" s="16" t="str">
        <f t="shared" si="10"/>
        <v xml:space="preserve"> </v>
      </c>
      <c r="V65" s="16" t="str">
        <f t="shared" si="10"/>
        <v xml:space="preserve"> </v>
      </c>
      <c r="W65" s="16" t="str">
        <f t="shared" si="10"/>
        <v xml:space="preserve"> </v>
      </c>
      <c r="X65" s="16" t="str">
        <f t="shared" si="10"/>
        <v xml:space="preserve"> </v>
      </c>
      <c r="Y65" s="16" t="str">
        <f t="shared" si="10"/>
        <v xml:space="preserve"> </v>
      </c>
      <c r="Z65" s="16" t="str">
        <f t="shared" si="10"/>
        <v xml:space="preserve"> </v>
      </c>
      <c r="AA65" s="16" t="str">
        <f t="shared" si="10"/>
        <v xml:space="preserve"> </v>
      </c>
      <c r="AB65" s="16" t="str">
        <f t="shared" si="9"/>
        <v xml:space="preserve"> </v>
      </c>
      <c r="AC65" s="16" t="str">
        <f t="shared" si="9"/>
        <v xml:space="preserve"> </v>
      </c>
      <c r="AD65" s="16" t="str">
        <f t="shared" si="9"/>
        <v xml:space="preserve"> </v>
      </c>
      <c r="AE65" s="16" t="str">
        <f t="shared" si="9"/>
        <v xml:space="preserve"> </v>
      </c>
    </row>
    <row r="66" spans="1:31" ht="15" customHeight="1" thickBot="1" x14ac:dyDescent="0.35">
      <c r="A66"/>
      <c r="B66"/>
      <c r="C66"/>
      <c r="D66"/>
      <c r="E66"/>
      <c r="F66"/>
      <c r="G66" s="36" t="e">
        <f>VLOOKUP(F66,Results!$E$31:$F$50,2,FALSE)</f>
        <v>#N/A</v>
      </c>
      <c r="H66" s="38"/>
      <c r="I66" s="39"/>
      <c r="K66" s="3">
        <f t="shared" si="3"/>
        <v>0</v>
      </c>
      <c r="L66" s="16" t="str">
        <f t="shared" si="10"/>
        <v xml:space="preserve"> </v>
      </c>
      <c r="M66" s="16" t="str">
        <f t="shared" si="10"/>
        <v xml:space="preserve"> </v>
      </c>
      <c r="N66" s="16" t="str">
        <f t="shared" si="10"/>
        <v xml:space="preserve"> </v>
      </c>
      <c r="O66" s="16" t="str">
        <f t="shared" si="10"/>
        <v xml:space="preserve"> </v>
      </c>
      <c r="P66" s="16" t="str">
        <f t="shared" si="10"/>
        <v xml:space="preserve"> </v>
      </c>
      <c r="Q66" s="16" t="str">
        <f t="shared" si="10"/>
        <v xml:space="preserve"> </v>
      </c>
      <c r="R66" s="16" t="str">
        <f t="shared" si="10"/>
        <v xml:space="preserve"> </v>
      </c>
      <c r="S66" s="16" t="str">
        <f t="shared" si="10"/>
        <v xml:space="preserve"> </v>
      </c>
      <c r="T66" s="16" t="str">
        <f t="shared" si="10"/>
        <v xml:space="preserve"> </v>
      </c>
      <c r="U66" s="16" t="str">
        <f t="shared" si="10"/>
        <v xml:space="preserve"> </v>
      </c>
      <c r="V66" s="16" t="str">
        <f t="shared" si="10"/>
        <v xml:space="preserve"> </v>
      </c>
      <c r="W66" s="16" t="str">
        <f t="shared" si="10"/>
        <v xml:space="preserve"> </v>
      </c>
      <c r="X66" s="16" t="str">
        <f t="shared" si="10"/>
        <v xml:space="preserve"> </v>
      </c>
      <c r="Y66" s="16" t="str">
        <f t="shared" si="10"/>
        <v xml:space="preserve"> </v>
      </c>
      <c r="Z66" s="16" t="str">
        <f t="shared" si="10"/>
        <v xml:space="preserve"> </v>
      </c>
      <c r="AA66" s="16" t="str">
        <f t="shared" ref="AA66:AE81" si="11">IF($F66=COLUMN((AA:AA))-11,$E66," ")</f>
        <v xml:space="preserve"> </v>
      </c>
      <c r="AB66" s="16" t="str">
        <f t="shared" si="11"/>
        <v xml:space="preserve"> </v>
      </c>
      <c r="AC66" s="16" t="str">
        <f t="shared" si="11"/>
        <v xml:space="preserve"> </v>
      </c>
      <c r="AD66" s="16" t="str">
        <f t="shared" si="11"/>
        <v xml:space="preserve"> </v>
      </c>
      <c r="AE66" s="16" t="str">
        <f t="shared" si="11"/>
        <v xml:space="preserve"> </v>
      </c>
    </row>
    <row r="67" spans="1:31" ht="15" customHeight="1" thickBot="1" x14ac:dyDescent="0.35">
      <c r="A67"/>
      <c r="B67"/>
      <c r="C67"/>
      <c r="D67"/>
      <c r="E67"/>
      <c r="F67"/>
      <c r="G67" s="36" t="e">
        <f>VLOOKUP(F67,Results!$E$31:$F$50,2,FALSE)</f>
        <v>#N/A</v>
      </c>
      <c r="H67" s="38"/>
      <c r="I67" s="39"/>
      <c r="K67" s="3">
        <f t="shared" si="3"/>
        <v>0</v>
      </c>
      <c r="L67" s="16" t="str">
        <f t="shared" ref="L67:AA82" si="12">IF($F67=COLUMN((L:L))-11,$E67," ")</f>
        <v xml:space="preserve"> </v>
      </c>
      <c r="M67" s="16" t="str">
        <f t="shared" si="12"/>
        <v xml:space="preserve"> </v>
      </c>
      <c r="N67" s="16" t="str">
        <f t="shared" si="12"/>
        <v xml:space="preserve"> </v>
      </c>
      <c r="O67" s="16" t="str">
        <f t="shared" si="12"/>
        <v xml:space="preserve"> </v>
      </c>
      <c r="P67" s="16" t="str">
        <f t="shared" si="12"/>
        <v xml:space="preserve"> </v>
      </c>
      <c r="Q67" s="16" t="str">
        <f t="shared" si="12"/>
        <v xml:space="preserve"> </v>
      </c>
      <c r="R67" s="16" t="str">
        <f t="shared" si="12"/>
        <v xml:space="preserve"> </v>
      </c>
      <c r="S67" s="16" t="str">
        <f t="shared" si="12"/>
        <v xml:space="preserve"> </v>
      </c>
      <c r="T67" s="16" t="str">
        <f t="shared" si="12"/>
        <v xml:space="preserve"> </v>
      </c>
      <c r="U67" s="16" t="str">
        <f t="shared" si="12"/>
        <v xml:space="preserve"> </v>
      </c>
      <c r="V67" s="16" t="str">
        <f t="shared" si="12"/>
        <v xml:space="preserve"> </v>
      </c>
      <c r="W67" s="16" t="str">
        <f t="shared" si="12"/>
        <v xml:space="preserve"> </v>
      </c>
      <c r="X67" s="16" t="str">
        <f t="shared" si="12"/>
        <v xml:space="preserve"> </v>
      </c>
      <c r="Y67" s="16" t="str">
        <f t="shared" si="12"/>
        <v xml:space="preserve"> </v>
      </c>
      <c r="Z67" s="16" t="str">
        <f t="shared" si="12"/>
        <v xml:space="preserve"> </v>
      </c>
      <c r="AA67" s="16" t="str">
        <f t="shared" si="12"/>
        <v xml:space="preserve"> </v>
      </c>
      <c r="AB67" s="16" t="str">
        <f t="shared" si="11"/>
        <v xml:space="preserve"> </v>
      </c>
      <c r="AC67" s="16" t="str">
        <f t="shared" si="11"/>
        <v xml:space="preserve"> </v>
      </c>
      <c r="AD67" s="16" t="str">
        <f t="shared" si="11"/>
        <v xml:space="preserve"> </v>
      </c>
      <c r="AE67" s="16" t="str">
        <f t="shared" si="11"/>
        <v xml:space="preserve"> </v>
      </c>
    </row>
    <row r="68" spans="1:31" ht="15" customHeight="1" thickBot="1" x14ac:dyDescent="0.35">
      <c r="A68"/>
      <c r="B68"/>
      <c r="C68"/>
      <c r="D68"/>
      <c r="E68"/>
      <c r="F68"/>
      <c r="G68" s="36" t="e">
        <f>VLOOKUP(F68,Results!$E$31:$F$50,2,FALSE)</f>
        <v>#N/A</v>
      </c>
      <c r="H68" s="38"/>
      <c r="I68" s="39"/>
      <c r="K68" s="3">
        <f t="shared" si="3"/>
        <v>0</v>
      </c>
      <c r="L68" s="16" t="str">
        <f t="shared" si="12"/>
        <v xml:space="preserve"> </v>
      </c>
      <c r="M68" s="16" t="str">
        <f t="shared" si="12"/>
        <v xml:space="preserve"> </v>
      </c>
      <c r="N68" s="16" t="str">
        <f t="shared" si="12"/>
        <v xml:space="preserve"> </v>
      </c>
      <c r="O68" s="16" t="str">
        <f t="shared" si="12"/>
        <v xml:space="preserve"> </v>
      </c>
      <c r="P68" s="16" t="str">
        <f t="shared" si="12"/>
        <v xml:space="preserve"> </v>
      </c>
      <c r="Q68" s="16" t="str">
        <f t="shared" si="12"/>
        <v xml:space="preserve"> </v>
      </c>
      <c r="R68" s="16" t="str">
        <f t="shared" si="12"/>
        <v xml:space="preserve"> </v>
      </c>
      <c r="S68" s="16" t="str">
        <f t="shared" si="12"/>
        <v xml:space="preserve"> </v>
      </c>
      <c r="T68" s="16" t="str">
        <f t="shared" si="12"/>
        <v xml:space="preserve"> </v>
      </c>
      <c r="U68" s="16" t="str">
        <f t="shared" si="12"/>
        <v xml:space="preserve"> </v>
      </c>
      <c r="V68" s="16" t="str">
        <f t="shared" si="12"/>
        <v xml:space="preserve"> </v>
      </c>
      <c r="W68" s="16" t="str">
        <f t="shared" si="12"/>
        <v xml:space="preserve"> </v>
      </c>
      <c r="X68" s="16" t="str">
        <f t="shared" si="12"/>
        <v xml:space="preserve"> </v>
      </c>
      <c r="Y68" s="16" t="str">
        <f t="shared" si="12"/>
        <v xml:space="preserve"> </v>
      </c>
      <c r="Z68" s="16" t="str">
        <f t="shared" si="12"/>
        <v xml:space="preserve"> </v>
      </c>
      <c r="AA68" s="16" t="str">
        <f t="shared" si="12"/>
        <v xml:space="preserve"> </v>
      </c>
      <c r="AB68" s="16" t="str">
        <f t="shared" si="11"/>
        <v xml:space="preserve"> </v>
      </c>
      <c r="AC68" s="16" t="str">
        <f t="shared" si="11"/>
        <v xml:space="preserve"> </v>
      </c>
      <c r="AD68" s="16" t="str">
        <f t="shared" si="11"/>
        <v xml:space="preserve"> </v>
      </c>
      <c r="AE68" s="16" t="str">
        <f t="shared" si="11"/>
        <v xml:space="preserve"> </v>
      </c>
    </row>
    <row r="69" spans="1:31" ht="15" customHeight="1" thickBot="1" x14ac:dyDescent="0.35">
      <c r="A69"/>
      <c r="B69"/>
      <c r="C69"/>
      <c r="D69"/>
      <c r="E69"/>
      <c r="F69"/>
      <c r="G69" s="36" t="e">
        <f>VLOOKUP(F69,Results!$E$31:$F$50,2,FALSE)</f>
        <v>#N/A</v>
      </c>
      <c r="H69" s="38"/>
      <c r="I69" s="39"/>
      <c r="K69" s="3">
        <f t="shared" si="3"/>
        <v>0</v>
      </c>
      <c r="L69" s="16" t="str">
        <f t="shared" si="12"/>
        <v xml:space="preserve"> </v>
      </c>
      <c r="M69" s="16" t="str">
        <f t="shared" si="12"/>
        <v xml:space="preserve"> </v>
      </c>
      <c r="N69" s="16" t="str">
        <f t="shared" si="12"/>
        <v xml:space="preserve"> </v>
      </c>
      <c r="O69" s="16" t="str">
        <f t="shared" si="12"/>
        <v xml:space="preserve"> </v>
      </c>
      <c r="P69" s="16" t="str">
        <f t="shared" si="12"/>
        <v xml:space="preserve"> </v>
      </c>
      <c r="Q69" s="16" t="str">
        <f t="shared" si="12"/>
        <v xml:space="preserve"> </v>
      </c>
      <c r="R69" s="16" t="str">
        <f t="shared" si="12"/>
        <v xml:space="preserve"> </v>
      </c>
      <c r="S69" s="16" t="str">
        <f t="shared" si="12"/>
        <v xml:space="preserve"> </v>
      </c>
      <c r="T69" s="16" t="str">
        <f t="shared" si="12"/>
        <v xml:space="preserve"> </v>
      </c>
      <c r="U69" s="16" t="str">
        <f t="shared" si="12"/>
        <v xml:space="preserve"> </v>
      </c>
      <c r="V69" s="16" t="str">
        <f t="shared" si="12"/>
        <v xml:space="preserve"> </v>
      </c>
      <c r="W69" s="16" t="str">
        <f t="shared" si="12"/>
        <v xml:space="preserve"> </v>
      </c>
      <c r="X69" s="16" t="str">
        <f t="shared" si="12"/>
        <v xml:space="preserve"> </v>
      </c>
      <c r="Y69" s="16" t="str">
        <f t="shared" si="12"/>
        <v xml:space="preserve"> </v>
      </c>
      <c r="Z69" s="16" t="str">
        <f t="shared" si="12"/>
        <v xml:space="preserve"> </v>
      </c>
      <c r="AA69" s="16" t="str">
        <f t="shared" si="12"/>
        <v xml:space="preserve"> </v>
      </c>
      <c r="AB69" s="16" t="str">
        <f t="shared" si="11"/>
        <v xml:space="preserve"> </v>
      </c>
      <c r="AC69" s="16" t="str">
        <f t="shared" si="11"/>
        <v xml:space="preserve"> </v>
      </c>
      <c r="AD69" s="16" t="str">
        <f t="shared" si="11"/>
        <v xml:space="preserve"> </v>
      </c>
      <c r="AE69" s="16" t="str">
        <f t="shared" si="11"/>
        <v xml:space="preserve"> </v>
      </c>
    </row>
    <row r="70" spans="1:31" ht="15" customHeight="1" thickBot="1" x14ac:dyDescent="0.35">
      <c r="A70"/>
      <c r="B70"/>
      <c r="C70"/>
      <c r="D70"/>
      <c r="E70"/>
      <c r="F70"/>
      <c r="G70" s="36" t="e">
        <f>VLOOKUP(F70,Results!$E$31:$F$50,2,FALSE)</f>
        <v>#N/A</v>
      </c>
      <c r="H70" s="38"/>
      <c r="I70" s="39"/>
      <c r="K70" s="3">
        <f t="shared" ref="K70:K133" si="13">COUNT(L70:AE70)</f>
        <v>0</v>
      </c>
      <c r="L70" s="16" t="str">
        <f t="shared" si="12"/>
        <v xml:space="preserve"> </v>
      </c>
      <c r="M70" s="16" t="str">
        <f t="shared" si="12"/>
        <v xml:space="preserve"> </v>
      </c>
      <c r="N70" s="16" t="str">
        <f t="shared" si="12"/>
        <v xml:space="preserve"> </v>
      </c>
      <c r="O70" s="16" t="str">
        <f t="shared" si="12"/>
        <v xml:space="preserve"> </v>
      </c>
      <c r="P70" s="16" t="str">
        <f t="shared" si="12"/>
        <v xml:space="preserve"> </v>
      </c>
      <c r="Q70" s="16" t="str">
        <f t="shared" si="12"/>
        <v xml:space="preserve"> </v>
      </c>
      <c r="R70" s="16" t="str">
        <f t="shared" si="12"/>
        <v xml:space="preserve"> </v>
      </c>
      <c r="S70" s="16" t="str">
        <f t="shared" si="12"/>
        <v xml:space="preserve"> </v>
      </c>
      <c r="T70" s="16" t="str">
        <f t="shared" si="12"/>
        <v xml:space="preserve"> </v>
      </c>
      <c r="U70" s="16" t="str">
        <f t="shared" si="12"/>
        <v xml:space="preserve"> </v>
      </c>
      <c r="V70" s="16" t="str">
        <f t="shared" si="12"/>
        <v xml:space="preserve"> </v>
      </c>
      <c r="W70" s="16" t="str">
        <f t="shared" si="12"/>
        <v xml:space="preserve"> </v>
      </c>
      <c r="X70" s="16" t="str">
        <f t="shared" si="12"/>
        <v xml:space="preserve"> </v>
      </c>
      <c r="Y70" s="16" t="str">
        <f t="shared" si="12"/>
        <v xml:space="preserve"> </v>
      </c>
      <c r="Z70" s="16" t="str">
        <f t="shared" si="12"/>
        <v xml:space="preserve"> </v>
      </c>
      <c r="AA70" s="16" t="str">
        <f t="shared" si="12"/>
        <v xml:space="preserve"> </v>
      </c>
      <c r="AB70" s="16" t="str">
        <f t="shared" si="11"/>
        <v xml:space="preserve"> </v>
      </c>
      <c r="AC70" s="16" t="str">
        <f t="shared" si="11"/>
        <v xml:space="preserve"> </v>
      </c>
      <c r="AD70" s="16" t="str">
        <f t="shared" si="11"/>
        <v xml:space="preserve"> </v>
      </c>
      <c r="AE70" s="16" t="str">
        <f t="shared" si="11"/>
        <v xml:space="preserve"> </v>
      </c>
    </row>
    <row r="71" spans="1:31" ht="15" customHeight="1" thickBot="1" x14ac:dyDescent="0.35">
      <c r="A71"/>
      <c r="B71"/>
      <c r="C71"/>
      <c r="D71"/>
      <c r="E71"/>
      <c r="F71"/>
      <c r="G71" s="36" t="e">
        <f>VLOOKUP(F71,Results!$E$31:$F$50,2,FALSE)</f>
        <v>#N/A</v>
      </c>
      <c r="H71" s="38"/>
      <c r="I71" s="39"/>
      <c r="K71" s="3">
        <f t="shared" si="13"/>
        <v>0</v>
      </c>
      <c r="L71" s="16" t="str">
        <f t="shared" si="12"/>
        <v xml:space="preserve"> </v>
      </c>
      <c r="M71" s="16" t="str">
        <f t="shared" si="12"/>
        <v xml:space="preserve"> </v>
      </c>
      <c r="N71" s="16" t="str">
        <f t="shared" si="12"/>
        <v xml:space="preserve"> </v>
      </c>
      <c r="O71" s="16" t="str">
        <f t="shared" si="12"/>
        <v xml:space="preserve"> </v>
      </c>
      <c r="P71" s="16" t="str">
        <f t="shared" si="12"/>
        <v xml:space="preserve"> </v>
      </c>
      <c r="Q71" s="16" t="str">
        <f t="shared" si="12"/>
        <v xml:space="preserve"> </v>
      </c>
      <c r="R71" s="16" t="str">
        <f t="shared" si="12"/>
        <v xml:space="preserve"> </v>
      </c>
      <c r="S71" s="16" t="str">
        <f t="shared" si="12"/>
        <v xml:space="preserve"> </v>
      </c>
      <c r="T71" s="16" t="str">
        <f t="shared" si="12"/>
        <v xml:space="preserve"> </v>
      </c>
      <c r="U71" s="16" t="str">
        <f t="shared" si="12"/>
        <v xml:space="preserve"> </v>
      </c>
      <c r="V71" s="16" t="str">
        <f t="shared" si="12"/>
        <v xml:space="preserve"> </v>
      </c>
      <c r="W71" s="16" t="str">
        <f t="shared" si="12"/>
        <v xml:space="preserve"> </v>
      </c>
      <c r="X71" s="16" t="str">
        <f t="shared" si="12"/>
        <v xml:space="preserve"> </v>
      </c>
      <c r="Y71" s="16" t="str">
        <f t="shared" si="12"/>
        <v xml:space="preserve"> </v>
      </c>
      <c r="Z71" s="16" t="str">
        <f t="shared" si="12"/>
        <v xml:space="preserve"> </v>
      </c>
      <c r="AA71" s="16" t="str">
        <f t="shared" si="12"/>
        <v xml:space="preserve"> </v>
      </c>
      <c r="AB71" s="16" t="str">
        <f t="shared" si="11"/>
        <v xml:space="preserve"> </v>
      </c>
      <c r="AC71" s="16" t="str">
        <f t="shared" si="11"/>
        <v xml:space="preserve"> </v>
      </c>
      <c r="AD71" s="16" t="str">
        <f t="shared" si="11"/>
        <v xml:space="preserve"> </v>
      </c>
      <c r="AE71" s="16" t="str">
        <f t="shared" si="11"/>
        <v xml:space="preserve"> </v>
      </c>
    </row>
    <row r="72" spans="1:31" ht="15" customHeight="1" thickBot="1" x14ac:dyDescent="0.35">
      <c r="A72"/>
      <c r="B72"/>
      <c r="C72"/>
      <c r="D72"/>
      <c r="E72"/>
      <c r="F72"/>
      <c r="G72" s="36" t="e">
        <f>VLOOKUP(F72,Results!$E$31:$F$50,2,FALSE)</f>
        <v>#N/A</v>
      </c>
      <c r="H72" s="38"/>
      <c r="I72" s="39"/>
      <c r="K72" s="3">
        <f t="shared" si="13"/>
        <v>0</v>
      </c>
      <c r="L72" s="16" t="str">
        <f t="shared" si="12"/>
        <v xml:space="preserve"> </v>
      </c>
      <c r="M72" s="16" t="str">
        <f t="shared" si="12"/>
        <v xml:space="preserve"> </v>
      </c>
      <c r="N72" s="16" t="str">
        <f t="shared" si="12"/>
        <v xml:space="preserve"> </v>
      </c>
      <c r="O72" s="16" t="str">
        <f t="shared" si="12"/>
        <v xml:space="preserve"> </v>
      </c>
      <c r="P72" s="16" t="str">
        <f t="shared" si="12"/>
        <v xml:space="preserve"> </v>
      </c>
      <c r="Q72" s="16" t="str">
        <f t="shared" si="12"/>
        <v xml:space="preserve"> </v>
      </c>
      <c r="R72" s="16" t="str">
        <f t="shared" si="12"/>
        <v xml:space="preserve"> </v>
      </c>
      <c r="S72" s="16" t="str">
        <f t="shared" si="12"/>
        <v xml:space="preserve"> </v>
      </c>
      <c r="T72" s="16" t="str">
        <f t="shared" si="12"/>
        <v xml:space="preserve"> </v>
      </c>
      <c r="U72" s="16" t="str">
        <f t="shared" si="12"/>
        <v xml:space="preserve"> </v>
      </c>
      <c r="V72" s="16" t="str">
        <f t="shared" si="12"/>
        <v xml:space="preserve"> </v>
      </c>
      <c r="W72" s="16" t="str">
        <f t="shared" si="12"/>
        <v xml:space="preserve"> </v>
      </c>
      <c r="X72" s="16" t="str">
        <f t="shared" si="12"/>
        <v xml:space="preserve"> </v>
      </c>
      <c r="Y72" s="16" t="str">
        <f t="shared" si="12"/>
        <v xml:space="preserve"> </v>
      </c>
      <c r="Z72" s="16" t="str">
        <f t="shared" si="12"/>
        <v xml:space="preserve"> </v>
      </c>
      <c r="AA72" s="16" t="str">
        <f t="shared" si="12"/>
        <v xml:space="preserve"> </v>
      </c>
      <c r="AB72" s="16" t="str">
        <f t="shared" si="11"/>
        <v xml:space="preserve"> </v>
      </c>
      <c r="AC72" s="16" t="str">
        <f t="shared" si="11"/>
        <v xml:space="preserve"> </v>
      </c>
      <c r="AD72" s="16" t="str">
        <f t="shared" si="11"/>
        <v xml:space="preserve"> </v>
      </c>
      <c r="AE72" s="16" t="str">
        <f t="shared" si="11"/>
        <v xml:space="preserve"> </v>
      </c>
    </row>
    <row r="73" spans="1:31" ht="15" customHeight="1" thickBot="1" x14ac:dyDescent="0.35">
      <c r="A73"/>
      <c r="B73"/>
      <c r="C73"/>
      <c r="D73"/>
      <c r="E73"/>
      <c r="F73"/>
      <c r="G73" s="36" t="e">
        <f>VLOOKUP(F73,Results!$E$31:$F$50,2,FALSE)</f>
        <v>#N/A</v>
      </c>
      <c r="H73" s="38"/>
      <c r="I73" s="39"/>
      <c r="K73" s="3">
        <f t="shared" si="13"/>
        <v>0</v>
      </c>
      <c r="L73" s="16" t="str">
        <f t="shared" si="12"/>
        <v xml:space="preserve"> </v>
      </c>
      <c r="M73" s="16" t="str">
        <f t="shared" si="12"/>
        <v xml:space="preserve"> </v>
      </c>
      <c r="N73" s="16" t="str">
        <f t="shared" si="12"/>
        <v xml:space="preserve"> </v>
      </c>
      <c r="O73" s="16" t="str">
        <f t="shared" si="12"/>
        <v xml:space="preserve"> </v>
      </c>
      <c r="P73" s="16" t="str">
        <f t="shared" si="12"/>
        <v xml:space="preserve"> </v>
      </c>
      <c r="Q73" s="16" t="str">
        <f t="shared" si="12"/>
        <v xml:space="preserve"> </v>
      </c>
      <c r="R73" s="16" t="str">
        <f t="shared" si="12"/>
        <v xml:space="preserve"> </v>
      </c>
      <c r="S73" s="16" t="str">
        <f t="shared" si="12"/>
        <v xml:space="preserve"> </v>
      </c>
      <c r="T73" s="16" t="str">
        <f t="shared" si="12"/>
        <v xml:space="preserve"> </v>
      </c>
      <c r="U73" s="16" t="str">
        <f t="shared" si="12"/>
        <v xml:space="preserve"> </v>
      </c>
      <c r="V73" s="16" t="str">
        <f t="shared" si="12"/>
        <v xml:space="preserve"> </v>
      </c>
      <c r="W73" s="16" t="str">
        <f t="shared" si="12"/>
        <v xml:space="preserve"> </v>
      </c>
      <c r="X73" s="16" t="str">
        <f t="shared" si="12"/>
        <v xml:space="preserve"> </v>
      </c>
      <c r="Y73" s="16" t="str">
        <f t="shared" si="12"/>
        <v xml:space="preserve"> </v>
      </c>
      <c r="Z73" s="16" t="str">
        <f t="shared" si="12"/>
        <v xml:space="preserve"> </v>
      </c>
      <c r="AA73" s="16" t="str">
        <f t="shared" si="12"/>
        <v xml:space="preserve"> </v>
      </c>
      <c r="AB73" s="16" t="str">
        <f t="shared" si="11"/>
        <v xml:space="preserve"> </v>
      </c>
      <c r="AC73" s="16" t="str">
        <f t="shared" si="11"/>
        <v xml:space="preserve"> </v>
      </c>
      <c r="AD73" s="16" t="str">
        <f t="shared" si="11"/>
        <v xml:space="preserve"> </v>
      </c>
      <c r="AE73" s="16" t="str">
        <f t="shared" si="11"/>
        <v xml:space="preserve"> </v>
      </c>
    </row>
    <row r="74" spans="1:31" ht="15" customHeight="1" thickBot="1" x14ac:dyDescent="0.35">
      <c r="A74"/>
      <c r="B74"/>
      <c r="C74"/>
      <c r="D74"/>
      <c r="E74"/>
      <c r="F74"/>
      <c r="G74" s="36" t="e">
        <f>VLOOKUP(F74,Results!$E$31:$F$50,2,FALSE)</f>
        <v>#N/A</v>
      </c>
      <c r="H74" s="38"/>
      <c r="I74" s="39"/>
      <c r="K74" s="3">
        <f t="shared" si="13"/>
        <v>0</v>
      </c>
      <c r="L74" s="16" t="str">
        <f t="shared" si="12"/>
        <v xml:space="preserve"> </v>
      </c>
      <c r="M74" s="16" t="str">
        <f t="shared" si="12"/>
        <v xml:space="preserve"> </v>
      </c>
      <c r="N74" s="16" t="str">
        <f t="shared" si="12"/>
        <v xml:space="preserve"> </v>
      </c>
      <c r="O74" s="16" t="str">
        <f t="shared" si="12"/>
        <v xml:space="preserve"> </v>
      </c>
      <c r="P74" s="16" t="str">
        <f t="shared" si="12"/>
        <v xml:space="preserve"> </v>
      </c>
      <c r="Q74" s="16" t="str">
        <f t="shared" si="12"/>
        <v xml:space="preserve"> </v>
      </c>
      <c r="R74" s="16" t="str">
        <f t="shared" si="12"/>
        <v xml:space="preserve"> </v>
      </c>
      <c r="S74" s="16" t="str">
        <f t="shared" si="12"/>
        <v xml:space="preserve"> </v>
      </c>
      <c r="T74" s="16" t="str">
        <f t="shared" si="12"/>
        <v xml:space="preserve"> </v>
      </c>
      <c r="U74" s="16" t="str">
        <f t="shared" si="12"/>
        <v xml:space="preserve"> </v>
      </c>
      <c r="V74" s="16" t="str">
        <f t="shared" si="12"/>
        <v xml:space="preserve"> </v>
      </c>
      <c r="W74" s="16" t="str">
        <f t="shared" si="12"/>
        <v xml:space="preserve"> </v>
      </c>
      <c r="X74" s="16" t="str">
        <f t="shared" si="12"/>
        <v xml:space="preserve"> </v>
      </c>
      <c r="Y74" s="16" t="str">
        <f t="shared" si="12"/>
        <v xml:space="preserve"> </v>
      </c>
      <c r="Z74" s="16" t="str">
        <f t="shared" si="12"/>
        <v xml:space="preserve"> </v>
      </c>
      <c r="AA74" s="16" t="str">
        <f t="shared" si="12"/>
        <v xml:space="preserve"> </v>
      </c>
      <c r="AB74" s="16" t="str">
        <f t="shared" si="11"/>
        <v xml:space="preserve"> </v>
      </c>
      <c r="AC74" s="16" t="str">
        <f t="shared" si="11"/>
        <v xml:space="preserve"> </v>
      </c>
      <c r="AD74" s="16" t="str">
        <f t="shared" si="11"/>
        <v xml:space="preserve"> </v>
      </c>
      <c r="AE74" s="16" t="str">
        <f t="shared" si="11"/>
        <v xml:space="preserve"> </v>
      </c>
    </row>
    <row r="75" spans="1:31" ht="15" customHeight="1" thickBot="1" x14ac:dyDescent="0.35">
      <c r="A75"/>
      <c r="B75"/>
      <c r="C75"/>
      <c r="D75"/>
      <c r="E75"/>
      <c r="F75"/>
      <c r="G75" s="36" t="e">
        <f>VLOOKUP(F75,Results!$E$31:$F$50,2,FALSE)</f>
        <v>#N/A</v>
      </c>
      <c r="H75" s="38"/>
      <c r="I75" s="39"/>
      <c r="K75" s="3">
        <f t="shared" si="13"/>
        <v>0</v>
      </c>
      <c r="L75" s="16" t="str">
        <f t="shared" si="12"/>
        <v xml:space="preserve"> </v>
      </c>
      <c r="M75" s="16" t="str">
        <f t="shared" si="12"/>
        <v xml:space="preserve"> </v>
      </c>
      <c r="N75" s="16" t="str">
        <f t="shared" si="12"/>
        <v xml:space="preserve"> </v>
      </c>
      <c r="O75" s="16" t="str">
        <f t="shared" si="12"/>
        <v xml:space="preserve"> </v>
      </c>
      <c r="P75" s="16" t="str">
        <f t="shared" si="12"/>
        <v xml:space="preserve"> </v>
      </c>
      <c r="Q75" s="16" t="str">
        <f t="shared" si="12"/>
        <v xml:space="preserve"> </v>
      </c>
      <c r="R75" s="16" t="str">
        <f t="shared" si="12"/>
        <v xml:space="preserve"> </v>
      </c>
      <c r="S75" s="16" t="str">
        <f t="shared" si="12"/>
        <v xml:space="preserve"> </v>
      </c>
      <c r="T75" s="16" t="str">
        <f t="shared" si="12"/>
        <v xml:space="preserve"> </v>
      </c>
      <c r="U75" s="16" t="str">
        <f t="shared" si="12"/>
        <v xml:space="preserve"> </v>
      </c>
      <c r="V75" s="16" t="str">
        <f t="shared" si="12"/>
        <v xml:space="preserve"> </v>
      </c>
      <c r="W75" s="16" t="str">
        <f t="shared" si="12"/>
        <v xml:space="preserve"> </v>
      </c>
      <c r="X75" s="16" t="str">
        <f t="shared" si="12"/>
        <v xml:space="preserve"> </v>
      </c>
      <c r="Y75" s="16" t="str">
        <f t="shared" si="12"/>
        <v xml:space="preserve"> </v>
      </c>
      <c r="Z75" s="16" t="str">
        <f t="shared" si="12"/>
        <v xml:space="preserve"> </v>
      </c>
      <c r="AA75" s="16" t="str">
        <f t="shared" si="12"/>
        <v xml:space="preserve"> </v>
      </c>
      <c r="AB75" s="16" t="str">
        <f t="shared" si="11"/>
        <v xml:space="preserve"> </v>
      </c>
      <c r="AC75" s="16" t="str">
        <f t="shared" si="11"/>
        <v xml:space="preserve"> </v>
      </c>
      <c r="AD75" s="16" t="str">
        <f t="shared" si="11"/>
        <v xml:space="preserve"> </v>
      </c>
      <c r="AE75" s="16" t="str">
        <f t="shared" si="11"/>
        <v xml:space="preserve"> </v>
      </c>
    </row>
    <row r="76" spans="1:31" ht="15" customHeight="1" thickBot="1" x14ac:dyDescent="0.35">
      <c r="A76"/>
      <c r="B76"/>
      <c r="C76"/>
      <c r="D76"/>
      <c r="E76"/>
      <c r="F76"/>
      <c r="G76" s="36" t="e">
        <f>VLOOKUP(F76,Results!$E$31:$F$50,2,FALSE)</f>
        <v>#N/A</v>
      </c>
      <c r="H76" s="38"/>
      <c r="I76" s="39"/>
      <c r="K76" s="3">
        <f t="shared" si="13"/>
        <v>0</v>
      </c>
      <c r="L76" s="16" t="str">
        <f t="shared" si="12"/>
        <v xml:space="preserve"> </v>
      </c>
      <c r="M76" s="16" t="str">
        <f t="shared" si="12"/>
        <v xml:space="preserve"> </v>
      </c>
      <c r="N76" s="16" t="str">
        <f t="shared" si="12"/>
        <v xml:space="preserve"> </v>
      </c>
      <c r="O76" s="16" t="str">
        <f t="shared" si="12"/>
        <v xml:space="preserve"> </v>
      </c>
      <c r="P76" s="16" t="str">
        <f t="shared" si="12"/>
        <v xml:space="preserve"> </v>
      </c>
      <c r="Q76" s="16" t="str">
        <f t="shared" si="12"/>
        <v xml:space="preserve"> </v>
      </c>
      <c r="R76" s="16" t="str">
        <f t="shared" si="12"/>
        <v xml:space="preserve"> </v>
      </c>
      <c r="S76" s="16" t="str">
        <f t="shared" si="12"/>
        <v xml:space="preserve"> </v>
      </c>
      <c r="T76" s="16" t="str">
        <f t="shared" si="12"/>
        <v xml:space="preserve"> </v>
      </c>
      <c r="U76" s="16" t="str">
        <f t="shared" si="12"/>
        <v xml:space="preserve"> </v>
      </c>
      <c r="V76" s="16" t="str">
        <f t="shared" si="12"/>
        <v xml:space="preserve"> </v>
      </c>
      <c r="W76" s="16" t="str">
        <f t="shared" si="12"/>
        <v xml:space="preserve"> </v>
      </c>
      <c r="X76" s="16" t="str">
        <f t="shared" si="12"/>
        <v xml:space="preserve"> </v>
      </c>
      <c r="Y76" s="16" t="str">
        <f t="shared" si="12"/>
        <v xml:space="preserve"> </v>
      </c>
      <c r="Z76" s="16" t="str">
        <f t="shared" si="12"/>
        <v xml:space="preserve"> </v>
      </c>
      <c r="AA76" s="16" t="str">
        <f t="shared" si="12"/>
        <v xml:space="preserve"> </v>
      </c>
      <c r="AB76" s="16" t="str">
        <f t="shared" si="11"/>
        <v xml:space="preserve"> </v>
      </c>
      <c r="AC76" s="16" t="str">
        <f t="shared" si="11"/>
        <v xml:space="preserve"> </v>
      </c>
      <c r="AD76" s="16" t="str">
        <f t="shared" si="11"/>
        <v xml:space="preserve"> </v>
      </c>
      <c r="AE76" s="16" t="str">
        <f t="shared" si="11"/>
        <v xml:space="preserve"> </v>
      </c>
    </row>
    <row r="77" spans="1:31" ht="15" customHeight="1" thickBot="1" x14ac:dyDescent="0.35">
      <c r="A77"/>
      <c r="B77"/>
      <c r="C77"/>
      <c r="D77"/>
      <c r="E77"/>
      <c r="F77"/>
      <c r="G77" s="36" t="e">
        <f>VLOOKUP(F77,Results!$E$31:$F$50,2,FALSE)</f>
        <v>#N/A</v>
      </c>
      <c r="H77" s="38"/>
      <c r="I77" s="39"/>
      <c r="K77" s="3">
        <f t="shared" si="13"/>
        <v>0</v>
      </c>
      <c r="L77" s="16" t="str">
        <f t="shared" si="12"/>
        <v xml:space="preserve"> </v>
      </c>
      <c r="M77" s="16" t="str">
        <f t="shared" si="12"/>
        <v xml:space="preserve"> </v>
      </c>
      <c r="N77" s="16" t="str">
        <f t="shared" si="12"/>
        <v xml:space="preserve"> </v>
      </c>
      <c r="O77" s="16" t="str">
        <f t="shared" si="12"/>
        <v xml:space="preserve"> </v>
      </c>
      <c r="P77" s="16" t="str">
        <f t="shared" si="12"/>
        <v xml:space="preserve"> </v>
      </c>
      <c r="Q77" s="16" t="str">
        <f t="shared" si="12"/>
        <v xml:space="preserve"> </v>
      </c>
      <c r="R77" s="16" t="str">
        <f t="shared" si="12"/>
        <v xml:space="preserve"> </v>
      </c>
      <c r="S77" s="16" t="str">
        <f t="shared" si="12"/>
        <v xml:space="preserve"> </v>
      </c>
      <c r="T77" s="16" t="str">
        <f t="shared" si="12"/>
        <v xml:space="preserve"> </v>
      </c>
      <c r="U77" s="16" t="str">
        <f t="shared" si="12"/>
        <v xml:space="preserve"> </v>
      </c>
      <c r="V77" s="16" t="str">
        <f t="shared" si="12"/>
        <v xml:space="preserve"> </v>
      </c>
      <c r="W77" s="16" t="str">
        <f t="shared" si="12"/>
        <v xml:space="preserve"> </v>
      </c>
      <c r="X77" s="16" t="str">
        <f t="shared" si="12"/>
        <v xml:space="preserve"> </v>
      </c>
      <c r="Y77" s="16" t="str">
        <f t="shared" si="12"/>
        <v xml:space="preserve"> </v>
      </c>
      <c r="Z77" s="16" t="str">
        <f t="shared" si="12"/>
        <v xml:space="preserve"> </v>
      </c>
      <c r="AA77" s="16" t="str">
        <f t="shared" si="12"/>
        <v xml:space="preserve"> </v>
      </c>
      <c r="AB77" s="16" t="str">
        <f t="shared" si="11"/>
        <v xml:space="preserve"> </v>
      </c>
      <c r="AC77" s="16" t="str">
        <f t="shared" si="11"/>
        <v xml:space="preserve"> </v>
      </c>
      <c r="AD77" s="16" t="str">
        <f t="shared" si="11"/>
        <v xml:space="preserve"> </v>
      </c>
      <c r="AE77" s="16" t="str">
        <f t="shared" si="11"/>
        <v xml:space="preserve"> </v>
      </c>
    </row>
    <row r="78" spans="1:31" ht="15" customHeight="1" thickBot="1" x14ac:dyDescent="0.35">
      <c r="A78"/>
      <c r="B78"/>
      <c r="C78"/>
      <c r="D78"/>
      <c r="E78"/>
      <c r="F78"/>
      <c r="G78" s="36" t="e">
        <f>VLOOKUP(F78,Results!$E$31:$F$50,2,FALSE)</f>
        <v>#N/A</v>
      </c>
      <c r="H78" s="38"/>
      <c r="I78" s="39"/>
      <c r="K78" s="3">
        <f t="shared" si="13"/>
        <v>0</v>
      </c>
      <c r="L78" s="16" t="str">
        <f t="shared" si="12"/>
        <v xml:space="preserve"> </v>
      </c>
      <c r="M78" s="16" t="str">
        <f t="shared" si="12"/>
        <v xml:space="preserve"> </v>
      </c>
      <c r="N78" s="16" t="str">
        <f t="shared" si="12"/>
        <v xml:space="preserve"> </v>
      </c>
      <c r="O78" s="16" t="str">
        <f t="shared" si="12"/>
        <v xml:space="preserve"> </v>
      </c>
      <c r="P78" s="16" t="str">
        <f t="shared" si="12"/>
        <v xml:space="preserve"> </v>
      </c>
      <c r="Q78" s="16" t="str">
        <f t="shared" si="12"/>
        <v xml:space="preserve"> </v>
      </c>
      <c r="R78" s="16" t="str">
        <f t="shared" si="12"/>
        <v xml:space="preserve"> </v>
      </c>
      <c r="S78" s="16" t="str">
        <f t="shared" si="12"/>
        <v xml:space="preserve"> </v>
      </c>
      <c r="T78" s="16" t="str">
        <f t="shared" si="12"/>
        <v xml:space="preserve"> </v>
      </c>
      <c r="U78" s="16" t="str">
        <f t="shared" si="12"/>
        <v xml:space="preserve"> </v>
      </c>
      <c r="V78" s="16" t="str">
        <f t="shared" si="12"/>
        <v xml:space="preserve"> </v>
      </c>
      <c r="W78" s="16" t="str">
        <f t="shared" si="12"/>
        <v xml:space="preserve"> </v>
      </c>
      <c r="X78" s="16" t="str">
        <f t="shared" si="12"/>
        <v xml:space="preserve"> </v>
      </c>
      <c r="Y78" s="16" t="str">
        <f t="shared" si="12"/>
        <v xml:space="preserve"> </v>
      </c>
      <c r="Z78" s="16" t="str">
        <f t="shared" si="12"/>
        <v xml:space="preserve"> </v>
      </c>
      <c r="AA78" s="16" t="str">
        <f t="shared" si="12"/>
        <v xml:space="preserve"> </v>
      </c>
      <c r="AB78" s="16" t="str">
        <f t="shared" si="11"/>
        <v xml:space="preserve"> </v>
      </c>
      <c r="AC78" s="16" t="str">
        <f t="shared" si="11"/>
        <v xml:space="preserve"> </v>
      </c>
      <c r="AD78" s="16" t="str">
        <f t="shared" si="11"/>
        <v xml:space="preserve"> </v>
      </c>
      <c r="AE78" s="16" t="str">
        <f t="shared" si="11"/>
        <v xml:space="preserve"> </v>
      </c>
    </row>
    <row r="79" spans="1:31" ht="15" customHeight="1" thickBot="1" x14ac:dyDescent="0.35">
      <c r="A79"/>
      <c r="B79"/>
      <c r="C79"/>
      <c r="D79"/>
      <c r="E79"/>
      <c r="F79"/>
      <c r="G79" s="36" t="e">
        <f>VLOOKUP(F79,Results!$E$31:$F$50,2,FALSE)</f>
        <v>#N/A</v>
      </c>
      <c r="H79" s="38"/>
      <c r="I79" s="39"/>
      <c r="K79" s="3">
        <f t="shared" si="13"/>
        <v>0</v>
      </c>
      <c r="L79" s="16" t="str">
        <f t="shared" si="12"/>
        <v xml:space="preserve"> </v>
      </c>
      <c r="M79" s="16" t="str">
        <f t="shared" si="12"/>
        <v xml:space="preserve"> </v>
      </c>
      <c r="N79" s="16" t="str">
        <f t="shared" si="12"/>
        <v xml:space="preserve"> </v>
      </c>
      <c r="O79" s="16" t="str">
        <f t="shared" si="12"/>
        <v xml:space="preserve"> </v>
      </c>
      <c r="P79" s="16" t="str">
        <f t="shared" si="12"/>
        <v xml:space="preserve"> </v>
      </c>
      <c r="Q79" s="16" t="str">
        <f t="shared" si="12"/>
        <v xml:space="preserve"> </v>
      </c>
      <c r="R79" s="16" t="str">
        <f t="shared" si="12"/>
        <v xml:space="preserve"> </v>
      </c>
      <c r="S79" s="16" t="str">
        <f t="shared" si="12"/>
        <v xml:space="preserve"> </v>
      </c>
      <c r="T79" s="16" t="str">
        <f t="shared" si="12"/>
        <v xml:space="preserve"> </v>
      </c>
      <c r="U79" s="16" t="str">
        <f t="shared" si="12"/>
        <v xml:space="preserve"> </v>
      </c>
      <c r="V79" s="16" t="str">
        <f t="shared" si="12"/>
        <v xml:space="preserve"> </v>
      </c>
      <c r="W79" s="16" t="str">
        <f t="shared" si="12"/>
        <v xml:space="preserve"> </v>
      </c>
      <c r="X79" s="16" t="str">
        <f t="shared" si="12"/>
        <v xml:space="preserve"> </v>
      </c>
      <c r="Y79" s="16" t="str">
        <f t="shared" si="12"/>
        <v xml:space="preserve"> </v>
      </c>
      <c r="Z79" s="16" t="str">
        <f t="shared" si="12"/>
        <v xml:space="preserve"> </v>
      </c>
      <c r="AA79" s="16" t="str">
        <f t="shared" si="12"/>
        <v xml:space="preserve"> </v>
      </c>
      <c r="AB79" s="16" t="str">
        <f t="shared" si="11"/>
        <v xml:space="preserve"> </v>
      </c>
      <c r="AC79" s="16" t="str">
        <f t="shared" si="11"/>
        <v xml:space="preserve"> </v>
      </c>
      <c r="AD79" s="16" t="str">
        <f t="shared" si="11"/>
        <v xml:space="preserve"> </v>
      </c>
      <c r="AE79" s="16" t="str">
        <f t="shared" si="11"/>
        <v xml:space="preserve"> </v>
      </c>
    </row>
    <row r="80" spans="1:31" ht="15" customHeight="1" thickBot="1" x14ac:dyDescent="0.35">
      <c r="A80"/>
      <c r="B80"/>
      <c r="C80"/>
      <c r="D80"/>
      <c r="E80"/>
      <c r="F80"/>
      <c r="G80" s="36" t="e">
        <f>VLOOKUP(F80,Results!$E$31:$F$50,2,FALSE)</f>
        <v>#N/A</v>
      </c>
      <c r="H80" s="38"/>
      <c r="I80" s="39"/>
      <c r="K80" s="3">
        <f t="shared" si="13"/>
        <v>0</v>
      </c>
      <c r="L80" s="16" t="str">
        <f t="shared" si="12"/>
        <v xml:space="preserve"> </v>
      </c>
      <c r="M80" s="16" t="str">
        <f t="shared" si="12"/>
        <v xml:space="preserve"> </v>
      </c>
      <c r="N80" s="16" t="str">
        <f t="shared" si="12"/>
        <v xml:space="preserve"> </v>
      </c>
      <c r="O80" s="16" t="str">
        <f t="shared" si="12"/>
        <v xml:space="preserve"> </v>
      </c>
      <c r="P80" s="16" t="str">
        <f t="shared" si="12"/>
        <v xml:space="preserve"> </v>
      </c>
      <c r="Q80" s="16" t="str">
        <f t="shared" si="12"/>
        <v xml:space="preserve"> </v>
      </c>
      <c r="R80" s="16" t="str">
        <f t="shared" si="12"/>
        <v xml:space="preserve"> </v>
      </c>
      <c r="S80" s="16" t="str">
        <f t="shared" si="12"/>
        <v xml:space="preserve"> </v>
      </c>
      <c r="T80" s="16" t="str">
        <f t="shared" si="12"/>
        <v xml:space="preserve"> </v>
      </c>
      <c r="U80" s="16" t="str">
        <f t="shared" si="12"/>
        <v xml:space="preserve"> </v>
      </c>
      <c r="V80" s="16" t="str">
        <f t="shared" si="12"/>
        <v xml:space="preserve"> </v>
      </c>
      <c r="W80" s="16" t="str">
        <f t="shared" si="12"/>
        <v xml:space="preserve"> </v>
      </c>
      <c r="X80" s="16" t="str">
        <f t="shared" si="12"/>
        <v xml:space="preserve"> </v>
      </c>
      <c r="Y80" s="16" t="str">
        <f t="shared" si="12"/>
        <v xml:space="preserve"> </v>
      </c>
      <c r="Z80" s="16" t="str">
        <f t="shared" si="12"/>
        <v xml:space="preserve"> </v>
      </c>
      <c r="AA80" s="16" t="str">
        <f t="shared" si="12"/>
        <v xml:space="preserve"> </v>
      </c>
      <c r="AB80" s="16" t="str">
        <f t="shared" si="11"/>
        <v xml:space="preserve"> </v>
      </c>
      <c r="AC80" s="16" t="str">
        <f t="shared" si="11"/>
        <v xml:space="preserve"> </v>
      </c>
      <c r="AD80" s="16" t="str">
        <f t="shared" si="11"/>
        <v xml:space="preserve"> </v>
      </c>
      <c r="AE80" s="16" t="str">
        <f t="shared" si="11"/>
        <v xml:space="preserve"> </v>
      </c>
    </row>
    <row r="81" spans="1:31" ht="15" customHeight="1" thickBot="1" x14ac:dyDescent="0.35">
      <c r="A81"/>
      <c r="B81"/>
      <c r="C81"/>
      <c r="D81"/>
      <c r="E81"/>
      <c r="F81"/>
      <c r="G81" s="36" t="e">
        <f>VLOOKUP(F81,Results!$E$31:$F$50,2,FALSE)</f>
        <v>#N/A</v>
      </c>
      <c r="H81" s="38"/>
      <c r="I81" s="39"/>
      <c r="K81" s="3">
        <f t="shared" si="13"/>
        <v>0</v>
      </c>
      <c r="L81" s="16" t="str">
        <f t="shared" si="12"/>
        <v xml:space="preserve"> </v>
      </c>
      <c r="M81" s="16" t="str">
        <f t="shared" si="12"/>
        <v xml:space="preserve"> </v>
      </c>
      <c r="N81" s="16" t="str">
        <f t="shared" si="12"/>
        <v xml:space="preserve"> </v>
      </c>
      <c r="O81" s="16" t="str">
        <f t="shared" si="12"/>
        <v xml:space="preserve"> </v>
      </c>
      <c r="P81" s="16" t="str">
        <f t="shared" si="12"/>
        <v xml:space="preserve"> </v>
      </c>
      <c r="Q81" s="16" t="str">
        <f t="shared" si="12"/>
        <v xml:space="preserve"> </v>
      </c>
      <c r="R81" s="16" t="str">
        <f t="shared" si="12"/>
        <v xml:space="preserve"> </v>
      </c>
      <c r="S81" s="16" t="str">
        <f t="shared" si="12"/>
        <v xml:space="preserve"> </v>
      </c>
      <c r="T81" s="16" t="str">
        <f t="shared" si="12"/>
        <v xml:space="preserve"> </v>
      </c>
      <c r="U81" s="16" t="str">
        <f t="shared" si="12"/>
        <v xml:space="preserve"> </v>
      </c>
      <c r="V81" s="16" t="str">
        <f t="shared" si="12"/>
        <v xml:space="preserve"> </v>
      </c>
      <c r="W81" s="16" t="str">
        <f t="shared" si="12"/>
        <v xml:space="preserve"> </v>
      </c>
      <c r="X81" s="16" t="str">
        <f t="shared" si="12"/>
        <v xml:space="preserve"> </v>
      </c>
      <c r="Y81" s="16" t="str">
        <f t="shared" si="12"/>
        <v xml:space="preserve"> </v>
      </c>
      <c r="Z81" s="16" t="str">
        <f t="shared" si="12"/>
        <v xml:space="preserve"> </v>
      </c>
      <c r="AA81" s="16" t="str">
        <f t="shared" si="12"/>
        <v xml:space="preserve"> </v>
      </c>
      <c r="AB81" s="16" t="str">
        <f t="shared" si="11"/>
        <v xml:space="preserve"> </v>
      </c>
      <c r="AC81" s="16" t="str">
        <f t="shared" si="11"/>
        <v xml:space="preserve"> </v>
      </c>
      <c r="AD81" s="16" t="str">
        <f t="shared" si="11"/>
        <v xml:space="preserve"> </v>
      </c>
      <c r="AE81" s="16" t="str">
        <f t="shared" si="11"/>
        <v xml:space="preserve"> </v>
      </c>
    </row>
    <row r="82" spans="1:31" ht="15" customHeight="1" thickBot="1" x14ac:dyDescent="0.35">
      <c r="A82"/>
      <c r="B82"/>
      <c r="C82"/>
      <c r="D82"/>
      <c r="E82"/>
      <c r="F82"/>
      <c r="G82" s="36" t="e">
        <f>VLOOKUP(F82,Results!$E$31:$F$50,2,FALSE)</f>
        <v>#N/A</v>
      </c>
      <c r="H82" s="38"/>
      <c r="I82" s="39"/>
      <c r="K82" s="3">
        <f t="shared" si="13"/>
        <v>0</v>
      </c>
      <c r="L82" s="16" t="str">
        <f t="shared" si="12"/>
        <v xml:space="preserve"> </v>
      </c>
      <c r="M82" s="16" t="str">
        <f t="shared" si="12"/>
        <v xml:space="preserve"> </v>
      </c>
      <c r="N82" s="16" t="str">
        <f t="shared" si="12"/>
        <v xml:space="preserve"> </v>
      </c>
      <c r="O82" s="16" t="str">
        <f t="shared" si="12"/>
        <v xml:space="preserve"> </v>
      </c>
      <c r="P82" s="16" t="str">
        <f t="shared" si="12"/>
        <v xml:space="preserve"> </v>
      </c>
      <c r="Q82" s="16" t="str">
        <f t="shared" si="12"/>
        <v xml:space="preserve"> </v>
      </c>
      <c r="R82" s="16" t="str">
        <f t="shared" si="12"/>
        <v xml:space="preserve"> </v>
      </c>
      <c r="S82" s="16" t="str">
        <f t="shared" si="12"/>
        <v xml:space="preserve"> </v>
      </c>
      <c r="T82" s="16" t="str">
        <f t="shared" si="12"/>
        <v xml:space="preserve"> </v>
      </c>
      <c r="U82" s="16" t="str">
        <f t="shared" si="12"/>
        <v xml:space="preserve"> </v>
      </c>
      <c r="V82" s="16" t="str">
        <f t="shared" si="12"/>
        <v xml:space="preserve"> </v>
      </c>
      <c r="W82" s="16" t="str">
        <f t="shared" si="12"/>
        <v xml:space="preserve"> </v>
      </c>
      <c r="X82" s="16" t="str">
        <f t="shared" si="12"/>
        <v xml:space="preserve"> </v>
      </c>
      <c r="Y82" s="16" t="str">
        <f t="shared" si="12"/>
        <v xml:space="preserve"> </v>
      </c>
      <c r="Z82" s="16" t="str">
        <f t="shared" si="12"/>
        <v xml:space="preserve"> </v>
      </c>
      <c r="AA82" s="16" t="str">
        <f t="shared" ref="AA82:AE97" si="14">IF($F82=COLUMN((AA:AA))-11,$E82," ")</f>
        <v xml:space="preserve"> </v>
      </c>
      <c r="AB82" s="16" t="str">
        <f t="shared" si="14"/>
        <v xml:space="preserve"> </v>
      </c>
      <c r="AC82" s="16" t="str">
        <f t="shared" si="14"/>
        <v xml:space="preserve"> </v>
      </c>
      <c r="AD82" s="16" t="str">
        <f t="shared" si="14"/>
        <v xml:space="preserve"> </v>
      </c>
      <c r="AE82" s="16" t="str">
        <f t="shared" si="14"/>
        <v xml:space="preserve"> </v>
      </c>
    </row>
    <row r="83" spans="1:31" ht="15" customHeight="1" thickBot="1" x14ac:dyDescent="0.35">
      <c r="A83"/>
      <c r="B83"/>
      <c r="C83"/>
      <c r="D83"/>
      <c r="E83"/>
      <c r="F83"/>
      <c r="G83" s="36" t="e">
        <f>VLOOKUP(F83,Results!$E$31:$F$50,2,FALSE)</f>
        <v>#N/A</v>
      </c>
      <c r="H83" s="38"/>
      <c r="I83" s="39"/>
      <c r="K83" s="3">
        <f t="shared" si="13"/>
        <v>0</v>
      </c>
      <c r="L83" s="16" t="str">
        <f t="shared" ref="L83:AA98" si="15">IF($F83=COLUMN((L:L))-11,$E83," ")</f>
        <v xml:space="preserve"> </v>
      </c>
      <c r="M83" s="16" t="str">
        <f t="shared" si="15"/>
        <v xml:space="preserve"> </v>
      </c>
      <c r="N83" s="16" t="str">
        <f t="shared" si="15"/>
        <v xml:space="preserve"> </v>
      </c>
      <c r="O83" s="16" t="str">
        <f t="shared" si="15"/>
        <v xml:space="preserve"> </v>
      </c>
      <c r="P83" s="16" t="str">
        <f t="shared" si="15"/>
        <v xml:space="preserve"> </v>
      </c>
      <c r="Q83" s="16" t="str">
        <f t="shared" si="15"/>
        <v xml:space="preserve"> </v>
      </c>
      <c r="R83" s="16" t="str">
        <f t="shared" si="15"/>
        <v xml:space="preserve"> </v>
      </c>
      <c r="S83" s="16" t="str">
        <f t="shared" si="15"/>
        <v xml:space="preserve"> </v>
      </c>
      <c r="T83" s="16" t="str">
        <f t="shared" si="15"/>
        <v xml:space="preserve"> </v>
      </c>
      <c r="U83" s="16" t="str">
        <f t="shared" si="15"/>
        <v xml:space="preserve"> </v>
      </c>
      <c r="V83" s="16" t="str">
        <f t="shared" si="15"/>
        <v xml:space="preserve"> </v>
      </c>
      <c r="W83" s="16" t="str">
        <f t="shared" si="15"/>
        <v xml:space="preserve"> </v>
      </c>
      <c r="X83" s="16" t="str">
        <f t="shared" si="15"/>
        <v xml:space="preserve"> </v>
      </c>
      <c r="Y83" s="16" t="str">
        <f t="shared" si="15"/>
        <v xml:space="preserve"> </v>
      </c>
      <c r="Z83" s="16" t="str">
        <f t="shared" si="15"/>
        <v xml:space="preserve"> </v>
      </c>
      <c r="AA83" s="16" t="str">
        <f t="shared" si="15"/>
        <v xml:space="preserve"> </v>
      </c>
      <c r="AB83" s="16" t="str">
        <f t="shared" si="14"/>
        <v xml:space="preserve"> </v>
      </c>
      <c r="AC83" s="16" t="str">
        <f t="shared" si="14"/>
        <v xml:space="preserve"> </v>
      </c>
      <c r="AD83" s="16" t="str">
        <f t="shared" si="14"/>
        <v xml:space="preserve"> </v>
      </c>
      <c r="AE83" s="16" t="str">
        <f t="shared" si="14"/>
        <v xml:space="preserve"> </v>
      </c>
    </row>
    <row r="84" spans="1:31" ht="15" customHeight="1" thickBot="1" x14ac:dyDescent="0.35">
      <c r="A84"/>
      <c r="B84"/>
      <c r="C84"/>
      <c r="D84"/>
      <c r="E84"/>
      <c r="F84"/>
      <c r="G84" s="36" t="e">
        <f>VLOOKUP(F84,Results!$E$31:$F$50,2,FALSE)</f>
        <v>#N/A</v>
      </c>
      <c r="H84" s="38"/>
      <c r="I84" s="39"/>
      <c r="K84" s="3">
        <f t="shared" si="13"/>
        <v>0</v>
      </c>
      <c r="L84" s="16" t="str">
        <f t="shared" si="15"/>
        <v xml:space="preserve"> </v>
      </c>
      <c r="M84" s="16" t="str">
        <f t="shared" si="15"/>
        <v xml:space="preserve"> </v>
      </c>
      <c r="N84" s="16" t="str">
        <f t="shared" si="15"/>
        <v xml:space="preserve"> </v>
      </c>
      <c r="O84" s="16" t="str">
        <f t="shared" si="15"/>
        <v xml:space="preserve"> </v>
      </c>
      <c r="P84" s="16" t="str">
        <f t="shared" si="15"/>
        <v xml:space="preserve"> </v>
      </c>
      <c r="Q84" s="16" t="str">
        <f t="shared" si="15"/>
        <v xml:space="preserve"> </v>
      </c>
      <c r="R84" s="16" t="str">
        <f t="shared" si="15"/>
        <v xml:space="preserve"> </v>
      </c>
      <c r="S84" s="16" t="str">
        <f t="shared" si="15"/>
        <v xml:space="preserve"> </v>
      </c>
      <c r="T84" s="16" t="str">
        <f t="shared" si="15"/>
        <v xml:space="preserve"> </v>
      </c>
      <c r="U84" s="16" t="str">
        <f t="shared" si="15"/>
        <v xml:space="preserve"> </v>
      </c>
      <c r="V84" s="16" t="str">
        <f t="shared" si="15"/>
        <v xml:space="preserve"> </v>
      </c>
      <c r="W84" s="16" t="str">
        <f t="shared" si="15"/>
        <v xml:space="preserve"> </v>
      </c>
      <c r="X84" s="16" t="str">
        <f t="shared" si="15"/>
        <v xml:space="preserve"> </v>
      </c>
      <c r="Y84" s="16" t="str">
        <f t="shared" si="15"/>
        <v xml:space="preserve"> </v>
      </c>
      <c r="Z84" s="16" t="str">
        <f t="shared" si="15"/>
        <v xml:space="preserve"> </v>
      </c>
      <c r="AA84" s="16" t="str">
        <f t="shared" si="15"/>
        <v xml:space="preserve"> </v>
      </c>
      <c r="AB84" s="16" t="str">
        <f t="shared" si="14"/>
        <v xml:space="preserve"> </v>
      </c>
      <c r="AC84" s="16" t="str">
        <f t="shared" si="14"/>
        <v xml:space="preserve"> </v>
      </c>
      <c r="AD84" s="16" t="str">
        <f t="shared" si="14"/>
        <v xml:space="preserve"> </v>
      </c>
      <c r="AE84" s="16" t="str">
        <f t="shared" si="14"/>
        <v xml:space="preserve"> </v>
      </c>
    </row>
    <row r="85" spans="1:31" ht="15" customHeight="1" thickBot="1" x14ac:dyDescent="0.35">
      <c r="A85"/>
      <c r="B85"/>
      <c r="C85"/>
      <c r="D85"/>
      <c r="E85"/>
      <c r="F85"/>
      <c r="G85" s="36" t="e">
        <f>VLOOKUP(F85,Results!$E$31:$F$50,2,FALSE)</f>
        <v>#N/A</v>
      </c>
      <c r="H85" s="38"/>
      <c r="I85" s="39"/>
      <c r="K85" s="3">
        <f t="shared" si="13"/>
        <v>0</v>
      </c>
      <c r="L85" s="16" t="str">
        <f t="shared" si="15"/>
        <v xml:space="preserve"> </v>
      </c>
      <c r="M85" s="16" t="str">
        <f t="shared" si="15"/>
        <v xml:space="preserve"> </v>
      </c>
      <c r="N85" s="16" t="str">
        <f t="shared" si="15"/>
        <v xml:space="preserve"> </v>
      </c>
      <c r="O85" s="16" t="str">
        <f t="shared" si="15"/>
        <v xml:space="preserve"> </v>
      </c>
      <c r="P85" s="16" t="str">
        <f t="shared" si="15"/>
        <v xml:space="preserve"> </v>
      </c>
      <c r="Q85" s="16" t="str">
        <f t="shared" si="15"/>
        <v xml:space="preserve"> </v>
      </c>
      <c r="R85" s="16" t="str">
        <f t="shared" si="15"/>
        <v xml:space="preserve"> </v>
      </c>
      <c r="S85" s="16" t="str">
        <f t="shared" si="15"/>
        <v xml:space="preserve"> </v>
      </c>
      <c r="T85" s="16" t="str">
        <f t="shared" si="15"/>
        <v xml:space="preserve"> </v>
      </c>
      <c r="U85" s="16" t="str">
        <f t="shared" si="15"/>
        <v xml:space="preserve"> </v>
      </c>
      <c r="V85" s="16" t="str">
        <f t="shared" si="15"/>
        <v xml:space="preserve"> </v>
      </c>
      <c r="W85" s="16" t="str">
        <f t="shared" si="15"/>
        <v xml:space="preserve"> </v>
      </c>
      <c r="X85" s="16" t="str">
        <f t="shared" si="15"/>
        <v xml:space="preserve"> </v>
      </c>
      <c r="Y85" s="16" t="str">
        <f t="shared" si="15"/>
        <v xml:space="preserve"> </v>
      </c>
      <c r="Z85" s="16" t="str">
        <f t="shared" si="15"/>
        <v xml:space="preserve"> </v>
      </c>
      <c r="AA85" s="16" t="str">
        <f t="shared" si="15"/>
        <v xml:space="preserve"> </v>
      </c>
      <c r="AB85" s="16" t="str">
        <f t="shared" si="14"/>
        <v xml:space="preserve"> </v>
      </c>
      <c r="AC85" s="16" t="str">
        <f t="shared" si="14"/>
        <v xml:space="preserve"> </v>
      </c>
      <c r="AD85" s="16" t="str">
        <f t="shared" si="14"/>
        <v xml:space="preserve"> </v>
      </c>
      <c r="AE85" s="16" t="str">
        <f t="shared" si="14"/>
        <v xml:space="preserve"> </v>
      </c>
    </row>
    <row r="86" spans="1:31" ht="15" customHeight="1" thickBot="1" x14ac:dyDescent="0.35">
      <c r="A86"/>
      <c r="B86"/>
      <c r="C86"/>
      <c r="D86"/>
      <c r="E86"/>
      <c r="F86"/>
      <c r="G86" s="36" t="e">
        <f>VLOOKUP(F86,Results!$E$31:$F$50,2,FALSE)</f>
        <v>#N/A</v>
      </c>
      <c r="H86" s="38"/>
      <c r="I86" s="39"/>
      <c r="K86" s="3">
        <f t="shared" si="13"/>
        <v>0</v>
      </c>
      <c r="L86" s="16" t="str">
        <f t="shared" si="15"/>
        <v xml:space="preserve"> </v>
      </c>
      <c r="M86" s="16" t="str">
        <f t="shared" si="15"/>
        <v xml:space="preserve"> </v>
      </c>
      <c r="N86" s="16" t="str">
        <f t="shared" si="15"/>
        <v xml:space="preserve"> </v>
      </c>
      <c r="O86" s="16" t="str">
        <f t="shared" si="15"/>
        <v xml:space="preserve"> </v>
      </c>
      <c r="P86" s="16" t="str">
        <f t="shared" si="15"/>
        <v xml:space="preserve"> </v>
      </c>
      <c r="Q86" s="16" t="str">
        <f t="shared" si="15"/>
        <v xml:space="preserve"> </v>
      </c>
      <c r="R86" s="16" t="str">
        <f t="shared" si="15"/>
        <v xml:space="preserve"> </v>
      </c>
      <c r="S86" s="16" t="str">
        <f t="shared" si="15"/>
        <v xml:space="preserve"> </v>
      </c>
      <c r="T86" s="16" t="str">
        <f t="shared" si="15"/>
        <v xml:space="preserve"> </v>
      </c>
      <c r="U86" s="16" t="str">
        <f t="shared" si="15"/>
        <v xml:space="preserve"> </v>
      </c>
      <c r="V86" s="16" t="str">
        <f t="shared" si="15"/>
        <v xml:space="preserve"> </v>
      </c>
      <c r="W86" s="16" t="str">
        <f t="shared" si="15"/>
        <v xml:space="preserve"> </v>
      </c>
      <c r="X86" s="16" t="str">
        <f t="shared" si="15"/>
        <v xml:space="preserve"> </v>
      </c>
      <c r="Y86" s="16" t="str">
        <f t="shared" si="15"/>
        <v xml:space="preserve"> </v>
      </c>
      <c r="Z86" s="16" t="str">
        <f t="shared" si="15"/>
        <v xml:space="preserve"> </v>
      </c>
      <c r="AA86" s="16" t="str">
        <f t="shared" si="15"/>
        <v xml:space="preserve"> </v>
      </c>
      <c r="AB86" s="16" t="str">
        <f t="shared" si="14"/>
        <v xml:space="preserve"> </v>
      </c>
      <c r="AC86" s="16" t="str">
        <f t="shared" si="14"/>
        <v xml:space="preserve"> </v>
      </c>
      <c r="AD86" s="16" t="str">
        <f t="shared" si="14"/>
        <v xml:space="preserve"> </v>
      </c>
      <c r="AE86" s="16" t="str">
        <f t="shared" si="14"/>
        <v xml:space="preserve"> </v>
      </c>
    </row>
    <row r="87" spans="1:31" ht="15" customHeight="1" thickBot="1" x14ac:dyDescent="0.35">
      <c r="A87"/>
      <c r="B87"/>
      <c r="C87"/>
      <c r="D87"/>
      <c r="E87"/>
      <c r="F87"/>
      <c r="G87" s="36" t="e">
        <f>VLOOKUP(F87,Results!$E$31:$F$50,2,FALSE)</f>
        <v>#N/A</v>
      </c>
      <c r="H87" s="38"/>
      <c r="I87" s="39"/>
      <c r="K87" s="3">
        <f t="shared" si="13"/>
        <v>0</v>
      </c>
      <c r="L87" s="16" t="str">
        <f t="shared" si="15"/>
        <v xml:space="preserve"> </v>
      </c>
      <c r="M87" s="16" t="str">
        <f t="shared" si="15"/>
        <v xml:space="preserve"> </v>
      </c>
      <c r="N87" s="16" t="str">
        <f t="shared" si="15"/>
        <v xml:space="preserve"> </v>
      </c>
      <c r="O87" s="16" t="str">
        <f t="shared" si="15"/>
        <v xml:space="preserve"> </v>
      </c>
      <c r="P87" s="16" t="str">
        <f t="shared" si="15"/>
        <v xml:space="preserve"> </v>
      </c>
      <c r="Q87" s="16" t="str">
        <f t="shared" si="15"/>
        <v xml:space="preserve"> </v>
      </c>
      <c r="R87" s="16" t="str">
        <f t="shared" si="15"/>
        <v xml:space="preserve"> </v>
      </c>
      <c r="S87" s="16" t="str">
        <f t="shared" si="15"/>
        <v xml:space="preserve"> </v>
      </c>
      <c r="T87" s="16" t="str">
        <f t="shared" si="15"/>
        <v xml:space="preserve"> </v>
      </c>
      <c r="U87" s="16" t="str">
        <f t="shared" si="15"/>
        <v xml:space="preserve"> </v>
      </c>
      <c r="V87" s="16" t="str">
        <f t="shared" si="15"/>
        <v xml:space="preserve"> </v>
      </c>
      <c r="W87" s="16" t="str">
        <f t="shared" si="15"/>
        <v xml:space="preserve"> </v>
      </c>
      <c r="X87" s="16" t="str">
        <f t="shared" si="15"/>
        <v xml:space="preserve"> </v>
      </c>
      <c r="Y87" s="16" t="str">
        <f t="shared" si="15"/>
        <v xml:space="preserve"> </v>
      </c>
      <c r="Z87" s="16" t="str">
        <f t="shared" si="15"/>
        <v xml:space="preserve"> </v>
      </c>
      <c r="AA87" s="16" t="str">
        <f t="shared" si="15"/>
        <v xml:space="preserve"> </v>
      </c>
      <c r="AB87" s="16" t="str">
        <f t="shared" si="14"/>
        <v xml:space="preserve"> </v>
      </c>
      <c r="AC87" s="16" t="str">
        <f t="shared" si="14"/>
        <v xml:space="preserve"> </v>
      </c>
      <c r="AD87" s="16" t="str">
        <f t="shared" si="14"/>
        <v xml:space="preserve"> </v>
      </c>
      <c r="AE87" s="16" t="str">
        <f t="shared" si="14"/>
        <v xml:space="preserve"> </v>
      </c>
    </row>
    <row r="88" spans="1:31" ht="15" customHeight="1" thickBot="1" x14ac:dyDescent="0.35">
      <c r="A88"/>
      <c r="B88"/>
      <c r="C88"/>
      <c r="D88"/>
      <c r="E88"/>
      <c r="F88"/>
      <c r="G88" s="36" t="e">
        <f>VLOOKUP(F88,Results!$E$31:$F$50,2,FALSE)</f>
        <v>#N/A</v>
      </c>
      <c r="H88" s="38"/>
      <c r="I88" s="39"/>
      <c r="K88" s="3">
        <f t="shared" si="13"/>
        <v>0</v>
      </c>
      <c r="L88" s="16" t="str">
        <f t="shared" si="15"/>
        <v xml:space="preserve"> </v>
      </c>
      <c r="M88" s="16" t="str">
        <f t="shared" si="15"/>
        <v xml:space="preserve"> </v>
      </c>
      <c r="N88" s="16" t="str">
        <f t="shared" si="15"/>
        <v xml:space="preserve"> </v>
      </c>
      <c r="O88" s="16" t="str">
        <f t="shared" si="15"/>
        <v xml:space="preserve"> </v>
      </c>
      <c r="P88" s="16" t="str">
        <f t="shared" si="15"/>
        <v xml:space="preserve"> </v>
      </c>
      <c r="Q88" s="16" t="str">
        <f t="shared" si="15"/>
        <v xml:space="preserve"> </v>
      </c>
      <c r="R88" s="16" t="str">
        <f t="shared" si="15"/>
        <v xml:space="preserve"> </v>
      </c>
      <c r="S88" s="16" t="str">
        <f t="shared" si="15"/>
        <v xml:space="preserve"> </v>
      </c>
      <c r="T88" s="16" t="str">
        <f t="shared" si="15"/>
        <v xml:space="preserve"> </v>
      </c>
      <c r="U88" s="16" t="str">
        <f t="shared" si="15"/>
        <v xml:space="preserve"> </v>
      </c>
      <c r="V88" s="16" t="str">
        <f t="shared" si="15"/>
        <v xml:space="preserve"> </v>
      </c>
      <c r="W88" s="16" t="str">
        <f t="shared" si="15"/>
        <v xml:space="preserve"> </v>
      </c>
      <c r="X88" s="16" t="str">
        <f t="shared" si="15"/>
        <v xml:space="preserve"> </v>
      </c>
      <c r="Y88" s="16" t="str">
        <f t="shared" si="15"/>
        <v xml:space="preserve"> </v>
      </c>
      <c r="Z88" s="16" t="str">
        <f t="shared" si="15"/>
        <v xml:space="preserve"> </v>
      </c>
      <c r="AA88" s="16" t="str">
        <f t="shared" si="15"/>
        <v xml:space="preserve"> </v>
      </c>
      <c r="AB88" s="16" t="str">
        <f t="shared" si="14"/>
        <v xml:space="preserve"> </v>
      </c>
      <c r="AC88" s="16" t="str">
        <f t="shared" si="14"/>
        <v xml:space="preserve"> </v>
      </c>
      <c r="AD88" s="16" t="str">
        <f t="shared" si="14"/>
        <v xml:space="preserve"> </v>
      </c>
      <c r="AE88" s="16" t="str">
        <f t="shared" si="14"/>
        <v xml:space="preserve"> </v>
      </c>
    </row>
    <row r="89" spans="1:31" ht="15" customHeight="1" thickBot="1" x14ac:dyDescent="0.35">
      <c r="A89"/>
      <c r="B89"/>
      <c r="C89"/>
      <c r="D89"/>
      <c r="E89"/>
      <c r="F89"/>
      <c r="G89" s="36" t="e">
        <f>VLOOKUP(F89,Results!$E$31:$F$50,2,FALSE)</f>
        <v>#N/A</v>
      </c>
      <c r="H89" s="38"/>
      <c r="I89" s="39"/>
      <c r="K89" s="3">
        <f t="shared" si="13"/>
        <v>0</v>
      </c>
      <c r="L89" s="16" t="str">
        <f t="shared" si="15"/>
        <v xml:space="preserve"> </v>
      </c>
      <c r="M89" s="16" t="str">
        <f t="shared" si="15"/>
        <v xml:space="preserve"> </v>
      </c>
      <c r="N89" s="16" t="str">
        <f t="shared" si="15"/>
        <v xml:space="preserve"> </v>
      </c>
      <c r="O89" s="16" t="str">
        <f t="shared" si="15"/>
        <v xml:space="preserve"> </v>
      </c>
      <c r="P89" s="16" t="str">
        <f t="shared" si="15"/>
        <v xml:space="preserve"> </v>
      </c>
      <c r="Q89" s="16" t="str">
        <f t="shared" si="15"/>
        <v xml:space="preserve"> </v>
      </c>
      <c r="R89" s="16" t="str">
        <f t="shared" si="15"/>
        <v xml:space="preserve"> </v>
      </c>
      <c r="S89" s="16" t="str">
        <f t="shared" si="15"/>
        <v xml:space="preserve"> </v>
      </c>
      <c r="T89" s="16" t="str">
        <f t="shared" si="15"/>
        <v xml:space="preserve"> </v>
      </c>
      <c r="U89" s="16" t="str">
        <f t="shared" si="15"/>
        <v xml:space="preserve"> </v>
      </c>
      <c r="V89" s="16" t="str">
        <f t="shared" si="15"/>
        <v xml:space="preserve"> </v>
      </c>
      <c r="W89" s="16" t="str">
        <f t="shared" si="15"/>
        <v xml:space="preserve"> </v>
      </c>
      <c r="X89" s="16" t="str">
        <f t="shared" si="15"/>
        <v xml:space="preserve"> </v>
      </c>
      <c r="Y89" s="16" t="str">
        <f t="shared" si="15"/>
        <v xml:space="preserve"> </v>
      </c>
      <c r="Z89" s="16" t="str">
        <f t="shared" si="15"/>
        <v xml:space="preserve"> </v>
      </c>
      <c r="AA89" s="16" t="str">
        <f t="shared" si="15"/>
        <v xml:space="preserve"> </v>
      </c>
      <c r="AB89" s="16" t="str">
        <f t="shared" si="14"/>
        <v xml:space="preserve"> </v>
      </c>
      <c r="AC89" s="16" t="str">
        <f t="shared" si="14"/>
        <v xml:space="preserve"> </v>
      </c>
      <c r="AD89" s="16" t="str">
        <f t="shared" si="14"/>
        <v xml:space="preserve"> </v>
      </c>
      <c r="AE89" s="16" t="str">
        <f t="shared" si="14"/>
        <v xml:space="preserve"> </v>
      </c>
    </row>
    <row r="90" spans="1:31" ht="15" customHeight="1" thickBot="1" x14ac:dyDescent="0.35">
      <c r="A90"/>
      <c r="B90"/>
      <c r="C90"/>
      <c r="D90"/>
      <c r="E90"/>
      <c r="F90"/>
      <c r="G90" s="36" t="e">
        <f>VLOOKUP(F90,Results!$E$31:$F$50,2,FALSE)</f>
        <v>#N/A</v>
      </c>
      <c r="H90" s="38"/>
      <c r="I90" s="39"/>
      <c r="K90" s="3">
        <f t="shared" si="13"/>
        <v>0</v>
      </c>
      <c r="L90" s="16" t="str">
        <f t="shared" si="15"/>
        <v xml:space="preserve"> </v>
      </c>
      <c r="M90" s="16" t="str">
        <f t="shared" si="15"/>
        <v xml:space="preserve"> </v>
      </c>
      <c r="N90" s="16" t="str">
        <f t="shared" si="15"/>
        <v xml:space="preserve"> </v>
      </c>
      <c r="O90" s="16" t="str">
        <f t="shared" si="15"/>
        <v xml:space="preserve"> </v>
      </c>
      <c r="P90" s="16" t="str">
        <f t="shared" si="15"/>
        <v xml:space="preserve"> </v>
      </c>
      <c r="Q90" s="16" t="str">
        <f t="shared" si="15"/>
        <v xml:space="preserve"> </v>
      </c>
      <c r="R90" s="16" t="str">
        <f t="shared" si="15"/>
        <v xml:space="preserve"> </v>
      </c>
      <c r="S90" s="16" t="str">
        <f t="shared" si="15"/>
        <v xml:space="preserve"> </v>
      </c>
      <c r="T90" s="16" t="str">
        <f t="shared" si="15"/>
        <v xml:space="preserve"> </v>
      </c>
      <c r="U90" s="16" t="str">
        <f t="shared" si="15"/>
        <v xml:space="preserve"> </v>
      </c>
      <c r="V90" s="16" t="str">
        <f t="shared" si="15"/>
        <v xml:space="preserve"> </v>
      </c>
      <c r="W90" s="16" t="str">
        <f t="shared" si="15"/>
        <v xml:space="preserve"> </v>
      </c>
      <c r="X90" s="16" t="str">
        <f t="shared" si="15"/>
        <v xml:space="preserve"> </v>
      </c>
      <c r="Y90" s="16" t="str">
        <f t="shared" si="15"/>
        <v xml:space="preserve"> </v>
      </c>
      <c r="Z90" s="16" t="str">
        <f t="shared" si="15"/>
        <v xml:space="preserve"> </v>
      </c>
      <c r="AA90" s="16" t="str">
        <f t="shared" si="15"/>
        <v xml:space="preserve"> </v>
      </c>
      <c r="AB90" s="16" t="str">
        <f t="shared" si="14"/>
        <v xml:space="preserve"> </v>
      </c>
      <c r="AC90" s="16" t="str">
        <f t="shared" si="14"/>
        <v xml:space="preserve"> </v>
      </c>
      <c r="AD90" s="16" t="str">
        <f t="shared" si="14"/>
        <v xml:space="preserve"> </v>
      </c>
      <c r="AE90" s="16" t="str">
        <f t="shared" si="14"/>
        <v xml:space="preserve"> </v>
      </c>
    </row>
    <row r="91" spans="1:31" ht="15" customHeight="1" thickBot="1" x14ac:dyDescent="0.35">
      <c r="A91"/>
      <c r="B91"/>
      <c r="C91"/>
      <c r="D91"/>
      <c r="E91"/>
      <c r="F91"/>
      <c r="G91" s="36" t="e">
        <f>VLOOKUP(F91,Results!$E$31:$F$50,2,FALSE)</f>
        <v>#N/A</v>
      </c>
      <c r="H91" s="38"/>
      <c r="I91" s="39"/>
      <c r="K91" s="3">
        <f t="shared" si="13"/>
        <v>0</v>
      </c>
      <c r="L91" s="16" t="str">
        <f t="shared" si="15"/>
        <v xml:space="preserve"> </v>
      </c>
      <c r="M91" s="16" t="str">
        <f t="shared" si="15"/>
        <v xml:space="preserve"> </v>
      </c>
      <c r="N91" s="16" t="str">
        <f t="shared" si="15"/>
        <v xml:space="preserve"> </v>
      </c>
      <c r="O91" s="16" t="str">
        <f t="shared" si="15"/>
        <v xml:space="preserve"> </v>
      </c>
      <c r="P91" s="16" t="str">
        <f t="shared" si="15"/>
        <v xml:space="preserve"> </v>
      </c>
      <c r="Q91" s="16" t="str">
        <f t="shared" si="15"/>
        <v xml:space="preserve"> </v>
      </c>
      <c r="R91" s="16" t="str">
        <f t="shared" si="15"/>
        <v xml:space="preserve"> </v>
      </c>
      <c r="S91" s="16" t="str">
        <f t="shared" si="15"/>
        <v xml:space="preserve"> </v>
      </c>
      <c r="T91" s="16" t="str">
        <f t="shared" si="15"/>
        <v xml:space="preserve"> </v>
      </c>
      <c r="U91" s="16" t="str">
        <f t="shared" si="15"/>
        <v xml:space="preserve"> </v>
      </c>
      <c r="V91" s="16" t="str">
        <f t="shared" si="15"/>
        <v xml:space="preserve"> </v>
      </c>
      <c r="W91" s="16" t="str">
        <f t="shared" si="15"/>
        <v xml:space="preserve"> </v>
      </c>
      <c r="X91" s="16" t="str">
        <f t="shared" si="15"/>
        <v xml:space="preserve"> </v>
      </c>
      <c r="Y91" s="16" t="str">
        <f t="shared" si="15"/>
        <v xml:space="preserve"> </v>
      </c>
      <c r="Z91" s="16" t="str">
        <f t="shared" si="15"/>
        <v xml:space="preserve"> </v>
      </c>
      <c r="AA91" s="16" t="str">
        <f t="shared" si="15"/>
        <v xml:space="preserve"> </v>
      </c>
      <c r="AB91" s="16" t="str">
        <f t="shared" si="14"/>
        <v xml:space="preserve"> </v>
      </c>
      <c r="AC91" s="16" t="str">
        <f t="shared" si="14"/>
        <v xml:space="preserve"> </v>
      </c>
      <c r="AD91" s="16" t="str">
        <f t="shared" si="14"/>
        <v xml:space="preserve"> </v>
      </c>
      <c r="AE91" s="16" t="str">
        <f t="shared" si="14"/>
        <v xml:space="preserve"> </v>
      </c>
    </row>
    <row r="92" spans="1:31" ht="15" customHeight="1" thickBot="1" x14ac:dyDescent="0.35">
      <c r="A92"/>
      <c r="B92"/>
      <c r="C92"/>
      <c r="D92"/>
      <c r="E92"/>
      <c r="F92"/>
      <c r="G92" s="36" t="e">
        <f>VLOOKUP(F92,Results!$E$31:$F$50,2,FALSE)</f>
        <v>#N/A</v>
      </c>
      <c r="H92" s="38"/>
      <c r="I92" s="39"/>
      <c r="K92" s="3">
        <f t="shared" si="13"/>
        <v>0</v>
      </c>
      <c r="L92" s="16" t="str">
        <f t="shared" si="15"/>
        <v xml:space="preserve"> </v>
      </c>
      <c r="M92" s="16" t="str">
        <f t="shared" si="15"/>
        <v xml:space="preserve"> </v>
      </c>
      <c r="N92" s="16" t="str">
        <f t="shared" si="15"/>
        <v xml:space="preserve"> </v>
      </c>
      <c r="O92" s="16" t="str">
        <f t="shared" si="15"/>
        <v xml:space="preserve"> </v>
      </c>
      <c r="P92" s="16" t="str">
        <f t="shared" si="15"/>
        <v xml:space="preserve"> </v>
      </c>
      <c r="Q92" s="16" t="str">
        <f t="shared" si="15"/>
        <v xml:space="preserve"> </v>
      </c>
      <c r="R92" s="16" t="str">
        <f t="shared" si="15"/>
        <v xml:space="preserve"> </v>
      </c>
      <c r="S92" s="16" t="str">
        <f t="shared" si="15"/>
        <v xml:space="preserve"> </v>
      </c>
      <c r="T92" s="16" t="str">
        <f t="shared" si="15"/>
        <v xml:space="preserve"> </v>
      </c>
      <c r="U92" s="16" t="str">
        <f t="shared" si="15"/>
        <v xml:space="preserve"> </v>
      </c>
      <c r="V92" s="16" t="str">
        <f t="shared" si="15"/>
        <v xml:space="preserve"> </v>
      </c>
      <c r="W92" s="16" t="str">
        <f t="shared" si="15"/>
        <v xml:space="preserve"> </v>
      </c>
      <c r="X92" s="16" t="str">
        <f t="shared" si="15"/>
        <v xml:space="preserve"> </v>
      </c>
      <c r="Y92" s="16" t="str">
        <f t="shared" si="15"/>
        <v xml:space="preserve"> </v>
      </c>
      <c r="Z92" s="16" t="str">
        <f t="shared" si="15"/>
        <v xml:space="preserve"> </v>
      </c>
      <c r="AA92" s="16" t="str">
        <f t="shared" si="15"/>
        <v xml:space="preserve"> </v>
      </c>
      <c r="AB92" s="16" t="str">
        <f t="shared" si="14"/>
        <v xml:space="preserve"> </v>
      </c>
      <c r="AC92" s="16" t="str">
        <f t="shared" si="14"/>
        <v xml:space="preserve"> </v>
      </c>
      <c r="AD92" s="16" t="str">
        <f t="shared" si="14"/>
        <v xml:space="preserve"> </v>
      </c>
      <c r="AE92" s="16" t="str">
        <f t="shared" si="14"/>
        <v xml:space="preserve"> </v>
      </c>
    </row>
    <row r="93" spans="1:31" ht="15" customHeight="1" thickBot="1" x14ac:dyDescent="0.35">
      <c r="A93"/>
      <c r="B93"/>
      <c r="C93"/>
      <c r="D93"/>
      <c r="E93"/>
      <c r="F93"/>
      <c r="G93" s="36" t="e">
        <f>VLOOKUP(F93,Results!$E$31:$F$50,2,FALSE)</f>
        <v>#N/A</v>
      </c>
      <c r="H93" s="38"/>
      <c r="I93" s="39"/>
      <c r="K93" s="3">
        <f t="shared" si="13"/>
        <v>0</v>
      </c>
      <c r="L93" s="16" t="str">
        <f t="shared" si="15"/>
        <v xml:space="preserve"> </v>
      </c>
      <c r="M93" s="16" t="str">
        <f t="shared" si="15"/>
        <v xml:space="preserve"> </v>
      </c>
      <c r="N93" s="16" t="str">
        <f t="shared" si="15"/>
        <v xml:space="preserve"> </v>
      </c>
      <c r="O93" s="16" t="str">
        <f t="shared" si="15"/>
        <v xml:space="preserve"> </v>
      </c>
      <c r="P93" s="16" t="str">
        <f t="shared" si="15"/>
        <v xml:space="preserve"> </v>
      </c>
      <c r="Q93" s="16" t="str">
        <f t="shared" si="15"/>
        <v xml:space="preserve"> </v>
      </c>
      <c r="R93" s="16" t="str">
        <f t="shared" si="15"/>
        <v xml:space="preserve"> </v>
      </c>
      <c r="S93" s="16" t="str">
        <f t="shared" si="15"/>
        <v xml:space="preserve"> </v>
      </c>
      <c r="T93" s="16" t="str">
        <f t="shared" si="15"/>
        <v xml:space="preserve"> </v>
      </c>
      <c r="U93" s="16" t="str">
        <f t="shared" si="15"/>
        <v xml:space="preserve"> </v>
      </c>
      <c r="V93" s="16" t="str">
        <f t="shared" si="15"/>
        <v xml:space="preserve"> </v>
      </c>
      <c r="W93" s="16" t="str">
        <f t="shared" si="15"/>
        <v xml:space="preserve"> </v>
      </c>
      <c r="X93" s="16" t="str">
        <f t="shared" si="15"/>
        <v xml:space="preserve"> </v>
      </c>
      <c r="Y93" s="16" t="str">
        <f t="shared" si="15"/>
        <v xml:space="preserve"> </v>
      </c>
      <c r="Z93" s="16" t="str">
        <f t="shared" si="15"/>
        <v xml:space="preserve"> </v>
      </c>
      <c r="AA93" s="16" t="str">
        <f t="shared" si="15"/>
        <v xml:space="preserve"> </v>
      </c>
      <c r="AB93" s="16" t="str">
        <f t="shared" si="14"/>
        <v xml:space="preserve"> </v>
      </c>
      <c r="AC93" s="16" t="str">
        <f t="shared" si="14"/>
        <v xml:space="preserve"> </v>
      </c>
      <c r="AD93" s="16" t="str">
        <f t="shared" si="14"/>
        <v xml:space="preserve"> </v>
      </c>
      <c r="AE93" s="16" t="str">
        <f t="shared" si="14"/>
        <v xml:space="preserve"> </v>
      </c>
    </row>
    <row r="94" spans="1:31" ht="15" customHeight="1" thickBot="1" x14ac:dyDescent="0.35">
      <c r="A94"/>
      <c r="B94"/>
      <c r="C94"/>
      <c r="D94"/>
      <c r="E94"/>
      <c r="F94"/>
      <c r="G94" s="36" t="e">
        <f>VLOOKUP(F94,Results!$E$31:$F$50,2,FALSE)</f>
        <v>#N/A</v>
      </c>
      <c r="H94" s="38"/>
      <c r="I94" s="39"/>
      <c r="K94" s="3">
        <f t="shared" si="13"/>
        <v>0</v>
      </c>
      <c r="L94" s="16" t="str">
        <f t="shared" si="15"/>
        <v xml:space="preserve"> </v>
      </c>
      <c r="M94" s="16" t="str">
        <f t="shared" si="15"/>
        <v xml:space="preserve"> </v>
      </c>
      <c r="N94" s="16" t="str">
        <f t="shared" si="15"/>
        <v xml:space="preserve"> </v>
      </c>
      <c r="O94" s="16" t="str">
        <f t="shared" si="15"/>
        <v xml:space="preserve"> </v>
      </c>
      <c r="P94" s="16" t="str">
        <f t="shared" si="15"/>
        <v xml:space="preserve"> </v>
      </c>
      <c r="Q94" s="16" t="str">
        <f t="shared" si="15"/>
        <v xml:space="preserve"> </v>
      </c>
      <c r="R94" s="16" t="str">
        <f t="shared" si="15"/>
        <v xml:space="preserve"> </v>
      </c>
      <c r="S94" s="16" t="str">
        <f t="shared" si="15"/>
        <v xml:space="preserve"> </v>
      </c>
      <c r="T94" s="16" t="str">
        <f t="shared" si="15"/>
        <v xml:space="preserve"> </v>
      </c>
      <c r="U94" s="16" t="str">
        <f t="shared" si="15"/>
        <v xml:space="preserve"> </v>
      </c>
      <c r="V94" s="16" t="str">
        <f t="shared" si="15"/>
        <v xml:space="preserve"> </v>
      </c>
      <c r="W94" s="16" t="str">
        <f t="shared" si="15"/>
        <v xml:space="preserve"> </v>
      </c>
      <c r="X94" s="16" t="str">
        <f t="shared" si="15"/>
        <v xml:space="preserve"> </v>
      </c>
      <c r="Y94" s="16" t="str">
        <f t="shared" si="15"/>
        <v xml:space="preserve"> </v>
      </c>
      <c r="Z94" s="16" t="str">
        <f t="shared" si="15"/>
        <v xml:space="preserve"> </v>
      </c>
      <c r="AA94" s="16" t="str">
        <f t="shared" si="15"/>
        <v xml:space="preserve"> </v>
      </c>
      <c r="AB94" s="16" t="str">
        <f t="shared" si="14"/>
        <v xml:space="preserve"> </v>
      </c>
      <c r="AC94" s="16" t="str">
        <f t="shared" si="14"/>
        <v xml:space="preserve"> </v>
      </c>
      <c r="AD94" s="16" t="str">
        <f t="shared" si="14"/>
        <v xml:space="preserve"> </v>
      </c>
      <c r="AE94" s="16" t="str">
        <f t="shared" si="14"/>
        <v xml:space="preserve"> </v>
      </c>
    </row>
    <row r="95" spans="1:31" ht="15" customHeight="1" thickBot="1" x14ac:dyDescent="0.35">
      <c r="A95"/>
      <c r="B95"/>
      <c r="C95"/>
      <c r="D95"/>
      <c r="E95"/>
      <c r="F95"/>
      <c r="G95" s="36" t="e">
        <f>VLOOKUP(F95,Results!$E$31:$F$50,2,FALSE)</f>
        <v>#N/A</v>
      </c>
      <c r="H95" s="38"/>
      <c r="I95" s="39"/>
      <c r="K95" s="3">
        <f t="shared" si="13"/>
        <v>0</v>
      </c>
      <c r="L95" s="16" t="str">
        <f t="shared" si="15"/>
        <v xml:space="preserve"> </v>
      </c>
      <c r="M95" s="16" t="str">
        <f t="shared" si="15"/>
        <v xml:space="preserve"> </v>
      </c>
      <c r="N95" s="16" t="str">
        <f t="shared" si="15"/>
        <v xml:space="preserve"> </v>
      </c>
      <c r="O95" s="16" t="str">
        <f t="shared" si="15"/>
        <v xml:space="preserve"> </v>
      </c>
      <c r="P95" s="16" t="str">
        <f t="shared" si="15"/>
        <v xml:space="preserve"> </v>
      </c>
      <c r="Q95" s="16" t="str">
        <f t="shared" si="15"/>
        <v xml:space="preserve"> </v>
      </c>
      <c r="R95" s="16" t="str">
        <f t="shared" si="15"/>
        <v xml:space="preserve"> </v>
      </c>
      <c r="S95" s="16" t="str">
        <f t="shared" si="15"/>
        <v xml:space="preserve"> </v>
      </c>
      <c r="T95" s="16" t="str">
        <f t="shared" si="15"/>
        <v xml:space="preserve"> </v>
      </c>
      <c r="U95" s="16" t="str">
        <f t="shared" si="15"/>
        <v xml:space="preserve"> </v>
      </c>
      <c r="V95" s="16" t="str">
        <f t="shared" si="15"/>
        <v xml:space="preserve"> </v>
      </c>
      <c r="W95" s="16" t="str">
        <f t="shared" si="15"/>
        <v xml:space="preserve"> </v>
      </c>
      <c r="X95" s="16" t="str">
        <f t="shared" si="15"/>
        <v xml:space="preserve"> </v>
      </c>
      <c r="Y95" s="16" t="str">
        <f t="shared" si="15"/>
        <v xml:space="preserve"> </v>
      </c>
      <c r="Z95" s="16" t="str">
        <f t="shared" si="15"/>
        <v xml:space="preserve"> </v>
      </c>
      <c r="AA95" s="16" t="str">
        <f t="shared" si="15"/>
        <v xml:space="preserve"> </v>
      </c>
      <c r="AB95" s="16" t="str">
        <f t="shared" si="14"/>
        <v xml:space="preserve"> </v>
      </c>
      <c r="AC95" s="16" t="str">
        <f t="shared" si="14"/>
        <v xml:space="preserve"> </v>
      </c>
      <c r="AD95" s="16" t="str">
        <f t="shared" si="14"/>
        <v xml:space="preserve"> </v>
      </c>
      <c r="AE95" s="16" t="str">
        <f t="shared" si="14"/>
        <v xml:space="preserve"> </v>
      </c>
    </row>
    <row r="96" spans="1:31" ht="15" customHeight="1" thickBot="1" x14ac:dyDescent="0.35">
      <c r="A96"/>
      <c r="B96"/>
      <c r="C96"/>
      <c r="D96"/>
      <c r="E96"/>
      <c r="F96"/>
      <c r="G96" s="36" t="e">
        <f>VLOOKUP(F96,Results!$E$31:$F$50,2,FALSE)</f>
        <v>#N/A</v>
      </c>
      <c r="H96" s="38"/>
      <c r="I96" s="39"/>
      <c r="K96" s="3">
        <f t="shared" si="13"/>
        <v>0</v>
      </c>
      <c r="L96" s="16" t="str">
        <f t="shared" si="15"/>
        <v xml:space="preserve"> </v>
      </c>
      <c r="M96" s="16" t="str">
        <f t="shared" si="15"/>
        <v xml:space="preserve"> </v>
      </c>
      <c r="N96" s="16" t="str">
        <f t="shared" si="15"/>
        <v xml:space="preserve"> </v>
      </c>
      <c r="O96" s="16" t="str">
        <f t="shared" si="15"/>
        <v xml:space="preserve"> </v>
      </c>
      <c r="P96" s="16" t="str">
        <f t="shared" si="15"/>
        <v xml:space="preserve"> </v>
      </c>
      <c r="Q96" s="16" t="str">
        <f t="shared" si="15"/>
        <v xml:space="preserve"> </v>
      </c>
      <c r="R96" s="16" t="str">
        <f t="shared" si="15"/>
        <v xml:space="preserve"> </v>
      </c>
      <c r="S96" s="16" t="str">
        <f t="shared" si="15"/>
        <v xml:space="preserve"> </v>
      </c>
      <c r="T96" s="16" t="str">
        <f t="shared" si="15"/>
        <v xml:space="preserve"> </v>
      </c>
      <c r="U96" s="16" t="str">
        <f t="shared" si="15"/>
        <v xml:space="preserve"> </v>
      </c>
      <c r="V96" s="16" t="str">
        <f t="shared" si="15"/>
        <v xml:space="preserve"> </v>
      </c>
      <c r="W96" s="16" t="str">
        <f t="shared" si="15"/>
        <v xml:space="preserve"> </v>
      </c>
      <c r="X96" s="16" t="str">
        <f t="shared" si="15"/>
        <v xml:space="preserve"> </v>
      </c>
      <c r="Y96" s="16" t="str">
        <f t="shared" si="15"/>
        <v xml:space="preserve"> </v>
      </c>
      <c r="Z96" s="16" t="str">
        <f t="shared" si="15"/>
        <v xml:space="preserve"> </v>
      </c>
      <c r="AA96" s="16" t="str">
        <f t="shared" si="15"/>
        <v xml:space="preserve"> </v>
      </c>
      <c r="AB96" s="16" t="str">
        <f t="shared" si="14"/>
        <v xml:space="preserve"> </v>
      </c>
      <c r="AC96" s="16" t="str">
        <f t="shared" si="14"/>
        <v xml:space="preserve"> </v>
      </c>
      <c r="AD96" s="16" t="str">
        <f t="shared" si="14"/>
        <v xml:space="preserve"> </v>
      </c>
      <c r="AE96" s="16" t="str">
        <f t="shared" si="14"/>
        <v xml:space="preserve"> </v>
      </c>
    </row>
    <row r="97" spans="1:31" ht="15" customHeight="1" thickBot="1" x14ac:dyDescent="0.35">
      <c r="A97"/>
      <c r="B97"/>
      <c r="C97"/>
      <c r="D97"/>
      <c r="E97"/>
      <c r="F97"/>
      <c r="G97" s="36" t="e">
        <f>VLOOKUP(F97,Results!$E$31:$F$50,2,FALSE)</f>
        <v>#N/A</v>
      </c>
      <c r="H97" s="38"/>
      <c r="I97" s="39"/>
      <c r="K97" s="3">
        <f t="shared" si="13"/>
        <v>0</v>
      </c>
      <c r="L97" s="16" t="str">
        <f t="shared" si="15"/>
        <v xml:space="preserve"> </v>
      </c>
      <c r="M97" s="16" t="str">
        <f t="shared" si="15"/>
        <v xml:space="preserve"> </v>
      </c>
      <c r="N97" s="16" t="str">
        <f t="shared" si="15"/>
        <v xml:space="preserve"> </v>
      </c>
      <c r="O97" s="16" t="str">
        <f t="shared" si="15"/>
        <v xml:space="preserve"> </v>
      </c>
      <c r="P97" s="16" t="str">
        <f t="shared" si="15"/>
        <v xml:space="preserve"> </v>
      </c>
      <c r="Q97" s="16" t="str">
        <f t="shared" si="15"/>
        <v xml:space="preserve"> </v>
      </c>
      <c r="R97" s="16" t="str">
        <f t="shared" si="15"/>
        <v xml:space="preserve"> </v>
      </c>
      <c r="S97" s="16" t="str">
        <f t="shared" si="15"/>
        <v xml:space="preserve"> </v>
      </c>
      <c r="T97" s="16" t="str">
        <f t="shared" si="15"/>
        <v xml:space="preserve"> </v>
      </c>
      <c r="U97" s="16" t="str">
        <f t="shared" si="15"/>
        <v xml:space="preserve"> </v>
      </c>
      <c r="V97" s="16" t="str">
        <f t="shared" si="15"/>
        <v xml:space="preserve"> </v>
      </c>
      <c r="W97" s="16" t="str">
        <f t="shared" si="15"/>
        <v xml:space="preserve"> </v>
      </c>
      <c r="X97" s="16" t="str">
        <f t="shared" si="15"/>
        <v xml:space="preserve"> </v>
      </c>
      <c r="Y97" s="16" t="str">
        <f t="shared" si="15"/>
        <v xml:space="preserve"> </v>
      </c>
      <c r="Z97" s="16" t="str">
        <f t="shared" si="15"/>
        <v xml:space="preserve"> </v>
      </c>
      <c r="AA97" s="16" t="str">
        <f t="shared" si="15"/>
        <v xml:space="preserve"> </v>
      </c>
      <c r="AB97" s="16" t="str">
        <f t="shared" si="14"/>
        <v xml:space="preserve"> </v>
      </c>
      <c r="AC97" s="16" t="str">
        <f t="shared" si="14"/>
        <v xml:space="preserve"> </v>
      </c>
      <c r="AD97" s="16" t="str">
        <f t="shared" si="14"/>
        <v xml:space="preserve"> </v>
      </c>
      <c r="AE97" s="16" t="str">
        <f t="shared" si="14"/>
        <v xml:space="preserve"> </v>
      </c>
    </row>
    <row r="98" spans="1:31" ht="15" customHeight="1" thickBot="1" x14ac:dyDescent="0.35">
      <c r="A98"/>
      <c r="B98"/>
      <c r="C98"/>
      <c r="D98"/>
      <c r="E98"/>
      <c r="F98"/>
      <c r="G98" s="36" t="e">
        <f>VLOOKUP(F98,Results!$E$31:$F$50,2,FALSE)</f>
        <v>#N/A</v>
      </c>
      <c r="H98" s="38"/>
      <c r="I98" s="39"/>
      <c r="K98" s="3">
        <f t="shared" si="13"/>
        <v>0</v>
      </c>
      <c r="L98" s="16" t="str">
        <f t="shared" si="15"/>
        <v xml:space="preserve"> </v>
      </c>
      <c r="M98" s="16" t="str">
        <f t="shared" si="15"/>
        <v xml:space="preserve"> </v>
      </c>
      <c r="N98" s="16" t="str">
        <f t="shared" si="15"/>
        <v xml:space="preserve"> </v>
      </c>
      <c r="O98" s="16" t="str">
        <f t="shared" si="15"/>
        <v xml:space="preserve"> </v>
      </c>
      <c r="P98" s="16" t="str">
        <f t="shared" si="15"/>
        <v xml:space="preserve"> </v>
      </c>
      <c r="Q98" s="16" t="str">
        <f t="shared" si="15"/>
        <v xml:space="preserve"> </v>
      </c>
      <c r="R98" s="16" t="str">
        <f t="shared" si="15"/>
        <v xml:space="preserve"> </v>
      </c>
      <c r="S98" s="16" t="str">
        <f t="shared" si="15"/>
        <v xml:space="preserve"> </v>
      </c>
      <c r="T98" s="16" t="str">
        <f t="shared" si="15"/>
        <v xml:space="preserve"> </v>
      </c>
      <c r="U98" s="16" t="str">
        <f t="shared" si="15"/>
        <v xml:space="preserve"> </v>
      </c>
      <c r="V98" s="16" t="str">
        <f t="shared" si="15"/>
        <v xml:space="preserve"> </v>
      </c>
      <c r="W98" s="16" t="str">
        <f t="shared" si="15"/>
        <v xml:space="preserve"> </v>
      </c>
      <c r="X98" s="16" t="str">
        <f t="shared" si="15"/>
        <v xml:space="preserve"> </v>
      </c>
      <c r="Y98" s="16" t="str">
        <f t="shared" si="15"/>
        <v xml:space="preserve"> </v>
      </c>
      <c r="Z98" s="16" t="str">
        <f t="shared" si="15"/>
        <v xml:space="preserve"> </v>
      </c>
      <c r="AA98" s="16" t="str">
        <f t="shared" ref="AA98:AE113" si="16">IF($F98=COLUMN((AA:AA))-11,$E98," ")</f>
        <v xml:space="preserve"> </v>
      </c>
      <c r="AB98" s="16" t="str">
        <f t="shared" si="16"/>
        <v xml:space="preserve"> </v>
      </c>
      <c r="AC98" s="16" t="str">
        <f t="shared" si="16"/>
        <v xml:space="preserve"> </v>
      </c>
      <c r="AD98" s="16" t="str">
        <f t="shared" si="16"/>
        <v xml:space="preserve"> </v>
      </c>
      <c r="AE98" s="16" t="str">
        <f t="shared" si="16"/>
        <v xml:space="preserve"> </v>
      </c>
    </row>
    <row r="99" spans="1:31" ht="15" customHeight="1" thickBot="1" x14ac:dyDescent="0.35">
      <c r="A99"/>
      <c r="B99"/>
      <c r="C99"/>
      <c r="D99"/>
      <c r="E99"/>
      <c r="F99"/>
      <c r="G99" s="36" t="e">
        <f>VLOOKUP(F99,Results!$E$31:$F$50,2,FALSE)</f>
        <v>#N/A</v>
      </c>
      <c r="H99" s="38"/>
      <c r="I99" s="39"/>
      <c r="K99" s="3">
        <f t="shared" si="13"/>
        <v>0</v>
      </c>
      <c r="L99" s="16" t="str">
        <f t="shared" ref="L99:AA114" si="17">IF($F99=COLUMN((L:L))-11,$E99," ")</f>
        <v xml:space="preserve"> </v>
      </c>
      <c r="M99" s="16" t="str">
        <f t="shared" si="17"/>
        <v xml:space="preserve"> </v>
      </c>
      <c r="N99" s="16" t="str">
        <f t="shared" si="17"/>
        <v xml:space="preserve"> </v>
      </c>
      <c r="O99" s="16" t="str">
        <f t="shared" si="17"/>
        <v xml:space="preserve"> </v>
      </c>
      <c r="P99" s="16" t="str">
        <f t="shared" si="17"/>
        <v xml:space="preserve"> </v>
      </c>
      <c r="Q99" s="16" t="str">
        <f t="shared" si="17"/>
        <v xml:space="preserve"> </v>
      </c>
      <c r="R99" s="16" t="str">
        <f t="shared" si="17"/>
        <v xml:space="preserve"> </v>
      </c>
      <c r="S99" s="16" t="str">
        <f t="shared" si="17"/>
        <v xml:space="preserve"> </v>
      </c>
      <c r="T99" s="16" t="str">
        <f t="shared" si="17"/>
        <v xml:space="preserve"> </v>
      </c>
      <c r="U99" s="16" t="str">
        <f t="shared" si="17"/>
        <v xml:space="preserve"> </v>
      </c>
      <c r="V99" s="16" t="str">
        <f t="shared" si="17"/>
        <v xml:space="preserve"> </v>
      </c>
      <c r="W99" s="16" t="str">
        <f t="shared" si="17"/>
        <v xml:space="preserve"> </v>
      </c>
      <c r="X99" s="16" t="str">
        <f t="shared" si="17"/>
        <v xml:space="preserve"> </v>
      </c>
      <c r="Y99" s="16" t="str">
        <f t="shared" si="17"/>
        <v xml:space="preserve"> </v>
      </c>
      <c r="Z99" s="16" t="str">
        <f t="shared" si="17"/>
        <v xml:space="preserve"> </v>
      </c>
      <c r="AA99" s="16" t="str">
        <f t="shared" si="17"/>
        <v xml:space="preserve"> </v>
      </c>
      <c r="AB99" s="16" t="str">
        <f t="shared" si="16"/>
        <v xml:space="preserve"> </v>
      </c>
      <c r="AC99" s="16" t="str">
        <f t="shared" si="16"/>
        <v xml:space="preserve"> </v>
      </c>
      <c r="AD99" s="16" t="str">
        <f t="shared" si="16"/>
        <v xml:space="preserve"> </v>
      </c>
      <c r="AE99" s="16" t="str">
        <f t="shared" si="16"/>
        <v xml:space="preserve"> </v>
      </c>
    </row>
    <row r="100" spans="1:31" ht="15" customHeight="1" thickBot="1" x14ac:dyDescent="0.35">
      <c r="A100"/>
      <c r="B100"/>
      <c r="C100"/>
      <c r="D100"/>
      <c r="E100"/>
      <c r="F100"/>
      <c r="G100" s="36" t="e">
        <f>VLOOKUP(F100,Results!$E$31:$F$50,2,FALSE)</f>
        <v>#N/A</v>
      </c>
      <c r="H100" s="38"/>
      <c r="I100" s="39"/>
      <c r="K100" s="3">
        <f t="shared" si="13"/>
        <v>0</v>
      </c>
      <c r="L100" s="16" t="str">
        <f t="shared" si="17"/>
        <v xml:space="preserve"> </v>
      </c>
      <c r="M100" s="16" t="str">
        <f t="shared" si="17"/>
        <v xml:space="preserve"> </v>
      </c>
      <c r="N100" s="16" t="str">
        <f t="shared" si="17"/>
        <v xml:space="preserve"> </v>
      </c>
      <c r="O100" s="16" t="str">
        <f t="shared" si="17"/>
        <v xml:space="preserve"> </v>
      </c>
      <c r="P100" s="16" t="str">
        <f t="shared" si="17"/>
        <v xml:space="preserve"> </v>
      </c>
      <c r="Q100" s="16" t="str">
        <f t="shared" si="17"/>
        <v xml:space="preserve"> </v>
      </c>
      <c r="R100" s="16" t="str">
        <f t="shared" si="17"/>
        <v xml:space="preserve"> </v>
      </c>
      <c r="S100" s="16" t="str">
        <f t="shared" si="17"/>
        <v xml:space="preserve"> </v>
      </c>
      <c r="T100" s="16" t="str">
        <f t="shared" si="17"/>
        <v xml:space="preserve"> </v>
      </c>
      <c r="U100" s="16" t="str">
        <f t="shared" si="17"/>
        <v xml:space="preserve"> </v>
      </c>
      <c r="V100" s="16" t="str">
        <f t="shared" si="17"/>
        <v xml:space="preserve"> </v>
      </c>
      <c r="W100" s="16" t="str">
        <f t="shared" si="17"/>
        <v xml:space="preserve"> </v>
      </c>
      <c r="X100" s="16" t="str">
        <f t="shared" si="17"/>
        <v xml:space="preserve"> </v>
      </c>
      <c r="Y100" s="16" t="str">
        <f t="shared" si="17"/>
        <v xml:space="preserve"> </v>
      </c>
      <c r="Z100" s="16" t="str">
        <f t="shared" si="17"/>
        <v xml:space="preserve"> </v>
      </c>
      <c r="AA100" s="16" t="str">
        <f t="shared" si="17"/>
        <v xml:space="preserve"> </v>
      </c>
      <c r="AB100" s="16" t="str">
        <f t="shared" si="16"/>
        <v xml:space="preserve"> </v>
      </c>
      <c r="AC100" s="16" t="str">
        <f t="shared" si="16"/>
        <v xml:space="preserve"> </v>
      </c>
      <c r="AD100" s="16" t="str">
        <f t="shared" si="16"/>
        <v xml:space="preserve"> </v>
      </c>
      <c r="AE100" s="16" t="str">
        <f t="shared" si="16"/>
        <v xml:space="preserve"> </v>
      </c>
    </row>
    <row r="101" spans="1:31" ht="15" customHeight="1" thickBot="1" x14ac:dyDescent="0.35">
      <c r="A101"/>
      <c r="B101"/>
      <c r="C101"/>
      <c r="D101"/>
      <c r="E101"/>
      <c r="F101"/>
      <c r="G101" s="36" t="e">
        <f>VLOOKUP(F101,Results!$E$31:$F$50,2,FALSE)</f>
        <v>#N/A</v>
      </c>
      <c r="H101" s="38"/>
      <c r="I101" s="39"/>
      <c r="K101" s="3">
        <f t="shared" si="13"/>
        <v>0</v>
      </c>
      <c r="L101" s="16" t="str">
        <f t="shared" si="17"/>
        <v xml:space="preserve"> </v>
      </c>
      <c r="M101" s="16" t="str">
        <f t="shared" si="17"/>
        <v xml:space="preserve"> </v>
      </c>
      <c r="N101" s="16" t="str">
        <f t="shared" si="17"/>
        <v xml:space="preserve"> </v>
      </c>
      <c r="O101" s="16" t="str">
        <f t="shared" si="17"/>
        <v xml:space="preserve"> </v>
      </c>
      <c r="P101" s="16" t="str">
        <f t="shared" si="17"/>
        <v xml:space="preserve"> </v>
      </c>
      <c r="Q101" s="16" t="str">
        <f t="shared" si="17"/>
        <v xml:space="preserve"> </v>
      </c>
      <c r="R101" s="16" t="str">
        <f t="shared" si="17"/>
        <v xml:space="preserve"> </v>
      </c>
      <c r="S101" s="16" t="str">
        <f t="shared" si="17"/>
        <v xml:space="preserve"> </v>
      </c>
      <c r="T101" s="16" t="str">
        <f t="shared" si="17"/>
        <v xml:space="preserve"> </v>
      </c>
      <c r="U101" s="16" t="str">
        <f t="shared" si="17"/>
        <v xml:space="preserve"> </v>
      </c>
      <c r="V101" s="16" t="str">
        <f t="shared" si="17"/>
        <v xml:space="preserve"> </v>
      </c>
      <c r="W101" s="16" t="str">
        <f t="shared" si="17"/>
        <v xml:space="preserve"> </v>
      </c>
      <c r="X101" s="16" t="str">
        <f t="shared" si="17"/>
        <v xml:space="preserve"> </v>
      </c>
      <c r="Y101" s="16" t="str">
        <f t="shared" si="17"/>
        <v xml:space="preserve"> </v>
      </c>
      <c r="Z101" s="16" t="str">
        <f t="shared" si="17"/>
        <v xml:space="preserve"> </v>
      </c>
      <c r="AA101" s="16" t="str">
        <f t="shared" si="17"/>
        <v xml:space="preserve"> </v>
      </c>
      <c r="AB101" s="16" t="str">
        <f t="shared" si="16"/>
        <v xml:space="preserve"> </v>
      </c>
      <c r="AC101" s="16" t="str">
        <f t="shared" si="16"/>
        <v xml:space="preserve"> </v>
      </c>
      <c r="AD101" s="16" t="str">
        <f t="shared" si="16"/>
        <v xml:space="preserve"> </v>
      </c>
      <c r="AE101" s="16" t="str">
        <f t="shared" si="16"/>
        <v xml:space="preserve"> </v>
      </c>
    </row>
    <row r="102" spans="1:31" ht="15" customHeight="1" thickBot="1" x14ac:dyDescent="0.35">
      <c r="A102"/>
      <c r="B102"/>
      <c r="C102"/>
      <c r="D102"/>
      <c r="E102"/>
      <c r="F102"/>
      <c r="G102" s="36" t="e">
        <f>VLOOKUP(F102,Results!$E$31:$F$50,2,FALSE)</f>
        <v>#N/A</v>
      </c>
      <c r="H102" s="38"/>
      <c r="I102" s="39"/>
      <c r="K102" s="3">
        <f t="shared" si="13"/>
        <v>0</v>
      </c>
      <c r="L102" s="16" t="str">
        <f t="shared" si="17"/>
        <v xml:space="preserve"> </v>
      </c>
      <c r="M102" s="16" t="str">
        <f t="shared" si="17"/>
        <v xml:space="preserve"> </v>
      </c>
      <c r="N102" s="16" t="str">
        <f t="shared" si="17"/>
        <v xml:space="preserve"> </v>
      </c>
      <c r="O102" s="16" t="str">
        <f t="shared" si="17"/>
        <v xml:space="preserve"> </v>
      </c>
      <c r="P102" s="16" t="str">
        <f t="shared" si="17"/>
        <v xml:space="preserve"> </v>
      </c>
      <c r="Q102" s="16" t="str">
        <f t="shared" si="17"/>
        <v xml:space="preserve"> </v>
      </c>
      <c r="R102" s="16" t="str">
        <f t="shared" si="17"/>
        <v xml:space="preserve"> </v>
      </c>
      <c r="S102" s="16" t="str">
        <f t="shared" si="17"/>
        <v xml:space="preserve"> </v>
      </c>
      <c r="T102" s="16" t="str">
        <f t="shared" si="17"/>
        <v xml:space="preserve"> </v>
      </c>
      <c r="U102" s="16" t="str">
        <f t="shared" si="17"/>
        <v xml:space="preserve"> </v>
      </c>
      <c r="V102" s="16" t="str">
        <f t="shared" si="17"/>
        <v xml:space="preserve"> </v>
      </c>
      <c r="W102" s="16" t="str">
        <f t="shared" si="17"/>
        <v xml:space="preserve"> </v>
      </c>
      <c r="X102" s="16" t="str">
        <f t="shared" si="17"/>
        <v xml:space="preserve"> </v>
      </c>
      <c r="Y102" s="16" t="str">
        <f t="shared" si="17"/>
        <v xml:space="preserve"> </v>
      </c>
      <c r="Z102" s="16" t="str">
        <f t="shared" si="17"/>
        <v xml:space="preserve"> </v>
      </c>
      <c r="AA102" s="16" t="str">
        <f t="shared" si="17"/>
        <v xml:space="preserve"> </v>
      </c>
      <c r="AB102" s="16" t="str">
        <f t="shared" si="16"/>
        <v xml:space="preserve"> </v>
      </c>
      <c r="AC102" s="16" t="str">
        <f t="shared" si="16"/>
        <v xml:space="preserve"> </v>
      </c>
      <c r="AD102" s="16" t="str">
        <f t="shared" si="16"/>
        <v xml:space="preserve"> </v>
      </c>
      <c r="AE102" s="16" t="str">
        <f t="shared" si="16"/>
        <v xml:space="preserve"> </v>
      </c>
    </row>
    <row r="103" spans="1:31" ht="15" customHeight="1" thickBot="1" x14ac:dyDescent="0.35">
      <c r="A103"/>
      <c r="B103"/>
      <c r="C103"/>
      <c r="D103"/>
      <c r="E103"/>
      <c r="F103"/>
      <c r="G103" s="36" t="e">
        <f>VLOOKUP(F103,Results!$E$31:$F$50,2,FALSE)</f>
        <v>#N/A</v>
      </c>
      <c r="H103" s="38"/>
      <c r="I103" s="39"/>
      <c r="K103" s="3">
        <f t="shared" si="13"/>
        <v>0</v>
      </c>
      <c r="L103" s="16" t="str">
        <f t="shared" si="17"/>
        <v xml:space="preserve"> </v>
      </c>
      <c r="M103" s="16" t="str">
        <f t="shared" si="17"/>
        <v xml:space="preserve"> </v>
      </c>
      <c r="N103" s="16" t="str">
        <f t="shared" si="17"/>
        <v xml:space="preserve"> </v>
      </c>
      <c r="O103" s="16" t="str">
        <f t="shared" si="17"/>
        <v xml:space="preserve"> </v>
      </c>
      <c r="P103" s="16" t="str">
        <f t="shared" si="17"/>
        <v xml:space="preserve"> </v>
      </c>
      <c r="Q103" s="16" t="str">
        <f t="shared" si="17"/>
        <v xml:space="preserve"> </v>
      </c>
      <c r="R103" s="16" t="str">
        <f t="shared" si="17"/>
        <v xml:space="preserve"> </v>
      </c>
      <c r="S103" s="16" t="str">
        <f t="shared" si="17"/>
        <v xml:space="preserve"> </v>
      </c>
      <c r="T103" s="16" t="str">
        <f t="shared" si="17"/>
        <v xml:space="preserve"> </v>
      </c>
      <c r="U103" s="16" t="str">
        <f t="shared" si="17"/>
        <v xml:space="preserve"> </v>
      </c>
      <c r="V103" s="16" t="str">
        <f t="shared" si="17"/>
        <v xml:space="preserve"> </v>
      </c>
      <c r="W103" s="16" t="str">
        <f t="shared" si="17"/>
        <v xml:space="preserve"> </v>
      </c>
      <c r="X103" s="16" t="str">
        <f t="shared" si="17"/>
        <v xml:space="preserve"> </v>
      </c>
      <c r="Y103" s="16" t="str">
        <f t="shared" si="17"/>
        <v xml:space="preserve"> </v>
      </c>
      <c r="Z103" s="16" t="str">
        <f t="shared" si="17"/>
        <v xml:space="preserve"> </v>
      </c>
      <c r="AA103" s="16" t="str">
        <f t="shared" si="17"/>
        <v xml:space="preserve"> </v>
      </c>
      <c r="AB103" s="16" t="str">
        <f t="shared" si="16"/>
        <v xml:space="preserve"> </v>
      </c>
      <c r="AC103" s="16" t="str">
        <f t="shared" si="16"/>
        <v xml:space="preserve"> </v>
      </c>
      <c r="AD103" s="16" t="str">
        <f t="shared" si="16"/>
        <v xml:space="preserve"> </v>
      </c>
      <c r="AE103" s="16" t="str">
        <f t="shared" si="16"/>
        <v xml:space="preserve"> </v>
      </c>
    </row>
    <row r="104" spans="1:31" ht="15" customHeight="1" thickBot="1" x14ac:dyDescent="0.35">
      <c r="A104"/>
      <c r="B104"/>
      <c r="C104"/>
      <c r="D104"/>
      <c r="E104"/>
      <c r="F104"/>
      <c r="G104" s="36" t="e">
        <f>VLOOKUP(F104,Results!$E$31:$F$50,2,FALSE)</f>
        <v>#N/A</v>
      </c>
      <c r="H104" s="38"/>
      <c r="I104" s="39"/>
      <c r="K104" s="3">
        <f t="shared" si="13"/>
        <v>0</v>
      </c>
      <c r="L104" s="16" t="str">
        <f t="shared" si="17"/>
        <v xml:space="preserve"> </v>
      </c>
      <c r="M104" s="16" t="str">
        <f t="shared" si="17"/>
        <v xml:space="preserve"> </v>
      </c>
      <c r="N104" s="16" t="str">
        <f t="shared" si="17"/>
        <v xml:space="preserve"> </v>
      </c>
      <c r="O104" s="16" t="str">
        <f t="shared" si="17"/>
        <v xml:space="preserve"> </v>
      </c>
      <c r="P104" s="16" t="str">
        <f t="shared" si="17"/>
        <v xml:space="preserve"> </v>
      </c>
      <c r="Q104" s="16" t="str">
        <f t="shared" si="17"/>
        <v xml:space="preserve"> </v>
      </c>
      <c r="R104" s="16" t="str">
        <f t="shared" si="17"/>
        <v xml:space="preserve"> </v>
      </c>
      <c r="S104" s="16" t="str">
        <f t="shared" si="17"/>
        <v xml:space="preserve"> </v>
      </c>
      <c r="T104" s="16" t="str">
        <f t="shared" si="17"/>
        <v xml:space="preserve"> </v>
      </c>
      <c r="U104" s="16" t="str">
        <f t="shared" si="17"/>
        <v xml:space="preserve"> </v>
      </c>
      <c r="V104" s="16" t="str">
        <f t="shared" si="17"/>
        <v xml:space="preserve"> </v>
      </c>
      <c r="W104" s="16" t="str">
        <f t="shared" si="17"/>
        <v xml:space="preserve"> </v>
      </c>
      <c r="X104" s="16" t="str">
        <f t="shared" si="17"/>
        <v xml:space="preserve"> </v>
      </c>
      <c r="Y104" s="16" t="str">
        <f t="shared" si="17"/>
        <v xml:space="preserve"> </v>
      </c>
      <c r="Z104" s="16" t="str">
        <f t="shared" si="17"/>
        <v xml:space="preserve"> </v>
      </c>
      <c r="AA104" s="16" t="str">
        <f t="shared" si="17"/>
        <v xml:space="preserve"> </v>
      </c>
      <c r="AB104" s="16" t="str">
        <f t="shared" si="16"/>
        <v xml:space="preserve"> </v>
      </c>
      <c r="AC104" s="16" t="str">
        <f t="shared" si="16"/>
        <v xml:space="preserve"> </v>
      </c>
      <c r="AD104" s="16" t="str">
        <f t="shared" si="16"/>
        <v xml:space="preserve"> </v>
      </c>
      <c r="AE104" s="16" t="str">
        <f t="shared" si="16"/>
        <v xml:space="preserve"> </v>
      </c>
    </row>
    <row r="105" spans="1:31" ht="15" customHeight="1" thickBot="1" x14ac:dyDescent="0.35">
      <c r="A105"/>
      <c r="B105"/>
      <c r="C105"/>
      <c r="D105"/>
      <c r="E105"/>
      <c r="F105"/>
      <c r="G105" s="36" t="e">
        <f>VLOOKUP(F105,Results!$E$31:$F$50,2,FALSE)</f>
        <v>#N/A</v>
      </c>
      <c r="H105" s="38"/>
      <c r="I105" s="39"/>
      <c r="K105" s="3">
        <f t="shared" si="13"/>
        <v>0</v>
      </c>
      <c r="L105" s="16" t="str">
        <f t="shared" si="17"/>
        <v xml:space="preserve"> </v>
      </c>
      <c r="M105" s="16" t="str">
        <f t="shared" si="17"/>
        <v xml:space="preserve"> </v>
      </c>
      <c r="N105" s="16" t="str">
        <f t="shared" si="17"/>
        <v xml:space="preserve"> </v>
      </c>
      <c r="O105" s="16" t="str">
        <f t="shared" si="17"/>
        <v xml:space="preserve"> </v>
      </c>
      <c r="P105" s="16" t="str">
        <f t="shared" si="17"/>
        <v xml:space="preserve"> </v>
      </c>
      <c r="Q105" s="16" t="str">
        <f t="shared" si="17"/>
        <v xml:space="preserve"> </v>
      </c>
      <c r="R105" s="16" t="str">
        <f t="shared" si="17"/>
        <v xml:space="preserve"> </v>
      </c>
      <c r="S105" s="16" t="str">
        <f t="shared" si="17"/>
        <v xml:space="preserve"> </v>
      </c>
      <c r="T105" s="16" t="str">
        <f t="shared" si="17"/>
        <v xml:space="preserve"> </v>
      </c>
      <c r="U105" s="16" t="str">
        <f t="shared" si="17"/>
        <v xml:space="preserve"> </v>
      </c>
      <c r="V105" s="16" t="str">
        <f t="shared" si="17"/>
        <v xml:space="preserve"> </v>
      </c>
      <c r="W105" s="16" t="str">
        <f t="shared" si="17"/>
        <v xml:space="preserve"> </v>
      </c>
      <c r="X105" s="16" t="str">
        <f t="shared" si="17"/>
        <v xml:space="preserve"> </v>
      </c>
      <c r="Y105" s="16" t="str">
        <f t="shared" si="17"/>
        <v xml:space="preserve"> </v>
      </c>
      <c r="Z105" s="16" t="str">
        <f t="shared" si="17"/>
        <v xml:space="preserve"> </v>
      </c>
      <c r="AA105" s="16" t="str">
        <f t="shared" si="17"/>
        <v xml:space="preserve"> </v>
      </c>
      <c r="AB105" s="16" t="str">
        <f t="shared" si="16"/>
        <v xml:space="preserve"> </v>
      </c>
      <c r="AC105" s="16" t="str">
        <f t="shared" si="16"/>
        <v xml:space="preserve"> </v>
      </c>
      <c r="AD105" s="16" t="str">
        <f t="shared" si="16"/>
        <v xml:space="preserve"> </v>
      </c>
      <c r="AE105" s="16" t="str">
        <f t="shared" si="16"/>
        <v xml:space="preserve"> </v>
      </c>
    </row>
    <row r="106" spans="1:31" ht="15" customHeight="1" thickBot="1" x14ac:dyDescent="0.35">
      <c r="A106"/>
      <c r="B106"/>
      <c r="C106"/>
      <c r="D106"/>
      <c r="E106"/>
      <c r="F106"/>
      <c r="G106" s="36" t="e">
        <f>VLOOKUP(F106,Results!$E$31:$F$50,2,FALSE)</f>
        <v>#N/A</v>
      </c>
      <c r="H106" s="38"/>
      <c r="I106" s="39"/>
      <c r="K106" s="3">
        <f t="shared" si="13"/>
        <v>0</v>
      </c>
      <c r="L106" s="16" t="str">
        <f t="shared" si="17"/>
        <v xml:space="preserve"> </v>
      </c>
      <c r="M106" s="16" t="str">
        <f t="shared" si="17"/>
        <v xml:space="preserve"> </v>
      </c>
      <c r="N106" s="16" t="str">
        <f t="shared" si="17"/>
        <v xml:space="preserve"> </v>
      </c>
      <c r="O106" s="16" t="str">
        <f t="shared" si="17"/>
        <v xml:space="preserve"> </v>
      </c>
      <c r="P106" s="16" t="str">
        <f t="shared" si="17"/>
        <v xml:space="preserve"> </v>
      </c>
      <c r="Q106" s="16" t="str">
        <f t="shared" si="17"/>
        <v xml:space="preserve"> </v>
      </c>
      <c r="R106" s="16" t="str">
        <f t="shared" si="17"/>
        <v xml:space="preserve"> </v>
      </c>
      <c r="S106" s="16" t="str">
        <f t="shared" si="17"/>
        <v xml:space="preserve"> </v>
      </c>
      <c r="T106" s="16" t="str">
        <f t="shared" si="17"/>
        <v xml:space="preserve"> </v>
      </c>
      <c r="U106" s="16" t="str">
        <f t="shared" si="17"/>
        <v xml:space="preserve"> </v>
      </c>
      <c r="V106" s="16" t="str">
        <f t="shared" si="17"/>
        <v xml:space="preserve"> </v>
      </c>
      <c r="W106" s="16" t="str">
        <f t="shared" si="17"/>
        <v xml:space="preserve"> </v>
      </c>
      <c r="X106" s="16" t="str">
        <f t="shared" si="17"/>
        <v xml:space="preserve"> </v>
      </c>
      <c r="Y106" s="16" t="str">
        <f t="shared" si="17"/>
        <v xml:space="preserve"> </v>
      </c>
      <c r="Z106" s="16" t="str">
        <f t="shared" si="17"/>
        <v xml:space="preserve"> </v>
      </c>
      <c r="AA106" s="16" t="str">
        <f t="shared" si="17"/>
        <v xml:space="preserve"> </v>
      </c>
      <c r="AB106" s="16" t="str">
        <f t="shared" si="16"/>
        <v xml:space="preserve"> </v>
      </c>
      <c r="AC106" s="16" t="str">
        <f t="shared" si="16"/>
        <v xml:space="preserve"> </v>
      </c>
      <c r="AD106" s="16" t="str">
        <f t="shared" si="16"/>
        <v xml:space="preserve"> </v>
      </c>
      <c r="AE106" s="16" t="str">
        <f t="shared" si="16"/>
        <v xml:space="preserve"> </v>
      </c>
    </row>
    <row r="107" spans="1:31" ht="15" customHeight="1" thickBot="1" x14ac:dyDescent="0.35">
      <c r="A107"/>
      <c r="B107"/>
      <c r="C107"/>
      <c r="D107"/>
      <c r="E107"/>
      <c r="F107"/>
      <c r="G107" s="36" t="e">
        <f>VLOOKUP(F107,Results!$E$31:$F$50,2,FALSE)</f>
        <v>#N/A</v>
      </c>
      <c r="H107" s="38"/>
      <c r="I107" s="39"/>
      <c r="K107" s="3">
        <f t="shared" si="13"/>
        <v>0</v>
      </c>
      <c r="L107" s="16" t="str">
        <f t="shared" si="17"/>
        <v xml:space="preserve"> </v>
      </c>
      <c r="M107" s="16" t="str">
        <f t="shared" si="17"/>
        <v xml:space="preserve"> </v>
      </c>
      <c r="N107" s="16" t="str">
        <f t="shared" si="17"/>
        <v xml:space="preserve"> </v>
      </c>
      <c r="O107" s="16" t="str">
        <f t="shared" si="17"/>
        <v xml:space="preserve"> </v>
      </c>
      <c r="P107" s="16" t="str">
        <f t="shared" si="17"/>
        <v xml:space="preserve"> </v>
      </c>
      <c r="Q107" s="16" t="str">
        <f t="shared" si="17"/>
        <v xml:space="preserve"> </v>
      </c>
      <c r="R107" s="16" t="str">
        <f t="shared" si="17"/>
        <v xml:space="preserve"> </v>
      </c>
      <c r="S107" s="16" t="str">
        <f t="shared" si="17"/>
        <v xml:space="preserve"> </v>
      </c>
      <c r="T107" s="16" t="str">
        <f t="shared" si="17"/>
        <v xml:space="preserve"> </v>
      </c>
      <c r="U107" s="16" t="str">
        <f t="shared" si="17"/>
        <v xml:space="preserve"> </v>
      </c>
      <c r="V107" s="16" t="str">
        <f t="shared" si="17"/>
        <v xml:space="preserve"> </v>
      </c>
      <c r="W107" s="16" t="str">
        <f t="shared" si="17"/>
        <v xml:space="preserve"> </v>
      </c>
      <c r="X107" s="16" t="str">
        <f t="shared" si="17"/>
        <v xml:space="preserve"> </v>
      </c>
      <c r="Y107" s="16" t="str">
        <f t="shared" si="17"/>
        <v xml:space="preserve"> </v>
      </c>
      <c r="Z107" s="16" t="str">
        <f t="shared" si="17"/>
        <v xml:space="preserve"> </v>
      </c>
      <c r="AA107" s="16" t="str">
        <f t="shared" si="17"/>
        <v xml:space="preserve"> </v>
      </c>
      <c r="AB107" s="16" t="str">
        <f t="shared" si="16"/>
        <v xml:space="preserve"> </v>
      </c>
      <c r="AC107" s="16" t="str">
        <f t="shared" si="16"/>
        <v xml:space="preserve"> </v>
      </c>
      <c r="AD107" s="16" t="str">
        <f t="shared" si="16"/>
        <v xml:space="preserve"> </v>
      </c>
      <c r="AE107" s="16" t="str">
        <f t="shared" si="16"/>
        <v xml:space="preserve"> </v>
      </c>
    </row>
    <row r="108" spans="1:31" ht="15" customHeight="1" thickBot="1" x14ac:dyDescent="0.35">
      <c r="A108"/>
      <c r="B108"/>
      <c r="C108"/>
      <c r="D108"/>
      <c r="E108"/>
      <c r="F108"/>
      <c r="G108" s="36" t="e">
        <f>VLOOKUP(F108,Results!$E$31:$F$50,2,FALSE)</f>
        <v>#N/A</v>
      </c>
      <c r="H108" s="38"/>
      <c r="I108" s="39"/>
      <c r="K108" s="3">
        <f t="shared" si="13"/>
        <v>0</v>
      </c>
      <c r="L108" s="16" t="str">
        <f t="shared" si="17"/>
        <v xml:space="preserve"> </v>
      </c>
      <c r="M108" s="16" t="str">
        <f t="shared" si="17"/>
        <v xml:space="preserve"> </v>
      </c>
      <c r="N108" s="16" t="str">
        <f t="shared" si="17"/>
        <v xml:space="preserve"> </v>
      </c>
      <c r="O108" s="16" t="str">
        <f t="shared" si="17"/>
        <v xml:space="preserve"> </v>
      </c>
      <c r="P108" s="16" t="str">
        <f t="shared" si="17"/>
        <v xml:space="preserve"> </v>
      </c>
      <c r="Q108" s="16" t="str">
        <f t="shared" si="17"/>
        <v xml:space="preserve"> </v>
      </c>
      <c r="R108" s="16" t="str">
        <f t="shared" si="17"/>
        <v xml:space="preserve"> </v>
      </c>
      <c r="S108" s="16" t="str">
        <f t="shared" si="17"/>
        <v xml:space="preserve"> </v>
      </c>
      <c r="T108" s="16" t="str">
        <f t="shared" si="17"/>
        <v xml:space="preserve"> </v>
      </c>
      <c r="U108" s="16" t="str">
        <f t="shared" si="17"/>
        <v xml:space="preserve"> </v>
      </c>
      <c r="V108" s="16" t="str">
        <f t="shared" si="17"/>
        <v xml:space="preserve"> </v>
      </c>
      <c r="W108" s="16" t="str">
        <f t="shared" si="17"/>
        <v xml:space="preserve"> </v>
      </c>
      <c r="X108" s="16" t="str">
        <f t="shared" si="17"/>
        <v xml:space="preserve"> </v>
      </c>
      <c r="Y108" s="16" t="str">
        <f t="shared" si="17"/>
        <v xml:space="preserve"> </v>
      </c>
      <c r="Z108" s="16" t="str">
        <f t="shared" si="17"/>
        <v xml:space="preserve"> </v>
      </c>
      <c r="AA108" s="16" t="str">
        <f t="shared" si="17"/>
        <v xml:space="preserve"> </v>
      </c>
      <c r="AB108" s="16" t="str">
        <f t="shared" si="16"/>
        <v xml:space="preserve"> </v>
      </c>
      <c r="AC108" s="16" t="str">
        <f t="shared" si="16"/>
        <v xml:space="preserve"> </v>
      </c>
      <c r="AD108" s="16" t="str">
        <f t="shared" si="16"/>
        <v xml:space="preserve"> </v>
      </c>
      <c r="AE108" s="16" t="str">
        <f t="shared" si="16"/>
        <v xml:space="preserve"> </v>
      </c>
    </row>
    <row r="109" spans="1:31" ht="15" customHeight="1" thickBot="1" x14ac:dyDescent="0.35">
      <c r="A109"/>
      <c r="B109"/>
      <c r="C109"/>
      <c r="D109"/>
      <c r="E109"/>
      <c r="F109"/>
      <c r="G109" s="36" t="e">
        <f>VLOOKUP(F109,Results!$E$31:$F$50,2,FALSE)</f>
        <v>#N/A</v>
      </c>
      <c r="H109" s="38"/>
      <c r="I109" s="39"/>
      <c r="K109" s="3">
        <f t="shared" si="13"/>
        <v>0</v>
      </c>
      <c r="L109" s="16" t="str">
        <f t="shared" si="17"/>
        <v xml:space="preserve"> </v>
      </c>
      <c r="M109" s="16" t="str">
        <f t="shared" si="17"/>
        <v xml:space="preserve"> </v>
      </c>
      <c r="N109" s="16" t="str">
        <f t="shared" si="17"/>
        <v xml:space="preserve"> </v>
      </c>
      <c r="O109" s="16" t="str">
        <f t="shared" si="17"/>
        <v xml:space="preserve"> </v>
      </c>
      <c r="P109" s="16" t="str">
        <f t="shared" si="17"/>
        <v xml:space="preserve"> </v>
      </c>
      <c r="Q109" s="16" t="str">
        <f t="shared" si="17"/>
        <v xml:space="preserve"> </v>
      </c>
      <c r="R109" s="16" t="str">
        <f t="shared" si="17"/>
        <v xml:space="preserve"> </v>
      </c>
      <c r="S109" s="16" t="str">
        <f t="shared" si="17"/>
        <v xml:space="preserve"> </v>
      </c>
      <c r="T109" s="16" t="str">
        <f t="shared" si="17"/>
        <v xml:space="preserve"> </v>
      </c>
      <c r="U109" s="16" t="str">
        <f t="shared" si="17"/>
        <v xml:space="preserve"> </v>
      </c>
      <c r="V109" s="16" t="str">
        <f t="shared" si="17"/>
        <v xml:space="preserve"> </v>
      </c>
      <c r="W109" s="16" t="str">
        <f t="shared" si="17"/>
        <v xml:space="preserve"> </v>
      </c>
      <c r="X109" s="16" t="str">
        <f t="shared" si="17"/>
        <v xml:space="preserve"> </v>
      </c>
      <c r="Y109" s="16" t="str">
        <f t="shared" si="17"/>
        <v xml:space="preserve"> </v>
      </c>
      <c r="Z109" s="16" t="str">
        <f t="shared" si="17"/>
        <v xml:space="preserve"> </v>
      </c>
      <c r="AA109" s="16" t="str">
        <f t="shared" si="17"/>
        <v xml:space="preserve"> </v>
      </c>
      <c r="AB109" s="16" t="str">
        <f t="shared" si="16"/>
        <v xml:space="preserve"> </v>
      </c>
      <c r="AC109" s="16" t="str">
        <f t="shared" si="16"/>
        <v xml:space="preserve"> </v>
      </c>
      <c r="AD109" s="16" t="str">
        <f t="shared" si="16"/>
        <v xml:space="preserve"> </v>
      </c>
      <c r="AE109" s="16" t="str">
        <f t="shared" si="16"/>
        <v xml:space="preserve"> </v>
      </c>
    </row>
    <row r="110" spans="1:31" ht="15" customHeight="1" thickBot="1" x14ac:dyDescent="0.35">
      <c r="A110"/>
      <c r="B110"/>
      <c r="C110"/>
      <c r="D110"/>
      <c r="E110"/>
      <c r="F110"/>
      <c r="G110" s="36" t="e">
        <f>VLOOKUP(F110,Results!$E$31:$F$50,2,FALSE)</f>
        <v>#N/A</v>
      </c>
      <c r="H110" s="38"/>
      <c r="I110" s="39"/>
      <c r="K110" s="3">
        <f t="shared" si="13"/>
        <v>0</v>
      </c>
      <c r="L110" s="16" t="str">
        <f t="shared" si="17"/>
        <v xml:space="preserve"> </v>
      </c>
      <c r="M110" s="16" t="str">
        <f t="shared" si="17"/>
        <v xml:space="preserve"> </v>
      </c>
      <c r="N110" s="16" t="str">
        <f t="shared" si="17"/>
        <v xml:space="preserve"> </v>
      </c>
      <c r="O110" s="16" t="str">
        <f t="shared" si="17"/>
        <v xml:space="preserve"> </v>
      </c>
      <c r="P110" s="16" t="str">
        <f t="shared" si="17"/>
        <v xml:space="preserve"> </v>
      </c>
      <c r="Q110" s="16" t="str">
        <f t="shared" si="17"/>
        <v xml:space="preserve"> </v>
      </c>
      <c r="R110" s="16" t="str">
        <f t="shared" si="17"/>
        <v xml:space="preserve"> </v>
      </c>
      <c r="S110" s="16" t="str">
        <f t="shared" si="17"/>
        <v xml:space="preserve"> </v>
      </c>
      <c r="T110" s="16" t="str">
        <f t="shared" si="17"/>
        <v xml:space="preserve"> </v>
      </c>
      <c r="U110" s="16" t="str">
        <f t="shared" si="17"/>
        <v xml:space="preserve"> </v>
      </c>
      <c r="V110" s="16" t="str">
        <f t="shared" si="17"/>
        <v xml:space="preserve"> </v>
      </c>
      <c r="W110" s="16" t="str">
        <f t="shared" si="17"/>
        <v xml:space="preserve"> </v>
      </c>
      <c r="X110" s="16" t="str">
        <f t="shared" si="17"/>
        <v xml:space="preserve"> </v>
      </c>
      <c r="Y110" s="16" t="str">
        <f t="shared" si="17"/>
        <v xml:space="preserve"> </v>
      </c>
      <c r="Z110" s="16" t="str">
        <f t="shared" si="17"/>
        <v xml:space="preserve"> </v>
      </c>
      <c r="AA110" s="16" t="str">
        <f t="shared" si="17"/>
        <v xml:space="preserve"> </v>
      </c>
      <c r="AB110" s="16" t="str">
        <f t="shared" si="16"/>
        <v xml:space="preserve"> </v>
      </c>
      <c r="AC110" s="16" t="str">
        <f t="shared" si="16"/>
        <v xml:space="preserve"> </v>
      </c>
      <c r="AD110" s="16" t="str">
        <f t="shared" si="16"/>
        <v xml:space="preserve"> </v>
      </c>
      <c r="AE110" s="16" t="str">
        <f t="shared" si="16"/>
        <v xml:space="preserve"> </v>
      </c>
    </row>
    <row r="111" spans="1:31" ht="15" customHeight="1" thickBot="1" x14ac:dyDescent="0.35">
      <c r="A111"/>
      <c r="B111"/>
      <c r="C111"/>
      <c r="D111"/>
      <c r="E111"/>
      <c r="F111"/>
      <c r="G111" s="36" t="e">
        <f>VLOOKUP(F111,Results!$E$31:$F$50,2,FALSE)</f>
        <v>#N/A</v>
      </c>
      <c r="H111" s="38"/>
      <c r="I111" s="39"/>
      <c r="K111" s="3">
        <f t="shared" si="13"/>
        <v>0</v>
      </c>
      <c r="L111" s="16" t="str">
        <f t="shared" si="17"/>
        <v xml:space="preserve"> </v>
      </c>
      <c r="M111" s="16" t="str">
        <f t="shared" si="17"/>
        <v xml:space="preserve"> </v>
      </c>
      <c r="N111" s="16" t="str">
        <f t="shared" si="17"/>
        <v xml:space="preserve"> </v>
      </c>
      <c r="O111" s="16" t="str">
        <f t="shared" si="17"/>
        <v xml:space="preserve"> </v>
      </c>
      <c r="P111" s="16" t="str">
        <f t="shared" si="17"/>
        <v xml:space="preserve"> </v>
      </c>
      <c r="Q111" s="16" t="str">
        <f t="shared" si="17"/>
        <v xml:space="preserve"> </v>
      </c>
      <c r="R111" s="16" t="str">
        <f t="shared" si="17"/>
        <v xml:space="preserve"> </v>
      </c>
      <c r="S111" s="16" t="str">
        <f t="shared" si="17"/>
        <v xml:space="preserve"> </v>
      </c>
      <c r="T111" s="16" t="str">
        <f t="shared" si="17"/>
        <v xml:space="preserve"> </v>
      </c>
      <c r="U111" s="16" t="str">
        <f t="shared" si="17"/>
        <v xml:space="preserve"> </v>
      </c>
      <c r="V111" s="16" t="str">
        <f t="shared" si="17"/>
        <v xml:space="preserve"> </v>
      </c>
      <c r="W111" s="16" t="str">
        <f t="shared" si="17"/>
        <v xml:space="preserve"> </v>
      </c>
      <c r="X111" s="16" t="str">
        <f t="shared" si="17"/>
        <v xml:space="preserve"> </v>
      </c>
      <c r="Y111" s="16" t="str">
        <f t="shared" si="17"/>
        <v xml:space="preserve"> </v>
      </c>
      <c r="Z111" s="16" t="str">
        <f t="shared" si="17"/>
        <v xml:space="preserve"> </v>
      </c>
      <c r="AA111" s="16" t="str">
        <f t="shared" si="17"/>
        <v xml:space="preserve"> </v>
      </c>
      <c r="AB111" s="16" t="str">
        <f t="shared" si="16"/>
        <v xml:space="preserve"> </v>
      </c>
      <c r="AC111" s="16" t="str">
        <f t="shared" si="16"/>
        <v xml:space="preserve"> </v>
      </c>
      <c r="AD111" s="16" t="str">
        <f t="shared" si="16"/>
        <v xml:space="preserve"> </v>
      </c>
      <c r="AE111" s="16" t="str">
        <f t="shared" si="16"/>
        <v xml:space="preserve"> </v>
      </c>
    </row>
    <row r="112" spans="1:31" ht="15" customHeight="1" thickBot="1" x14ac:dyDescent="0.35">
      <c r="A112"/>
      <c r="B112"/>
      <c r="C112"/>
      <c r="D112"/>
      <c r="E112"/>
      <c r="F112"/>
      <c r="G112" s="36" t="e">
        <f>VLOOKUP(F112,Results!$E$31:$F$50,2,FALSE)</f>
        <v>#N/A</v>
      </c>
      <c r="H112" s="38"/>
      <c r="I112" s="39"/>
      <c r="K112" s="3">
        <f t="shared" si="13"/>
        <v>0</v>
      </c>
      <c r="L112" s="16" t="str">
        <f t="shared" si="17"/>
        <v xml:space="preserve"> </v>
      </c>
      <c r="M112" s="16" t="str">
        <f t="shared" si="17"/>
        <v xml:space="preserve"> </v>
      </c>
      <c r="N112" s="16" t="str">
        <f t="shared" si="17"/>
        <v xml:space="preserve"> </v>
      </c>
      <c r="O112" s="16" t="str">
        <f t="shared" si="17"/>
        <v xml:space="preserve"> </v>
      </c>
      <c r="P112" s="16" t="str">
        <f t="shared" si="17"/>
        <v xml:space="preserve"> </v>
      </c>
      <c r="Q112" s="16" t="str">
        <f t="shared" si="17"/>
        <v xml:space="preserve"> </v>
      </c>
      <c r="R112" s="16" t="str">
        <f t="shared" si="17"/>
        <v xml:space="preserve"> </v>
      </c>
      <c r="S112" s="16" t="str">
        <f t="shared" si="17"/>
        <v xml:space="preserve"> </v>
      </c>
      <c r="T112" s="16" t="str">
        <f t="shared" si="17"/>
        <v xml:space="preserve"> </v>
      </c>
      <c r="U112" s="16" t="str">
        <f t="shared" si="17"/>
        <v xml:space="preserve"> </v>
      </c>
      <c r="V112" s="16" t="str">
        <f t="shared" si="17"/>
        <v xml:space="preserve"> </v>
      </c>
      <c r="W112" s="16" t="str">
        <f t="shared" si="17"/>
        <v xml:space="preserve"> </v>
      </c>
      <c r="X112" s="16" t="str">
        <f t="shared" si="17"/>
        <v xml:space="preserve"> </v>
      </c>
      <c r="Y112" s="16" t="str">
        <f t="shared" si="17"/>
        <v xml:space="preserve"> </v>
      </c>
      <c r="Z112" s="16" t="str">
        <f t="shared" si="17"/>
        <v xml:space="preserve"> </v>
      </c>
      <c r="AA112" s="16" t="str">
        <f t="shared" si="17"/>
        <v xml:space="preserve"> </v>
      </c>
      <c r="AB112" s="16" t="str">
        <f t="shared" si="16"/>
        <v xml:space="preserve"> </v>
      </c>
      <c r="AC112" s="16" t="str">
        <f t="shared" si="16"/>
        <v xml:space="preserve"> </v>
      </c>
      <c r="AD112" s="16" t="str">
        <f t="shared" si="16"/>
        <v xml:space="preserve"> </v>
      </c>
      <c r="AE112" s="16" t="str">
        <f t="shared" si="16"/>
        <v xml:space="preserve"> </v>
      </c>
    </row>
    <row r="113" spans="1:31" ht="15" customHeight="1" thickBot="1" x14ac:dyDescent="0.35">
      <c r="A113"/>
      <c r="B113"/>
      <c r="C113"/>
      <c r="D113"/>
      <c r="E113"/>
      <c r="F113"/>
      <c r="G113" s="36" t="e">
        <f>VLOOKUP(F113,Results!$E$31:$F$50,2,FALSE)</f>
        <v>#N/A</v>
      </c>
      <c r="H113" s="38"/>
      <c r="I113" s="39"/>
      <c r="K113" s="3">
        <f t="shared" si="13"/>
        <v>0</v>
      </c>
      <c r="L113" s="16" t="str">
        <f t="shared" si="17"/>
        <v xml:space="preserve"> </v>
      </c>
      <c r="M113" s="16" t="str">
        <f t="shared" si="17"/>
        <v xml:space="preserve"> </v>
      </c>
      <c r="N113" s="16" t="str">
        <f t="shared" si="17"/>
        <v xml:space="preserve"> </v>
      </c>
      <c r="O113" s="16" t="str">
        <f t="shared" si="17"/>
        <v xml:space="preserve"> </v>
      </c>
      <c r="P113" s="16" t="str">
        <f t="shared" si="17"/>
        <v xml:space="preserve"> </v>
      </c>
      <c r="Q113" s="16" t="str">
        <f t="shared" si="17"/>
        <v xml:space="preserve"> </v>
      </c>
      <c r="R113" s="16" t="str">
        <f t="shared" si="17"/>
        <v xml:space="preserve"> </v>
      </c>
      <c r="S113" s="16" t="str">
        <f t="shared" si="17"/>
        <v xml:space="preserve"> </v>
      </c>
      <c r="T113" s="16" t="str">
        <f t="shared" si="17"/>
        <v xml:space="preserve"> </v>
      </c>
      <c r="U113" s="16" t="str">
        <f t="shared" si="17"/>
        <v xml:space="preserve"> </v>
      </c>
      <c r="V113" s="16" t="str">
        <f t="shared" si="17"/>
        <v xml:space="preserve"> </v>
      </c>
      <c r="W113" s="16" t="str">
        <f t="shared" si="17"/>
        <v xml:space="preserve"> </v>
      </c>
      <c r="X113" s="16" t="str">
        <f t="shared" si="17"/>
        <v xml:space="preserve"> </v>
      </c>
      <c r="Y113" s="16" t="str">
        <f t="shared" si="17"/>
        <v xml:space="preserve"> </v>
      </c>
      <c r="Z113" s="16" t="str">
        <f t="shared" si="17"/>
        <v xml:space="preserve"> </v>
      </c>
      <c r="AA113" s="16" t="str">
        <f t="shared" si="17"/>
        <v xml:space="preserve"> </v>
      </c>
      <c r="AB113" s="16" t="str">
        <f t="shared" si="16"/>
        <v xml:space="preserve"> </v>
      </c>
      <c r="AC113" s="16" t="str">
        <f t="shared" si="16"/>
        <v xml:space="preserve"> </v>
      </c>
      <c r="AD113" s="16" t="str">
        <f t="shared" si="16"/>
        <v xml:space="preserve"> </v>
      </c>
      <c r="AE113" s="16" t="str">
        <f t="shared" si="16"/>
        <v xml:space="preserve"> </v>
      </c>
    </row>
    <row r="114" spans="1:31" ht="15" customHeight="1" thickBot="1" x14ac:dyDescent="0.35">
      <c r="A114"/>
      <c r="B114"/>
      <c r="C114"/>
      <c r="D114"/>
      <c r="E114"/>
      <c r="F114"/>
      <c r="G114" s="36" t="e">
        <f>VLOOKUP(F114,Results!$E$31:$F$50,2,FALSE)</f>
        <v>#N/A</v>
      </c>
      <c r="H114" s="38"/>
      <c r="I114" s="39"/>
      <c r="K114" s="3">
        <f t="shared" si="13"/>
        <v>0</v>
      </c>
      <c r="L114" s="16" t="str">
        <f t="shared" si="17"/>
        <v xml:space="preserve"> </v>
      </c>
      <c r="M114" s="16" t="str">
        <f t="shared" si="17"/>
        <v xml:space="preserve"> </v>
      </c>
      <c r="N114" s="16" t="str">
        <f t="shared" si="17"/>
        <v xml:space="preserve"> </v>
      </c>
      <c r="O114" s="16" t="str">
        <f t="shared" si="17"/>
        <v xml:space="preserve"> </v>
      </c>
      <c r="P114" s="16" t="str">
        <f t="shared" si="17"/>
        <v xml:space="preserve"> </v>
      </c>
      <c r="Q114" s="16" t="str">
        <f t="shared" si="17"/>
        <v xml:space="preserve"> </v>
      </c>
      <c r="R114" s="16" t="str">
        <f t="shared" si="17"/>
        <v xml:space="preserve"> </v>
      </c>
      <c r="S114" s="16" t="str">
        <f t="shared" si="17"/>
        <v xml:space="preserve"> </v>
      </c>
      <c r="T114" s="16" t="str">
        <f t="shared" si="17"/>
        <v xml:space="preserve"> </v>
      </c>
      <c r="U114" s="16" t="str">
        <f t="shared" si="17"/>
        <v xml:space="preserve"> </v>
      </c>
      <c r="V114" s="16" t="str">
        <f t="shared" si="17"/>
        <v xml:space="preserve"> </v>
      </c>
      <c r="W114" s="16" t="str">
        <f t="shared" si="17"/>
        <v xml:space="preserve"> </v>
      </c>
      <c r="X114" s="16" t="str">
        <f t="shared" si="17"/>
        <v xml:space="preserve"> </v>
      </c>
      <c r="Y114" s="16" t="str">
        <f t="shared" si="17"/>
        <v xml:space="preserve"> </v>
      </c>
      <c r="Z114" s="16" t="str">
        <f t="shared" si="17"/>
        <v xml:space="preserve"> </v>
      </c>
      <c r="AA114" s="16" t="str">
        <f t="shared" ref="AA114:AE129" si="18">IF($F114=COLUMN((AA:AA))-11,$E114," ")</f>
        <v xml:space="preserve"> </v>
      </c>
      <c r="AB114" s="16" t="str">
        <f t="shared" si="18"/>
        <v xml:space="preserve"> </v>
      </c>
      <c r="AC114" s="16" t="str">
        <f t="shared" si="18"/>
        <v xml:space="preserve"> </v>
      </c>
      <c r="AD114" s="16" t="str">
        <f t="shared" si="18"/>
        <v xml:space="preserve"> </v>
      </c>
      <c r="AE114" s="16" t="str">
        <f t="shared" si="18"/>
        <v xml:space="preserve"> </v>
      </c>
    </row>
    <row r="115" spans="1:31" ht="15" customHeight="1" thickBot="1" x14ac:dyDescent="0.35">
      <c r="A115"/>
      <c r="B115"/>
      <c r="C115"/>
      <c r="D115"/>
      <c r="E115"/>
      <c r="F115"/>
      <c r="G115" s="36" t="e">
        <f>VLOOKUP(F115,Results!$E$31:$F$50,2,FALSE)</f>
        <v>#N/A</v>
      </c>
      <c r="H115" s="38"/>
      <c r="I115" s="39"/>
      <c r="K115" s="3">
        <f t="shared" si="13"/>
        <v>0</v>
      </c>
      <c r="L115" s="16" t="str">
        <f t="shared" ref="L115:AA130" si="19">IF($F115=COLUMN((L:L))-11,$E115," ")</f>
        <v xml:space="preserve"> </v>
      </c>
      <c r="M115" s="16" t="str">
        <f t="shared" si="19"/>
        <v xml:space="preserve"> </v>
      </c>
      <c r="N115" s="16" t="str">
        <f t="shared" si="19"/>
        <v xml:space="preserve"> </v>
      </c>
      <c r="O115" s="16" t="str">
        <f t="shared" si="19"/>
        <v xml:space="preserve"> </v>
      </c>
      <c r="P115" s="16" t="str">
        <f t="shared" si="19"/>
        <v xml:space="preserve"> </v>
      </c>
      <c r="Q115" s="16" t="str">
        <f t="shared" si="19"/>
        <v xml:space="preserve"> </v>
      </c>
      <c r="R115" s="16" t="str">
        <f t="shared" si="19"/>
        <v xml:space="preserve"> </v>
      </c>
      <c r="S115" s="16" t="str">
        <f t="shared" si="19"/>
        <v xml:space="preserve"> </v>
      </c>
      <c r="T115" s="16" t="str">
        <f t="shared" si="19"/>
        <v xml:space="preserve"> </v>
      </c>
      <c r="U115" s="16" t="str">
        <f t="shared" si="19"/>
        <v xml:space="preserve"> </v>
      </c>
      <c r="V115" s="16" t="str">
        <f t="shared" si="19"/>
        <v xml:space="preserve"> </v>
      </c>
      <c r="W115" s="16" t="str">
        <f t="shared" si="19"/>
        <v xml:space="preserve"> </v>
      </c>
      <c r="X115" s="16" t="str">
        <f t="shared" si="19"/>
        <v xml:space="preserve"> </v>
      </c>
      <c r="Y115" s="16" t="str">
        <f t="shared" si="19"/>
        <v xml:space="preserve"> </v>
      </c>
      <c r="Z115" s="16" t="str">
        <f t="shared" si="19"/>
        <v xml:space="preserve"> </v>
      </c>
      <c r="AA115" s="16" t="str">
        <f t="shared" si="19"/>
        <v xml:space="preserve"> </v>
      </c>
      <c r="AB115" s="16" t="str">
        <f t="shared" si="18"/>
        <v xml:space="preserve"> </v>
      </c>
      <c r="AC115" s="16" t="str">
        <f t="shared" si="18"/>
        <v xml:space="preserve"> </v>
      </c>
      <c r="AD115" s="16" t="str">
        <f t="shared" si="18"/>
        <v xml:space="preserve"> </v>
      </c>
      <c r="AE115" s="16" t="str">
        <f t="shared" si="18"/>
        <v xml:space="preserve"> </v>
      </c>
    </row>
    <row r="116" spans="1:31" ht="15" customHeight="1" thickBot="1" x14ac:dyDescent="0.35">
      <c r="A116"/>
      <c r="B116"/>
      <c r="C116"/>
      <c r="D116"/>
      <c r="E116"/>
      <c r="F116"/>
      <c r="G116" s="36" t="e">
        <f>VLOOKUP(F116,Results!$E$31:$F$50,2,FALSE)</f>
        <v>#N/A</v>
      </c>
      <c r="H116" s="38"/>
      <c r="I116" s="39"/>
      <c r="K116" s="3">
        <f t="shared" si="13"/>
        <v>0</v>
      </c>
      <c r="L116" s="16" t="str">
        <f t="shared" si="19"/>
        <v xml:space="preserve"> </v>
      </c>
      <c r="M116" s="16" t="str">
        <f t="shared" si="19"/>
        <v xml:space="preserve"> </v>
      </c>
      <c r="N116" s="16" t="str">
        <f t="shared" si="19"/>
        <v xml:space="preserve"> </v>
      </c>
      <c r="O116" s="16" t="str">
        <f t="shared" si="19"/>
        <v xml:space="preserve"> </v>
      </c>
      <c r="P116" s="16" t="str">
        <f t="shared" si="19"/>
        <v xml:space="preserve"> </v>
      </c>
      <c r="Q116" s="16" t="str">
        <f t="shared" si="19"/>
        <v xml:space="preserve"> </v>
      </c>
      <c r="R116" s="16" t="str">
        <f t="shared" si="19"/>
        <v xml:space="preserve"> </v>
      </c>
      <c r="S116" s="16" t="str">
        <f t="shared" si="19"/>
        <v xml:space="preserve"> </v>
      </c>
      <c r="T116" s="16" t="str">
        <f t="shared" si="19"/>
        <v xml:space="preserve"> </v>
      </c>
      <c r="U116" s="16" t="str">
        <f t="shared" si="19"/>
        <v xml:space="preserve"> </v>
      </c>
      <c r="V116" s="16" t="str">
        <f t="shared" si="19"/>
        <v xml:space="preserve"> </v>
      </c>
      <c r="W116" s="16" t="str">
        <f t="shared" si="19"/>
        <v xml:space="preserve"> </v>
      </c>
      <c r="X116" s="16" t="str">
        <f t="shared" si="19"/>
        <v xml:space="preserve"> </v>
      </c>
      <c r="Y116" s="16" t="str">
        <f t="shared" si="19"/>
        <v xml:space="preserve"> </v>
      </c>
      <c r="Z116" s="16" t="str">
        <f t="shared" si="19"/>
        <v xml:space="preserve"> </v>
      </c>
      <c r="AA116" s="16" t="str">
        <f t="shared" si="19"/>
        <v xml:space="preserve"> </v>
      </c>
      <c r="AB116" s="16" t="str">
        <f t="shared" si="18"/>
        <v xml:space="preserve"> </v>
      </c>
      <c r="AC116" s="16" t="str">
        <f t="shared" si="18"/>
        <v xml:space="preserve"> </v>
      </c>
      <c r="AD116" s="16" t="str">
        <f t="shared" si="18"/>
        <v xml:space="preserve"> </v>
      </c>
      <c r="AE116" s="16" t="str">
        <f t="shared" si="18"/>
        <v xml:space="preserve"> </v>
      </c>
    </row>
    <row r="117" spans="1:31" ht="15" customHeight="1" thickBot="1" x14ac:dyDescent="0.35">
      <c r="A117"/>
      <c r="B117"/>
      <c r="C117"/>
      <c r="D117"/>
      <c r="E117"/>
      <c r="F117"/>
      <c r="G117" s="36" t="e">
        <f>VLOOKUP(F117,Results!$E$31:$F$50,2,FALSE)</f>
        <v>#N/A</v>
      </c>
      <c r="H117" s="38"/>
      <c r="I117" s="39"/>
      <c r="K117" s="3">
        <f t="shared" si="13"/>
        <v>0</v>
      </c>
      <c r="L117" s="16" t="str">
        <f t="shared" si="19"/>
        <v xml:space="preserve"> </v>
      </c>
      <c r="M117" s="16" t="str">
        <f t="shared" si="19"/>
        <v xml:space="preserve"> </v>
      </c>
      <c r="N117" s="16" t="str">
        <f t="shared" si="19"/>
        <v xml:space="preserve"> </v>
      </c>
      <c r="O117" s="16" t="str">
        <f t="shared" si="19"/>
        <v xml:space="preserve"> </v>
      </c>
      <c r="P117" s="16" t="str">
        <f t="shared" si="19"/>
        <v xml:space="preserve"> </v>
      </c>
      <c r="Q117" s="16" t="str">
        <f t="shared" si="19"/>
        <v xml:space="preserve"> </v>
      </c>
      <c r="R117" s="16" t="str">
        <f t="shared" si="19"/>
        <v xml:space="preserve"> </v>
      </c>
      <c r="S117" s="16" t="str">
        <f t="shared" si="19"/>
        <v xml:space="preserve"> </v>
      </c>
      <c r="T117" s="16" t="str">
        <f t="shared" si="19"/>
        <v xml:space="preserve"> </v>
      </c>
      <c r="U117" s="16" t="str">
        <f t="shared" si="19"/>
        <v xml:space="preserve"> </v>
      </c>
      <c r="V117" s="16" t="str">
        <f t="shared" si="19"/>
        <v xml:space="preserve"> </v>
      </c>
      <c r="W117" s="16" t="str">
        <f t="shared" si="19"/>
        <v xml:space="preserve"> </v>
      </c>
      <c r="X117" s="16" t="str">
        <f t="shared" si="19"/>
        <v xml:space="preserve"> </v>
      </c>
      <c r="Y117" s="16" t="str">
        <f t="shared" si="19"/>
        <v xml:space="preserve"> </v>
      </c>
      <c r="Z117" s="16" t="str">
        <f t="shared" si="19"/>
        <v xml:space="preserve"> </v>
      </c>
      <c r="AA117" s="16" t="str">
        <f t="shared" si="19"/>
        <v xml:space="preserve"> </v>
      </c>
      <c r="AB117" s="16" t="str">
        <f t="shared" si="18"/>
        <v xml:space="preserve"> </v>
      </c>
      <c r="AC117" s="16" t="str">
        <f t="shared" si="18"/>
        <v xml:space="preserve"> </v>
      </c>
      <c r="AD117" s="16" t="str">
        <f t="shared" si="18"/>
        <v xml:space="preserve"> </v>
      </c>
      <c r="AE117" s="16" t="str">
        <f t="shared" si="18"/>
        <v xml:space="preserve"> </v>
      </c>
    </row>
    <row r="118" spans="1:31" ht="15" customHeight="1" thickBot="1" x14ac:dyDescent="0.35">
      <c r="A118"/>
      <c r="B118"/>
      <c r="C118"/>
      <c r="D118"/>
      <c r="E118"/>
      <c r="F118"/>
      <c r="G118" s="36" t="e">
        <f>VLOOKUP(F118,Results!$E$31:$F$50,2,FALSE)</f>
        <v>#N/A</v>
      </c>
      <c r="H118" s="38"/>
      <c r="I118" s="39"/>
      <c r="K118" s="3">
        <f t="shared" si="13"/>
        <v>0</v>
      </c>
      <c r="L118" s="16" t="str">
        <f t="shared" si="19"/>
        <v xml:space="preserve"> </v>
      </c>
      <c r="M118" s="16" t="str">
        <f t="shared" si="19"/>
        <v xml:space="preserve"> </v>
      </c>
      <c r="N118" s="16" t="str">
        <f t="shared" si="19"/>
        <v xml:space="preserve"> </v>
      </c>
      <c r="O118" s="16" t="str">
        <f t="shared" si="19"/>
        <v xml:space="preserve"> </v>
      </c>
      <c r="P118" s="16" t="str">
        <f t="shared" si="19"/>
        <v xml:space="preserve"> </v>
      </c>
      <c r="Q118" s="16" t="str">
        <f t="shared" si="19"/>
        <v xml:space="preserve"> </v>
      </c>
      <c r="R118" s="16" t="str">
        <f t="shared" si="19"/>
        <v xml:space="preserve"> </v>
      </c>
      <c r="S118" s="16" t="str">
        <f t="shared" si="19"/>
        <v xml:space="preserve"> </v>
      </c>
      <c r="T118" s="16" t="str">
        <f t="shared" si="19"/>
        <v xml:space="preserve"> </v>
      </c>
      <c r="U118" s="16" t="str">
        <f t="shared" si="19"/>
        <v xml:space="preserve"> </v>
      </c>
      <c r="V118" s="16" t="str">
        <f t="shared" si="19"/>
        <v xml:space="preserve"> </v>
      </c>
      <c r="W118" s="16" t="str">
        <f t="shared" si="19"/>
        <v xml:space="preserve"> </v>
      </c>
      <c r="X118" s="16" t="str">
        <f t="shared" si="19"/>
        <v xml:space="preserve"> </v>
      </c>
      <c r="Y118" s="16" t="str">
        <f t="shared" si="19"/>
        <v xml:space="preserve"> </v>
      </c>
      <c r="Z118" s="16" t="str">
        <f t="shared" si="19"/>
        <v xml:space="preserve"> </v>
      </c>
      <c r="AA118" s="16" t="str">
        <f t="shared" si="19"/>
        <v xml:space="preserve"> </v>
      </c>
      <c r="AB118" s="16" t="str">
        <f t="shared" si="18"/>
        <v xml:space="preserve"> </v>
      </c>
      <c r="AC118" s="16" t="str">
        <f t="shared" si="18"/>
        <v xml:space="preserve"> </v>
      </c>
      <c r="AD118" s="16" t="str">
        <f t="shared" si="18"/>
        <v xml:space="preserve"> </v>
      </c>
      <c r="AE118" s="16" t="str">
        <f t="shared" si="18"/>
        <v xml:space="preserve"> </v>
      </c>
    </row>
    <row r="119" spans="1:31" ht="15" customHeight="1" thickBot="1" x14ac:dyDescent="0.35">
      <c r="A119"/>
      <c r="B119"/>
      <c r="C119"/>
      <c r="D119"/>
      <c r="E119"/>
      <c r="F119"/>
      <c r="G119" s="36" t="e">
        <f>VLOOKUP(F119,Results!$E$31:$F$50,2,FALSE)</f>
        <v>#N/A</v>
      </c>
      <c r="H119" s="38"/>
      <c r="I119" s="39"/>
      <c r="K119" s="3">
        <f t="shared" si="13"/>
        <v>0</v>
      </c>
      <c r="L119" s="16" t="str">
        <f t="shared" si="19"/>
        <v xml:space="preserve"> </v>
      </c>
      <c r="M119" s="16" t="str">
        <f t="shared" si="19"/>
        <v xml:space="preserve"> </v>
      </c>
      <c r="N119" s="16" t="str">
        <f t="shared" si="19"/>
        <v xml:space="preserve"> </v>
      </c>
      <c r="O119" s="16" t="str">
        <f t="shared" si="19"/>
        <v xml:space="preserve"> </v>
      </c>
      <c r="P119" s="16" t="str">
        <f t="shared" si="19"/>
        <v xml:space="preserve"> </v>
      </c>
      <c r="Q119" s="16" t="str">
        <f t="shared" si="19"/>
        <v xml:space="preserve"> </v>
      </c>
      <c r="R119" s="16" t="str">
        <f t="shared" si="19"/>
        <v xml:space="preserve"> </v>
      </c>
      <c r="S119" s="16" t="str">
        <f t="shared" si="19"/>
        <v xml:space="preserve"> </v>
      </c>
      <c r="T119" s="16" t="str">
        <f t="shared" si="19"/>
        <v xml:space="preserve"> </v>
      </c>
      <c r="U119" s="16" t="str">
        <f t="shared" si="19"/>
        <v xml:space="preserve"> </v>
      </c>
      <c r="V119" s="16" t="str">
        <f t="shared" si="19"/>
        <v xml:space="preserve"> </v>
      </c>
      <c r="W119" s="16" t="str">
        <f t="shared" si="19"/>
        <v xml:space="preserve"> </v>
      </c>
      <c r="X119" s="16" t="str">
        <f t="shared" si="19"/>
        <v xml:space="preserve"> </v>
      </c>
      <c r="Y119" s="16" t="str">
        <f t="shared" si="19"/>
        <v xml:space="preserve"> </v>
      </c>
      <c r="Z119" s="16" t="str">
        <f t="shared" si="19"/>
        <v xml:space="preserve"> </v>
      </c>
      <c r="AA119" s="16" t="str">
        <f t="shared" si="19"/>
        <v xml:space="preserve"> </v>
      </c>
      <c r="AB119" s="16" t="str">
        <f t="shared" si="18"/>
        <v xml:space="preserve"> </v>
      </c>
      <c r="AC119" s="16" t="str">
        <f t="shared" si="18"/>
        <v xml:space="preserve"> </v>
      </c>
      <c r="AD119" s="16" t="str">
        <f t="shared" si="18"/>
        <v xml:space="preserve"> </v>
      </c>
      <c r="AE119" s="16" t="str">
        <f t="shared" si="18"/>
        <v xml:space="preserve"> </v>
      </c>
    </row>
    <row r="120" spans="1:31" ht="15" customHeight="1" thickBot="1" x14ac:dyDescent="0.35">
      <c r="A120"/>
      <c r="B120"/>
      <c r="C120"/>
      <c r="D120"/>
      <c r="E120"/>
      <c r="F120"/>
      <c r="G120" s="36" t="e">
        <f>VLOOKUP(F120,Results!$E$31:$F$50,2,FALSE)</f>
        <v>#N/A</v>
      </c>
      <c r="H120" s="38"/>
      <c r="I120" s="39"/>
      <c r="K120" s="3">
        <f t="shared" si="13"/>
        <v>0</v>
      </c>
      <c r="L120" s="16" t="str">
        <f t="shared" si="19"/>
        <v xml:space="preserve"> </v>
      </c>
      <c r="M120" s="16" t="str">
        <f t="shared" si="19"/>
        <v xml:space="preserve"> </v>
      </c>
      <c r="N120" s="16" t="str">
        <f t="shared" si="19"/>
        <v xml:space="preserve"> </v>
      </c>
      <c r="O120" s="16" t="str">
        <f t="shared" si="19"/>
        <v xml:space="preserve"> </v>
      </c>
      <c r="P120" s="16" t="str">
        <f t="shared" si="19"/>
        <v xml:space="preserve"> </v>
      </c>
      <c r="Q120" s="16" t="str">
        <f t="shared" si="19"/>
        <v xml:space="preserve"> </v>
      </c>
      <c r="R120" s="16" t="str">
        <f t="shared" si="19"/>
        <v xml:space="preserve"> </v>
      </c>
      <c r="S120" s="16" t="str">
        <f t="shared" si="19"/>
        <v xml:space="preserve"> </v>
      </c>
      <c r="T120" s="16" t="str">
        <f t="shared" si="19"/>
        <v xml:space="preserve"> </v>
      </c>
      <c r="U120" s="16" t="str">
        <f t="shared" si="19"/>
        <v xml:space="preserve"> </v>
      </c>
      <c r="V120" s="16" t="str">
        <f t="shared" si="19"/>
        <v xml:space="preserve"> </v>
      </c>
      <c r="W120" s="16" t="str">
        <f t="shared" si="19"/>
        <v xml:space="preserve"> </v>
      </c>
      <c r="X120" s="16" t="str">
        <f t="shared" si="19"/>
        <v xml:space="preserve"> </v>
      </c>
      <c r="Y120" s="16" t="str">
        <f t="shared" si="19"/>
        <v xml:space="preserve"> </v>
      </c>
      <c r="Z120" s="16" t="str">
        <f t="shared" si="19"/>
        <v xml:space="preserve"> </v>
      </c>
      <c r="AA120" s="16" t="str">
        <f t="shared" si="19"/>
        <v xml:space="preserve"> </v>
      </c>
      <c r="AB120" s="16" t="str">
        <f t="shared" si="18"/>
        <v xml:space="preserve"> </v>
      </c>
      <c r="AC120" s="16" t="str">
        <f t="shared" si="18"/>
        <v xml:space="preserve"> </v>
      </c>
      <c r="AD120" s="16" t="str">
        <f t="shared" si="18"/>
        <v xml:space="preserve"> </v>
      </c>
      <c r="AE120" s="16" t="str">
        <f t="shared" si="18"/>
        <v xml:space="preserve"> </v>
      </c>
    </row>
    <row r="121" spans="1:31" ht="15" customHeight="1" thickBot="1" x14ac:dyDescent="0.35">
      <c r="A121"/>
      <c r="B121"/>
      <c r="C121"/>
      <c r="D121"/>
      <c r="E121"/>
      <c r="F121"/>
      <c r="G121" s="36" t="e">
        <f>VLOOKUP(F121,Results!$E$31:$F$50,2,FALSE)</f>
        <v>#N/A</v>
      </c>
      <c r="H121" s="38"/>
      <c r="I121" s="39"/>
      <c r="K121" s="3">
        <f t="shared" si="13"/>
        <v>0</v>
      </c>
      <c r="L121" s="16" t="str">
        <f t="shared" si="19"/>
        <v xml:space="preserve"> </v>
      </c>
      <c r="M121" s="16" t="str">
        <f t="shared" si="19"/>
        <v xml:space="preserve"> </v>
      </c>
      <c r="N121" s="16" t="str">
        <f t="shared" si="19"/>
        <v xml:space="preserve"> </v>
      </c>
      <c r="O121" s="16" t="str">
        <f t="shared" si="19"/>
        <v xml:space="preserve"> </v>
      </c>
      <c r="P121" s="16" t="str">
        <f t="shared" si="19"/>
        <v xml:space="preserve"> </v>
      </c>
      <c r="Q121" s="16" t="str">
        <f t="shared" si="19"/>
        <v xml:space="preserve"> </v>
      </c>
      <c r="R121" s="16" t="str">
        <f t="shared" si="19"/>
        <v xml:space="preserve"> </v>
      </c>
      <c r="S121" s="16" t="str">
        <f t="shared" si="19"/>
        <v xml:space="preserve"> </v>
      </c>
      <c r="T121" s="16" t="str">
        <f t="shared" si="19"/>
        <v xml:space="preserve"> </v>
      </c>
      <c r="U121" s="16" t="str">
        <f t="shared" si="19"/>
        <v xml:space="preserve"> </v>
      </c>
      <c r="V121" s="16" t="str">
        <f t="shared" si="19"/>
        <v xml:space="preserve"> </v>
      </c>
      <c r="W121" s="16" t="str">
        <f t="shared" si="19"/>
        <v xml:space="preserve"> </v>
      </c>
      <c r="X121" s="16" t="str">
        <f t="shared" si="19"/>
        <v xml:space="preserve"> </v>
      </c>
      <c r="Y121" s="16" t="str">
        <f t="shared" si="19"/>
        <v xml:space="preserve"> </v>
      </c>
      <c r="Z121" s="16" t="str">
        <f t="shared" si="19"/>
        <v xml:space="preserve"> </v>
      </c>
      <c r="AA121" s="16" t="str">
        <f t="shared" si="19"/>
        <v xml:space="preserve"> </v>
      </c>
      <c r="AB121" s="16" t="str">
        <f t="shared" si="18"/>
        <v xml:space="preserve"> </v>
      </c>
      <c r="AC121" s="16" t="str">
        <f t="shared" si="18"/>
        <v xml:space="preserve"> </v>
      </c>
      <c r="AD121" s="16" t="str">
        <f t="shared" si="18"/>
        <v xml:space="preserve"> </v>
      </c>
      <c r="AE121" s="16" t="str">
        <f t="shared" si="18"/>
        <v xml:space="preserve"> </v>
      </c>
    </row>
    <row r="122" spans="1:31" ht="15" customHeight="1" thickBot="1" x14ac:dyDescent="0.35">
      <c r="A122"/>
      <c r="B122"/>
      <c r="C122"/>
      <c r="D122"/>
      <c r="E122"/>
      <c r="F122"/>
      <c r="G122" s="36" t="e">
        <f>VLOOKUP(F122,Results!$E$31:$F$50,2,FALSE)</f>
        <v>#N/A</v>
      </c>
      <c r="H122" s="38"/>
      <c r="I122" s="39"/>
      <c r="K122" s="3">
        <f t="shared" si="13"/>
        <v>0</v>
      </c>
      <c r="L122" s="16" t="str">
        <f t="shared" si="19"/>
        <v xml:space="preserve"> </v>
      </c>
      <c r="M122" s="16" t="str">
        <f t="shared" si="19"/>
        <v xml:space="preserve"> </v>
      </c>
      <c r="N122" s="16" t="str">
        <f t="shared" si="19"/>
        <v xml:space="preserve"> </v>
      </c>
      <c r="O122" s="16" t="str">
        <f t="shared" si="19"/>
        <v xml:space="preserve"> </v>
      </c>
      <c r="P122" s="16" t="str">
        <f t="shared" si="19"/>
        <v xml:space="preserve"> </v>
      </c>
      <c r="Q122" s="16" t="str">
        <f t="shared" si="19"/>
        <v xml:space="preserve"> </v>
      </c>
      <c r="R122" s="16" t="str">
        <f t="shared" si="19"/>
        <v xml:space="preserve"> </v>
      </c>
      <c r="S122" s="16" t="str">
        <f t="shared" si="19"/>
        <v xml:space="preserve"> </v>
      </c>
      <c r="T122" s="16" t="str">
        <f t="shared" si="19"/>
        <v xml:space="preserve"> </v>
      </c>
      <c r="U122" s="16" t="str">
        <f t="shared" si="19"/>
        <v xml:space="preserve"> </v>
      </c>
      <c r="V122" s="16" t="str">
        <f t="shared" si="19"/>
        <v xml:space="preserve"> </v>
      </c>
      <c r="W122" s="16" t="str">
        <f t="shared" si="19"/>
        <v xml:space="preserve"> </v>
      </c>
      <c r="X122" s="16" t="str">
        <f t="shared" si="19"/>
        <v xml:space="preserve"> </v>
      </c>
      <c r="Y122" s="16" t="str">
        <f t="shared" si="19"/>
        <v xml:space="preserve"> </v>
      </c>
      <c r="Z122" s="16" t="str">
        <f t="shared" si="19"/>
        <v xml:space="preserve"> </v>
      </c>
      <c r="AA122" s="16" t="str">
        <f t="shared" si="19"/>
        <v xml:space="preserve"> </v>
      </c>
      <c r="AB122" s="16" t="str">
        <f t="shared" si="18"/>
        <v xml:space="preserve"> </v>
      </c>
      <c r="AC122" s="16" t="str">
        <f t="shared" si="18"/>
        <v xml:space="preserve"> </v>
      </c>
      <c r="AD122" s="16" t="str">
        <f t="shared" si="18"/>
        <v xml:space="preserve"> </v>
      </c>
      <c r="AE122" s="16" t="str">
        <f t="shared" si="18"/>
        <v xml:space="preserve"> </v>
      </c>
    </row>
    <row r="123" spans="1:31" ht="15" customHeight="1" thickBot="1" x14ac:dyDescent="0.35">
      <c r="A123"/>
      <c r="B123"/>
      <c r="C123"/>
      <c r="D123"/>
      <c r="E123"/>
      <c r="F123"/>
      <c r="G123" s="36" t="e">
        <f>VLOOKUP(F123,Results!$E$31:$F$50,2,FALSE)</f>
        <v>#N/A</v>
      </c>
      <c r="H123" s="38"/>
      <c r="I123" s="39"/>
      <c r="K123" s="3">
        <f t="shared" si="13"/>
        <v>0</v>
      </c>
      <c r="L123" s="16" t="str">
        <f t="shared" si="19"/>
        <v xml:space="preserve"> </v>
      </c>
      <c r="M123" s="16" t="str">
        <f t="shared" si="19"/>
        <v xml:space="preserve"> </v>
      </c>
      <c r="N123" s="16" t="str">
        <f t="shared" si="19"/>
        <v xml:space="preserve"> </v>
      </c>
      <c r="O123" s="16" t="str">
        <f t="shared" si="19"/>
        <v xml:space="preserve"> </v>
      </c>
      <c r="P123" s="16" t="str">
        <f t="shared" si="19"/>
        <v xml:space="preserve"> </v>
      </c>
      <c r="Q123" s="16" t="str">
        <f t="shared" si="19"/>
        <v xml:space="preserve"> </v>
      </c>
      <c r="R123" s="16" t="str">
        <f t="shared" si="19"/>
        <v xml:space="preserve"> </v>
      </c>
      <c r="S123" s="16" t="str">
        <f t="shared" si="19"/>
        <v xml:space="preserve"> </v>
      </c>
      <c r="T123" s="16" t="str">
        <f t="shared" si="19"/>
        <v xml:space="preserve"> </v>
      </c>
      <c r="U123" s="16" t="str">
        <f t="shared" si="19"/>
        <v xml:space="preserve"> </v>
      </c>
      <c r="V123" s="16" t="str">
        <f t="shared" si="19"/>
        <v xml:space="preserve"> </v>
      </c>
      <c r="W123" s="16" t="str">
        <f t="shared" si="19"/>
        <v xml:space="preserve"> </v>
      </c>
      <c r="X123" s="16" t="str">
        <f t="shared" si="19"/>
        <v xml:space="preserve"> </v>
      </c>
      <c r="Y123" s="16" t="str">
        <f t="shared" si="19"/>
        <v xml:space="preserve"> </v>
      </c>
      <c r="Z123" s="16" t="str">
        <f t="shared" si="19"/>
        <v xml:space="preserve"> </v>
      </c>
      <c r="AA123" s="16" t="str">
        <f t="shared" si="19"/>
        <v xml:space="preserve"> </v>
      </c>
      <c r="AB123" s="16" t="str">
        <f t="shared" si="18"/>
        <v xml:space="preserve"> </v>
      </c>
      <c r="AC123" s="16" t="str">
        <f t="shared" si="18"/>
        <v xml:space="preserve"> </v>
      </c>
      <c r="AD123" s="16" t="str">
        <f t="shared" si="18"/>
        <v xml:space="preserve"> </v>
      </c>
      <c r="AE123" s="16" t="str">
        <f t="shared" si="18"/>
        <v xml:space="preserve"> </v>
      </c>
    </row>
    <row r="124" spans="1:31" ht="15" customHeight="1" thickBot="1" x14ac:dyDescent="0.35">
      <c r="A124"/>
      <c r="B124"/>
      <c r="C124"/>
      <c r="D124"/>
      <c r="E124"/>
      <c r="F124"/>
      <c r="G124" s="36" t="e">
        <f>VLOOKUP(F124,Results!$E$31:$F$50,2,FALSE)</f>
        <v>#N/A</v>
      </c>
      <c r="H124" s="38"/>
      <c r="I124" s="39"/>
      <c r="K124" s="3">
        <f t="shared" si="13"/>
        <v>0</v>
      </c>
      <c r="L124" s="16" t="str">
        <f t="shared" si="19"/>
        <v xml:space="preserve"> </v>
      </c>
      <c r="M124" s="16" t="str">
        <f t="shared" si="19"/>
        <v xml:space="preserve"> </v>
      </c>
      <c r="N124" s="16" t="str">
        <f t="shared" si="19"/>
        <v xml:space="preserve"> </v>
      </c>
      <c r="O124" s="16" t="str">
        <f t="shared" si="19"/>
        <v xml:space="preserve"> </v>
      </c>
      <c r="P124" s="16" t="str">
        <f t="shared" si="19"/>
        <v xml:space="preserve"> </v>
      </c>
      <c r="Q124" s="16" t="str">
        <f t="shared" si="19"/>
        <v xml:space="preserve"> </v>
      </c>
      <c r="R124" s="16" t="str">
        <f t="shared" si="19"/>
        <v xml:space="preserve"> </v>
      </c>
      <c r="S124" s="16" t="str">
        <f t="shared" si="19"/>
        <v xml:space="preserve"> </v>
      </c>
      <c r="T124" s="16" t="str">
        <f t="shared" si="19"/>
        <v xml:space="preserve"> </v>
      </c>
      <c r="U124" s="16" t="str">
        <f t="shared" si="19"/>
        <v xml:space="preserve"> </v>
      </c>
      <c r="V124" s="16" t="str">
        <f t="shared" si="19"/>
        <v xml:space="preserve"> </v>
      </c>
      <c r="W124" s="16" t="str">
        <f t="shared" si="19"/>
        <v xml:space="preserve"> </v>
      </c>
      <c r="X124" s="16" t="str">
        <f t="shared" si="19"/>
        <v xml:space="preserve"> </v>
      </c>
      <c r="Y124" s="16" t="str">
        <f t="shared" si="19"/>
        <v xml:space="preserve"> </v>
      </c>
      <c r="Z124" s="16" t="str">
        <f t="shared" si="19"/>
        <v xml:space="preserve"> </v>
      </c>
      <c r="AA124" s="16" t="str">
        <f t="shared" si="19"/>
        <v xml:space="preserve"> </v>
      </c>
      <c r="AB124" s="16" t="str">
        <f t="shared" si="18"/>
        <v xml:space="preserve"> </v>
      </c>
      <c r="AC124" s="16" t="str">
        <f t="shared" si="18"/>
        <v xml:space="preserve"> </v>
      </c>
      <c r="AD124" s="16" t="str">
        <f t="shared" si="18"/>
        <v xml:space="preserve"> </v>
      </c>
      <c r="AE124" s="16" t="str">
        <f t="shared" si="18"/>
        <v xml:space="preserve"> </v>
      </c>
    </row>
    <row r="125" spans="1:31" ht="15" customHeight="1" thickBot="1" x14ac:dyDescent="0.35">
      <c r="A125"/>
      <c r="B125"/>
      <c r="C125"/>
      <c r="D125"/>
      <c r="E125"/>
      <c r="F125"/>
      <c r="G125" s="36" t="e">
        <f>VLOOKUP(F125,Results!$E$31:$F$50,2,FALSE)</f>
        <v>#N/A</v>
      </c>
      <c r="H125" s="38"/>
      <c r="I125" s="39"/>
      <c r="K125" s="3">
        <f t="shared" si="13"/>
        <v>0</v>
      </c>
      <c r="L125" s="16" t="str">
        <f t="shared" si="19"/>
        <v xml:space="preserve"> </v>
      </c>
      <c r="M125" s="16" t="str">
        <f t="shared" si="19"/>
        <v xml:space="preserve"> </v>
      </c>
      <c r="N125" s="16" t="str">
        <f t="shared" si="19"/>
        <v xml:space="preserve"> </v>
      </c>
      <c r="O125" s="16" t="str">
        <f t="shared" si="19"/>
        <v xml:space="preserve"> </v>
      </c>
      <c r="P125" s="16" t="str">
        <f t="shared" si="19"/>
        <v xml:space="preserve"> </v>
      </c>
      <c r="Q125" s="16" t="str">
        <f t="shared" si="19"/>
        <v xml:space="preserve"> </v>
      </c>
      <c r="R125" s="16" t="str">
        <f t="shared" si="19"/>
        <v xml:space="preserve"> </v>
      </c>
      <c r="S125" s="16" t="str">
        <f t="shared" si="19"/>
        <v xml:space="preserve"> </v>
      </c>
      <c r="T125" s="16" t="str">
        <f t="shared" si="19"/>
        <v xml:space="preserve"> </v>
      </c>
      <c r="U125" s="16" t="str">
        <f t="shared" si="19"/>
        <v xml:space="preserve"> </v>
      </c>
      <c r="V125" s="16" t="str">
        <f t="shared" si="19"/>
        <v xml:space="preserve"> </v>
      </c>
      <c r="W125" s="16" t="str">
        <f t="shared" si="19"/>
        <v xml:space="preserve"> </v>
      </c>
      <c r="X125" s="16" t="str">
        <f t="shared" si="19"/>
        <v xml:space="preserve"> </v>
      </c>
      <c r="Y125" s="16" t="str">
        <f t="shared" si="19"/>
        <v xml:space="preserve"> </v>
      </c>
      <c r="Z125" s="16" t="str">
        <f t="shared" si="19"/>
        <v xml:space="preserve"> </v>
      </c>
      <c r="AA125" s="16" t="str">
        <f t="shared" si="19"/>
        <v xml:space="preserve"> </v>
      </c>
      <c r="AB125" s="16" t="str">
        <f t="shared" si="18"/>
        <v xml:space="preserve"> </v>
      </c>
      <c r="AC125" s="16" t="str">
        <f t="shared" si="18"/>
        <v xml:space="preserve"> </v>
      </c>
      <c r="AD125" s="16" t="str">
        <f t="shared" si="18"/>
        <v xml:space="preserve"> </v>
      </c>
      <c r="AE125" s="16" t="str">
        <f t="shared" si="18"/>
        <v xml:space="preserve"> </v>
      </c>
    </row>
    <row r="126" spans="1:31" ht="15" customHeight="1" thickBot="1" x14ac:dyDescent="0.35">
      <c r="A126"/>
      <c r="B126"/>
      <c r="C126"/>
      <c r="D126"/>
      <c r="E126"/>
      <c r="F126"/>
      <c r="G126" s="36" t="e">
        <f>VLOOKUP(F126,Results!$E$31:$F$50,2,FALSE)</f>
        <v>#N/A</v>
      </c>
      <c r="H126" s="38"/>
      <c r="I126" s="39"/>
      <c r="K126" s="3">
        <f t="shared" si="13"/>
        <v>0</v>
      </c>
      <c r="L126" s="16" t="str">
        <f t="shared" si="19"/>
        <v xml:space="preserve"> </v>
      </c>
      <c r="M126" s="16" t="str">
        <f t="shared" si="19"/>
        <v xml:space="preserve"> </v>
      </c>
      <c r="N126" s="16" t="str">
        <f t="shared" si="19"/>
        <v xml:space="preserve"> </v>
      </c>
      <c r="O126" s="16" t="str">
        <f t="shared" si="19"/>
        <v xml:space="preserve"> </v>
      </c>
      <c r="P126" s="16" t="str">
        <f t="shared" si="19"/>
        <v xml:space="preserve"> </v>
      </c>
      <c r="Q126" s="16" t="str">
        <f t="shared" si="19"/>
        <v xml:space="preserve"> </v>
      </c>
      <c r="R126" s="16" t="str">
        <f t="shared" si="19"/>
        <v xml:space="preserve"> </v>
      </c>
      <c r="S126" s="16" t="str">
        <f t="shared" si="19"/>
        <v xml:space="preserve"> </v>
      </c>
      <c r="T126" s="16" t="str">
        <f t="shared" si="19"/>
        <v xml:space="preserve"> </v>
      </c>
      <c r="U126" s="16" t="str">
        <f t="shared" si="19"/>
        <v xml:space="preserve"> </v>
      </c>
      <c r="V126" s="16" t="str">
        <f t="shared" si="19"/>
        <v xml:space="preserve"> </v>
      </c>
      <c r="W126" s="16" t="str">
        <f t="shared" si="19"/>
        <v xml:space="preserve"> </v>
      </c>
      <c r="X126" s="16" t="str">
        <f t="shared" si="19"/>
        <v xml:space="preserve"> </v>
      </c>
      <c r="Y126" s="16" t="str">
        <f t="shared" si="19"/>
        <v xml:space="preserve"> </v>
      </c>
      <c r="Z126" s="16" t="str">
        <f t="shared" si="19"/>
        <v xml:space="preserve"> </v>
      </c>
      <c r="AA126" s="16" t="str">
        <f t="shared" si="19"/>
        <v xml:space="preserve"> </v>
      </c>
      <c r="AB126" s="16" t="str">
        <f t="shared" si="18"/>
        <v xml:space="preserve"> </v>
      </c>
      <c r="AC126" s="16" t="str">
        <f t="shared" si="18"/>
        <v xml:space="preserve"> </v>
      </c>
      <c r="AD126" s="16" t="str">
        <f t="shared" si="18"/>
        <v xml:space="preserve"> </v>
      </c>
      <c r="AE126" s="16" t="str">
        <f t="shared" si="18"/>
        <v xml:space="preserve"> </v>
      </c>
    </row>
    <row r="127" spans="1:31" ht="15" customHeight="1" thickBot="1" x14ac:dyDescent="0.35">
      <c r="A127"/>
      <c r="B127"/>
      <c r="C127"/>
      <c r="D127"/>
      <c r="E127"/>
      <c r="F127"/>
      <c r="G127" s="36" t="e">
        <f>VLOOKUP(F127,Results!$E$31:$F$50,2,FALSE)</f>
        <v>#N/A</v>
      </c>
      <c r="H127" s="38"/>
      <c r="I127" s="39"/>
      <c r="K127" s="3">
        <f t="shared" si="13"/>
        <v>0</v>
      </c>
      <c r="L127" s="16" t="str">
        <f t="shared" si="19"/>
        <v xml:space="preserve"> </v>
      </c>
      <c r="M127" s="16" t="str">
        <f t="shared" si="19"/>
        <v xml:space="preserve"> </v>
      </c>
      <c r="N127" s="16" t="str">
        <f t="shared" si="19"/>
        <v xml:space="preserve"> </v>
      </c>
      <c r="O127" s="16" t="str">
        <f t="shared" si="19"/>
        <v xml:space="preserve"> </v>
      </c>
      <c r="P127" s="16" t="str">
        <f t="shared" si="19"/>
        <v xml:space="preserve"> </v>
      </c>
      <c r="Q127" s="16" t="str">
        <f t="shared" si="19"/>
        <v xml:space="preserve"> </v>
      </c>
      <c r="R127" s="16" t="str">
        <f t="shared" si="19"/>
        <v xml:space="preserve"> </v>
      </c>
      <c r="S127" s="16" t="str">
        <f t="shared" si="19"/>
        <v xml:space="preserve"> </v>
      </c>
      <c r="T127" s="16" t="str">
        <f t="shared" si="19"/>
        <v xml:space="preserve"> </v>
      </c>
      <c r="U127" s="16" t="str">
        <f t="shared" si="19"/>
        <v xml:space="preserve"> </v>
      </c>
      <c r="V127" s="16" t="str">
        <f t="shared" si="19"/>
        <v xml:space="preserve"> </v>
      </c>
      <c r="W127" s="16" t="str">
        <f t="shared" si="19"/>
        <v xml:space="preserve"> </v>
      </c>
      <c r="X127" s="16" t="str">
        <f t="shared" si="19"/>
        <v xml:space="preserve"> </v>
      </c>
      <c r="Y127" s="16" t="str">
        <f t="shared" si="19"/>
        <v xml:space="preserve"> </v>
      </c>
      <c r="Z127" s="16" t="str">
        <f t="shared" si="19"/>
        <v xml:space="preserve"> </v>
      </c>
      <c r="AA127" s="16" t="str">
        <f t="shared" si="19"/>
        <v xml:space="preserve"> </v>
      </c>
      <c r="AB127" s="16" t="str">
        <f t="shared" si="18"/>
        <v xml:space="preserve"> </v>
      </c>
      <c r="AC127" s="16" t="str">
        <f t="shared" si="18"/>
        <v xml:space="preserve"> </v>
      </c>
      <c r="AD127" s="16" t="str">
        <f t="shared" si="18"/>
        <v xml:space="preserve"> </v>
      </c>
      <c r="AE127" s="16" t="str">
        <f t="shared" si="18"/>
        <v xml:space="preserve"> </v>
      </c>
    </row>
    <row r="128" spans="1:31" ht="15" customHeight="1" thickBot="1" x14ac:dyDescent="0.35">
      <c r="A128"/>
      <c r="B128"/>
      <c r="C128"/>
      <c r="D128"/>
      <c r="E128"/>
      <c r="F128"/>
      <c r="G128" s="36" t="e">
        <f>VLOOKUP(F128,Results!$E$31:$F$50,2,FALSE)</f>
        <v>#N/A</v>
      </c>
      <c r="H128" s="38"/>
      <c r="I128" s="39"/>
      <c r="K128" s="3">
        <f t="shared" si="13"/>
        <v>0</v>
      </c>
      <c r="L128" s="16" t="str">
        <f t="shared" si="19"/>
        <v xml:space="preserve"> </v>
      </c>
      <c r="M128" s="16" t="str">
        <f t="shared" si="19"/>
        <v xml:space="preserve"> </v>
      </c>
      <c r="N128" s="16" t="str">
        <f t="shared" si="19"/>
        <v xml:space="preserve"> </v>
      </c>
      <c r="O128" s="16" t="str">
        <f t="shared" si="19"/>
        <v xml:space="preserve"> </v>
      </c>
      <c r="P128" s="16" t="str">
        <f t="shared" si="19"/>
        <v xml:space="preserve"> </v>
      </c>
      <c r="Q128" s="16" t="str">
        <f t="shared" si="19"/>
        <v xml:space="preserve"> </v>
      </c>
      <c r="R128" s="16" t="str">
        <f t="shared" si="19"/>
        <v xml:space="preserve"> </v>
      </c>
      <c r="S128" s="16" t="str">
        <f t="shared" si="19"/>
        <v xml:space="preserve"> </v>
      </c>
      <c r="T128" s="16" t="str">
        <f t="shared" si="19"/>
        <v xml:space="preserve"> </v>
      </c>
      <c r="U128" s="16" t="str">
        <f t="shared" si="19"/>
        <v xml:space="preserve"> </v>
      </c>
      <c r="V128" s="16" t="str">
        <f t="shared" si="19"/>
        <v xml:space="preserve"> </v>
      </c>
      <c r="W128" s="16" t="str">
        <f t="shared" si="19"/>
        <v xml:space="preserve"> </v>
      </c>
      <c r="X128" s="16" t="str">
        <f t="shared" si="19"/>
        <v xml:space="preserve"> </v>
      </c>
      <c r="Y128" s="16" t="str">
        <f t="shared" si="19"/>
        <v xml:space="preserve"> </v>
      </c>
      <c r="Z128" s="16" t="str">
        <f t="shared" si="19"/>
        <v xml:space="preserve"> </v>
      </c>
      <c r="AA128" s="16" t="str">
        <f t="shared" si="19"/>
        <v xml:space="preserve"> </v>
      </c>
      <c r="AB128" s="16" t="str">
        <f t="shared" si="18"/>
        <v xml:space="preserve"> </v>
      </c>
      <c r="AC128" s="16" t="str">
        <f t="shared" si="18"/>
        <v xml:space="preserve"> </v>
      </c>
      <c r="AD128" s="16" t="str">
        <f t="shared" si="18"/>
        <v xml:space="preserve"> </v>
      </c>
      <c r="AE128" s="16" t="str">
        <f t="shared" si="18"/>
        <v xml:space="preserve"> </v>
      </c>
    </row>
    <row r="129" spans="1:31" ht="15" customHeight="1" thickBot="1" x14ac:dyDescent="0.35">
      <c r="A129"/>
      <c r="B129"/>
      <c r="C129"/>
      <c r="D129"/>
      <c r="E129"/>
      <c r="F129"/>
      <c r="G129" s="36" t="e">
        <f>VLOOKUP(F129,Results!$E$31:$F$50,2,FALSE)</f>
        <v>#N/A</v>
      </c>
      <c r="H129" s="38"/>
      <c r="I129" s="39"/>
      <c r="K129" s="3">
        <f t="shared" si="13"/>
        <v>0</v>
      </c>
      <c r="L129" s="16" t="str">
        <f t="shared" si="19"/>
        <v xml:space="preserve"> </v>
      </c>
      <c r="M129" s="16" t="str">
        <f t="shared" si="19"/>
        <v xml:space="preserve"> </v>
      </c>
      <c r="N129" s="16" t="str">
        <f t="shared" si="19"/>
        <v xml:space="preserve"> </v>
      </c>
      <c r="O129" s="16" t="str">
        <f t="shared" si="19"/>
        <v xml:space="preserve"> </v>
      </c>
      <c r="P129" s="16" t="str">
        <f t="shared" si="19"/>
        <v xml:space="preserve"> </v>
      </c>
      <c r="Q129" s="16" t="str">
        <f t="shared" si="19"/>
        <v xml:space="preserve"> </v>
      </c>
      <c r="R129" s="16" t="str">
        <f t="shared" si="19"/>
        <v xml:space="preserve"> </v>
      </c>
      <c r="S129" s="16" t="str">
        <f t="shared" si="19"/>
        <v xml:space="preserve"> </v>
      </c>
      <c r="T129" s="16" t="str">
        <f t="shared" si="19"/>
        <v xml:space="preserve"> </v>
      </c>
      <c r="U129" s="16" t="str">
        <f t="shared" si="19"/>
        <v xml:space="preserve"> </v>
      </c>
      <c r="V129" s="16" t="str">
        <f t="shared" si="19"/>
        <v xml:space="preserve"> </v>
      </c>
      <c r="W129" s="16" t="str">
        <f t="shared" si="19"/>
        <v xml:space="preserve"> </v>
      </c>
      <c r="X129" s="16" t="str">
        <f t="shared" si="19"/>
        <v xml:space="preserve"> </v>
      </c>
      <c r="Y129" s="16" t="str">
        <f t="shared" si="19"/>
        <v xml:space="preserve"> </v>
      </c>
      <c r="Z129" s="16" t="str">
        <f t="shared" si="19"/>
        <v xml:space="preserve"> </v>
      </c>
      <c r="AA129" s="16" t="str">
        <f t="shared" si="19"/>
        <v xml:space="preserve"> </v>
      </c>
      <c r="AB129" s="16" t="str">
        <f t="shared" si="18"/>
        <v xml:space="preserve"> </v>
      </c>
      <c r="AC129" s="16" t="str">
        <f t="shared" si="18"/>
        <v xml:space="preserve"> </v>
      </c>
      <c r="AD129" s="16" t="str">
        <f t="shared" si="18"/>
        <v xml:space="preserve"> </v>
      </c>
      <c r="AE129" s="16" t="str">
        <f t="shared" si="18"/>
        <v xml:space="preserve"> </v>
      </c>
    </row>
    <row r="130" spans="1:31" ht="15" customHeight="1" thickBot="1" x14ac:dyDescent="0.35">
      <c r="A130"/>
      <c r="B130"/>
      <c r="C130"/>
      <c r="D130"/>
      <c r="E130"/>
      <c r="F130"/>
      <c r="G130" s="36" t="e">
        <f>VLOOKUP(F130,Results!$E$31:$F$50,2,FALSE)</f>
        <v>#N/A</v>
      </c>
      <c r="H130" s="38"/>
      <c r="I130" s="39"/>
      <c r="K130" s="3">
        <f t="shared" si="13"/>
        <v>0</v>
      </c>
      <c r="L130" s="16" t="str">
        <f t="shared" si="19"/>
        <v xml:space="preserve"> </v>
      </c>
      <c r="M130" s="16" t="str">
        <f t="shared" si="19"/>
        <v xml:space="preserve"> </v>
      </c>
      <c r="N130" s="16" t="str">
        <f t="shared" si="19"/>
        <v xml:space="preserve"> </v>
      </c>
      <c r="O130" s="16" t="str">
        <f t="shared" si="19"/>
        <v xml:space="preserve"> </v>
      </c>
      <c r="P130" s="16" t="str">
        <f t="shared" si="19"/>
        <v xml:space="preserve"> </v>
      </c>
      <c r="Q130" s="16" t="str">
        <f t="shared" si="19"/>
        <v xml:space="preserve"> </v>
      </c>
      <c r="R130" s="16" t="str">
        <f t="shared" si="19"/>
        <v xml:space="preserve"> </v>
      </c>
      <c r="S130" s="16" t="str">
        <f t="shared" si="19"/>
        <v xml:space="preserve"> </v>
      </c>
      <c r="T130" s="16" t="str">
        <f t="shared" si="19"/>
        <v xml:space="preserve"> </v>
      </c>
      <c r="U130" s="16" t="str">
        <f t="shared" si="19"/>
        <v xml:space="preserve"> </v>
      </c>
      <c r="V130" s="16" t="str">
        <f t="shared" si="19"/>
        <v xml:space="preserve"> </v>
      </c>
      <c r="W130" s="16" t="str">
        <f t="shared" si="19"/>
        <v xml:space="preserve"> </v>
      </c>
      <c r="X130" s="16" t="str">
        <f t="shared" si="19"/>
        <v xml:space="preserve"> </v>
      </c>
      <c r="Y130" s="16" t="str">
        <f t="shared" si="19"/>
        <v xml:space="preserve"> </v>
      </c>
      <c r="Z130" s="16" t="str">
        <f t="shared" si="19"/>
        <v xml:space="preserve"> </v>
      </c>
      <c r="AA130" s="16" t="str">
        <f t="shared" ref="AA130:AE145" si="20">IF($F130=COLUMN((AA:AA))-11,$E130," ")</f>
        <v xml:space="preserve"> </v>
      </c>
      <c r="AB130" s="16" t="str">
        <f t="shared" si="20"/>
        <v xml:space="preserve"> </v>
      </c>
      <c r="AC130" s="16" t="str">
        <f t="shared" si="20"/>
        <v xml:space="preserve"> </v>
      </c>
      <c r="AD130" s="16" t="str">
        <f t="shared" si="20"/>
        <v xml:space="preserve"> </v>
      </c>
      <c r="AE130" s="16" t="str">
        <f t="shared" si="20"/>
        <v xml:space="preserve"> </v>
      </c>
    </row>
    <row r="131" spans="1:31" ht="15" customHeight="1" thickBot="1" x14ac:dyDescent="0.35">
      <c r="A131"/>
      <c r="B131"/>
      <c r="C131"/>
      <c r="D131"/>
      <c r="E131"/>
      <c r="F131"/>
      <c r="G131" s="36" t="e">
        <f>VLOOKUP(F131,Results!$E$31:$F$50,2,FALSE)</f>
        <v>#N/A</v>
      </c>
      <c r="H131" s="38"/>
      <c r="I131" s="39"/>
      <c r="K131" s="3">
        <f t="shared" si="13"/>
        <v>0</v>
      </c>
      <c r="L131" s="16" t="str">
        <f t="shared" ref="L131:AA146" si="21">IF($F131=COLUMN((L:L))-11,$E131," ")</f>
        <v xml:space="preserve"> </v>
      </c>
      <c r="M131" s="16" t="str">
        <f t="shared" si="21"/>
        <v xml:space="preserve"> </v>
      </c>
      <c r="N131" s="16" t="str">
        <f t="shared" si="21"/>
        <v xml:space="preserve"> </v>
      </c>
      <c r="O131" s="16" t="str">
        <f t="shared" si="21"/>
        <v xml:space="preserve"> </v>
      </c>
      <c r="P131" s="16" t="str">
        <f t="shared" si="21"/>
        <v xml:space="preserve"> </v>
      </c>
      <c r="Q131" s="16" t="str">
        <f t="shared" si="21"/>
        <v xml:space="preserve"> </v>
      </c>
      <c r="R131" s="16" t="str">
        <f t="shared" si="21"/>
        <v xml:space="preserve"> </v>
      </c>
      <c r="S131" s="16" t="str">
        <f t="shared" si="21"/>
        <v xml:space="preserve"> </v>
      </c>
      <c r="T131" s="16" t="str">
        <f t="shared" si="21"/>
        <v xml:space="preserve"> </v>
      </c>
      <c r="U131" s="16" t="str">
        <f t="shared" si="21"/>
        <v xml:space="preserve"> </v>
      </c>
      <c r="V131" s="16" t="str">
        <f t="shared" si="21"/>
        <v xml:space="preserve"> </v>
      </c>
      <c r="W131" s="16" t="str">
        <f t="shared" si="21"/>
        <v xml:space="preserve"> </v>
      </c>
      <c r="X131" s="16" t="str">
        <f t="shared" si="21"/>
        <v xml:space="preserve"> </v>
      </c>
      <c r="Y131" s="16" t="str">
        <f t="shared" si="21"/>
        <v xml:space="preserve"> </v>
      </c>
      <c r="Z131" s="16" t="str">
        <f t="shared" si="21"/>
        <v xml:space="preserve"> </v>
      </c>
      <c r="AA131" s="16" t="str">
        <f t="shared" si="21"/>
        <v xml:space="preserve"> </v>
      </c>
      <c r="AB131" s="16" t="str">
        <f t="shared" si="20"/>
        <v xml:space="preserve"> </v>
      </c>
      <c r="AC131" s="16" t="str">
        <f t="shared" si="20"/>
        <v xml:space="preserve"> </v>
      </c>
      <c r="AD131" s="16" t="str">
        <f t="shared" si="20"/>
        <v xml:space="preserve"> </v>
      </c>
      <c r="AE131" s="16" t="str">
        <f t="shared" si="20"/>
        <v xml:space="preserve"> </v>
      </c>
    </row>
    <row r="132" spans="1:31" ht="15" customHeight="1" thickBot="1" x14ac:dyDescent="0.35">
      <c r="A132"/>
      <c r="B132"/>
      <c r="C132"/>
      <c r="D132"/>
      <c r="E132"/>
      <c r="F132"/>
      <c r="G132" s="36" t="e">
        <f>VLOOKUP(F132,Results!$E$31:$F$50,2,FALSE)</f>
        <v>#N/A</v>
      </c>
      <c r="H132" s="38"/>
      <c r="I132" s="39"/>
      <c r="K132" s="3">
        <f t="shared" si="13"/>
        <v>0</v>
      </c>
      <c r="L132" s="16" t="str">
        <f t="shared" si="21"/>
        <v xml:space="preserve"> </v>
      </c>
      <c r="M132" s="16" t="str">
        <f t="shared" si="21"/>
        <v xml:space="preserve"> </v>
      </c>
      <c r="N132" s="16" t="str">
        <f t="shared" si="21"/>
        <v xml:space="preserve"> </v>
      </c>
      <c r="O132" s="16" t="str">
        <f t="shared" si="21"/>
        <v xml:space="preserve"> </v>
      </c>
      <c r="P132" s="16" t="str">
        <f t="shared" si="21"/>
        <v xml:space="preserve"> </v>
      </c>
      <c r="Q132" s="16" t="str">
        <f t="shared" si="21"/>
        <v xml:space="preserve"> </v>
      </c>
      <c r="R132" s="16" t="str">
        <f t="shared" si="21"/>
        <v xml:space="preserve"> </v>
      </c>
      <c r="S132" s="16" t="str">
        <f t="shared" si="21"/>
        <v xml:space="preserve"> </v>
      </c>
      <c r="T132" s="16" t="str">
        <f t="shared" si="21"/>
        <v xml:space="preserve"> </v>
      </c>
      <c r="U132" s="16" t="str">
        <f t="shared" si="21"/>
        <v xml:space="preserve"> </v>
      </c>
      <c r="V132" s="16" t="str">
        <f t="shared" si="21"/>
        <v xml:space="preserve"> </v>
      </c>
      <c r="W132" s="16" t="str">
        <f t="shared" si="21"/>
        <v xml:space="preserve"> </v>
      </c>
      <c r="X132" s="16" t="str">
        <f t="shared" si="21"/>
        <v xml:space="preserve"> </v>
      </c>
      <c r="Y132" s="16" t="str">
        <f t="shared" si="21"/>
        <v xml:space="preserve"> </v>
      </c>
      <c r="Z132" s="16" t="str">
        <f t="shared" si="21"/>
        <v xml:space="preserve"> </v>
      </c>
      <c r="AA132" s="16" t="str">
        <f t="shared" si="21"/>
        <v xml:space="preserve"> </v>
      </c>
      <c r="AB132" s="16" t="str">
        <f t="shared" si="20"/>
        <v xml:space="preserve"> </v>
      </c>
      <c r="AC132" s="16" t="str">
        <f t="shared" si="20"/>
        <v xml:space="preserve"> </v>
      </c>
      <c r="AD132" s="16" t="str">
        <f t="shared" si="20"/>
        <v xml:space="preserve"> </v>
      </c>
      <c r="AE132" s="16" t="str">
        <f t="shared" si="20"/>
        <v xml:space="preserve"> </v>
      </c>
    </row>
    <row r="133" spans="1:31" ht="15" customHeight="1" thickBot="1" x14ac:dyDescent="0.35">
      <c r="A133"/>
      <c r="B133"/>
      <c r="C133"/>
      <c r="D133"/>
      <c r="E133"/>
      <c r="F133"/>
      <c r="G133" s="36" t="e">
        <f>VLOOKUP(F133,Results!$E$31:$F$50,2,FALSE)</f>
        <v>#N/A</v>
      </c>
      <c r="H133" s="38"/>
      <c r="I133" s="39"/>
      <c r="K133" s="3">
        <f t="shared" si="13"/>
        <v>0</v>
      </c>
      <c r="L133" s="16" t="str">
        <f t="shared" si="21"/>
        <v xml:space="preserve"> </v>
      </c>
      <c r="M133" s="16" t="str">
        <f t="shared" si="21"/>
        <v xml:space="preserve"> </v>
      </c>
      <c r="N133" s="16" t="str">
        <f t="shared" si="21"/>
        <v xml:space="preserve"> </v>
      </c>
      <c r="O133" s="16" t="str">
        <f t="shared" si="21"/>
        <v xml:space="preserve"> </v>
      </c>
      <c r="P133" s="16" t="str">
        <f t="shared" si="21"/>
        <v xml:space="preserve"> </v>
      </c>
      <c r="Q133" s="16" t="str">
        <f t="shared" si="21"/>
        <v xml:space="preserve"> </v>
      </c>
      <c r="R133" s="16" t="str">
        <f t="shared" si="21"/>
        <v xml:space="preserve"> </v>
      </c>
      <c r="S133" s="16" t="str">
        <f t="shared" si="21"/>
        <v xml:space="preserve"> </v>
      </c>
      <c r="T133" s="16" t="str">
        <f t="shared" si="21"/>
        <v xml:space="preserve"> </v>
      </c>
      <c r="U133" s="16" t="str">
        <f t="shared" si="21"/>
        <v xml:space="preserve"> </v>
      </c>
      <c r="V133" s="16" t="str">
        <f t="shared" si="21"/>
        <v xml:space="preserve"> </v>
      </c>
      <c r="W133" s="16" t="str">
        <f t="shared" si="21"/>
        <v xml:space="preserve"> </v>
      </c>
      <c r="X133" s="16" t="str">
        <f t="shared" si="21"/>
        <v xml:space="preserve"> </v>
      </c>
      <c r="Y133" s="16" t="str">
        <f t="shared" si="21"/>
        <v xml:space="preserve"> </v>
      </c>
      <c r="Z133" s="16" t="str">
        <f t="shared" si="21"/>
        <v xml:space="preserve"> </v>
      </c>
      <c r="AA133" s="16" t="str">
        <f t="shared" si="21"/>
        <v xml:space="preserve"> </v>
      </c>
      <c r="AB133" s="16" t="str">
        <f t="shared" si="20"/>
        <v xml:space="preserve"> </v>
      </c>
      <c r="AC133" s="16" t="str">
        <f t="shared" si="20"/>
        <v xml:space="preserve"> </v>
      </c>
      <c r="AD133" s="16" t="str">
        <f t="shared" si="20"/>
        <v xml:space="preserve"> </v>
      </c>
      <c r="AE133" s="16" t="str">
        <f t="shared" si="20"/>
        <v xml:space="preserve"> </v>
      </c>
    </row>
    <row r="134" spans="1:31" ht="15" customHeight="1" thickBot="1" x14ac:dyDescent="0.35">
      <c r="A134"/>
      <c r="B134"/>
      <c r="C134"/>
      <c r="D134"/>
      <c r="E134"/>
      <c r="F134"/>
      <c r="G134" s="36" t="e">
        <f>VLOOKUP(F134,Results!$E$31:$F$50,2,FALSE)</f>
        <v>#N/A</v>
      </c>
      <c r="H134" s="40"/>
      <c r="I134" s="39"/>
      <c r="K134" s="3">
        <f t="shared" ref="K134:K197" si="22">COUNT(L134:AE134)</f>
        <v>0</v>
      </c>
      <c r="L134" s="16" t="str">
        <f t="shared" si="21"/>
        <v xml:space="preserve"> </v>
      </c>
      <c r="M134" s="16" t="str">
        <f t="shared" si="21"/>
        <v xml:space="preserve"> </v>
      </c>
      <c r="N134" s="16" t="str">
        <f t="shared" si="21"/>
        <v xml:space="preserve"> </v>
      </c>
      <c r="O134" s="16" t="str">
        <f t="shared" si="21"/>
        <v xml:space="preserve"> </v>
      </c>
      <c r="P134" s="16" t="str">
        <f t="shared" si="21"/>
        <v xml:space="preserve"> </v>
      </c>
      <c r="Q134" s="16" t="str">
        <f t="shared" si="21"/>
        <v xml:space="preserve"> </v>
      </c>
      <c r="R134" s="16" t="str">
        <f t="shared" si="21"/>
        <v xml:space="preserve"> </v>
      </c>
      <c r="S134" s="16" t="str">
        <f t="shared" si="21"/>
        <v xml:space="preserve"> </v>
      </c>
      <c r="T134" s="16" t="str">
        <f t="shared" si="21"/>
        <v xml:space="preserve"> </v>
      </c>
      <c r="U134" s="16" t="str">
        <f t="shared" si="21"/>
        <v xml:space="preserve"> </v>
      </c>
      <c r="V134" s="16" t="str">
        <f t="shared" si="21"/>
        <v xml:space="preserve"> </v>
      </c>
      <c r="W134" s="16" t="str">
        <f t="shared" si="21"/>
        <v xml:space="preserve"> </v>
      </c>
      <c r="X134" s="16" t="str">
        <f t="shared" si="21"/>
        <v xml:space="preserve"> </v>
      </c>
      <c r="Y134" s="16" t="str">
        <f t="shared" si="21"/>
        <v xml:space="preserve"> </v>
      </c>
      <c r="Z134" s="16" t="str">
        <f t="shared" si="21"/>
        <v xml:space="preserve"> </v>
      </c>
      <c r="AA134" s="16" t="str">
        <f t="shared" si="21"/>
        <v xml:space="preserve"> </v>
      </c>
      <c r="AB134" s="16" t="str">
        <f t="shared" si="20"/>
        <v xml:space="preserve"> </v>
      </c>
      <c r="AC134" s="16" t="str">
        <f t="shared" si="20"/>
        <v xml:space="preserve"> </v>
      </c>
      <c r="AD134" s="16" t="str">
        <f t="shared" si="20"/>
        <v xml:space="preserve"> </v>
      </c>
      <c r="AE134" s="16" t="str">
        <f t="shared" si="20"/>
        <v xml:space="preserve"> </v>
      </c>
    </row>
    <row r="135" spans="1:31" ht="15" customHeight="1" thickBot="1" x14ac:dyDescent="0.35">
      <c r="A135"/>
      <c r="B135"/>
      <c r="C135"/>
      <c r="D135"/>
      <c r="E135"/>
      <c r="F135"/>
      <c r="G135" s="36" t="e">
        <f>VLOOKUP(F135,Results!$E$31:$F$50,2,FALSE)</f>
        <v>#N/A</v>
      </c>
      <c r="H135" s="40"/>
      <c r="I135" s="39"/>
      <c r="K135" s="3">
        <f t="shared" si="22"/>
        <v>0</v>
      </c>
      <c r="L135" s="16" t="str">
        <f t="shared" si="21"/>
        <v xml:space="preserve"> </v>
      </c>
      <c r="M135" s="16" t="str">
        <f t="shared" si="21"/>
        <v xml:space="preserve"> </v>
      </c>
      <c r="N135" s="16" t="str">
        <f t="shared" si="21"/>
        <v xml:space="preserve"> </v>
      </c>
      <c r="O135" s="16" t="str">
        <f t="shared" si="21"/>
        <v xml:space="preserve"> </v>
      </c>
      <c r="P135" s="16" t="str">
        <f t="shared" si="21"/>
        <v xml:space="preserve"> </v>
      </c>
      <c r="Q135" s="16" t="str">
        <f t="shared" si="21"/>
        <v xml:space="preserve"> </v>
      </c>
      <c r="R135" s="16" t="str">
        <f t="shared" si="21"/>
        <v xml:space="preserve"> </v>
      </c>
      <c r="S135" s="16" t="str">
        <f t="shared" si="21"/>
        <v xml:space="preserve"> </v>
      </c>
      <c r="T135" s="16" t="str">
        <f t="shared" si="21"/>
        <v xml:space="preserve"> </v>
      </c>
      <c r="U135" s="16" t="str">
        <f t="shared" si="21"/>
        <v xml:space="preserve"> </v>
      </c>
      <c r="V135" s="16" t="str">
        <f t="shared" si="21"/>
        <v xml:space="preserve"> </v>
      </c>
      <c r="W135" s="16" t="str">
        <f t="shared" si="21"/>
        <v xml:space="preserve"> </v>
      </c>
      <c r="X135" s="16" t="str">
        <f t="shared" si="21"/>
        <v xml:space="preserve"> </v>
      </c>
      <c r="Y135" s="16" t="str">
        <f t="shared" si="21"/>
        <v xml:space="preserve"> </v>
      </c>
      <c r="Z135" s="16" t="str">
        <f t="shared" si="21"/>
        <v xml:space="preserve"> </v>
      </c>
      <c r="AA135" s="16" t="str">
        <f t="shared" si="21"/>
        <v xml:space="preserve"> </v>
      </c>
      <c r="AB135" s="16" t="str">
        <f t="shared" si="20"/>
        <v xml:space="preserve"> </v>
      </c>
      <c r="AC135" s="16" t="str">
        <f t="shared" si="20"/>
        <v xml:space="preserve"> </v>
      </c>
      <c r="AD135" s="16" t="str">
        <f t="shared" si="20"/>
        <v xml:space="preserve"> </v>
      </c>
      <c r="AE135" s="16" t="str">
        <f t="shared" si="20"/>
        <v xml:space="preserve"> </v>
      </c>
    </row>
    <row r="136" spans="1:31" ht="15" customHeight="1" thickBot="1" x14ac:dyDescent="0.35">
      <c r="A136"/>
      <c r="B136"/>
      <c r="C136"/>
      <c r="D136"/>
      <c r="E136"/>
      <c r="F136"/>
      <c r="G136" s="36" t="e">
        <f>VLOOKUP(F136,Results!$E$31:$F$50,2,FALSE)</f>
        <v>#N/A</v>
      </c>
      <c r="H136" s="40"/>
      <c r="I136" s="39"/>
      <c r="K136" s="3">
        <f t="shared" si="22"/>
        <v>0</v>
      </c>
      <c r="L136" s="16" t="str">
        <f t="shared" si="21"/>
        <v xml:space="preserve"> </v>
      </c>
      <c r="M136" s="16" t="str">
        <f t="shared" si="21"/>
        <v xml:space="preserve"> </v>
      </c>
      <c r="N136" s="16" t="str">
        <f t="shared" si="21"/>
        <v xml:space="preserve"> </v>
      </c>
      <c r="O136" s="16" t="str">
        <f t="shared" si="21"/>
        <v xml:space="preserve"> </v>
      </c>
      <c r="P136" s="16" t="str">
        <f t="shared" si="21"/>
        <v xml:space="preserve"> </v>
      </c>
      <c r="Q136" s="16" t="str">
        <f t="shared" si="21"/>
        <v xml:space="preserve"> </v>
      </c>
      <c r="R136" s="16" t="str">
        <f t="shared" si="21"/>
        <v xml:space="preserve"> </v>
      </c>
      <c r="S136" s="16" t="str">
        <f t="shared" si="21"/>
        <v xml:space="preserve"> </v>
      </c>
      <c r="T136" s="16" t="str">
        <f t="shared" si="21"/>
        <v xml:space="preserve"> </v>
      </c>
      <c r="U136" s="16" t="str">
        <f t="shared" si="21"/>
        <v xml:space="preserve"> </v>
      </c>
      <c r="V136" s="16" t="str">
        <f t="shared" si="21"/>
        <v xml:space="preserve"> </v>
      </c>
      <c r="W136" s="16" t="str">
        <f t="shared" si="21"/>
        <v xml:space="preserve"> </v>
      </c>
      <c r="X136" s="16" t="str">
        <f t="shared" si="21"/>
        <v xml:space="preserve"> </v>
      </c>
      <c r="Y136" s="16" t="str">
        <f t="shared" si="21"/>
        <v xml:space="preserve"> </v>
      </c>
      <c r="Z136" s="16" t="str">
        <f t="shared" si="21"/>
        <v xml:space="preserve"> </v>
      </c>
      <c r="AA136" s="16" t="str">
        <f t="shared" si="21"/>
        <v xml:space="preserve"> </v>
      </c>
      <c r="AB136" s="16" t="str">
        <f t="shared" si="20"/>
        <v xml:space="preserve"> </v>
      </c>
      <c r="AC136" s="16" t="str">
        <f t="shared" si="20"/>
        <v xml:space="preserve"> </v>
      </c>
      <c r="AD136" s="16" t="str">
        <f t="shared" si="20"/>
        <v xml:space="preserve"> </v>
      </c>
      <c r="AE136" s="16" t="str">
        <f t="shared" si="20"/>
        <v xml:space="preserve"> </v>
      </c>
    </row>
    <row r="137" spans="1:31" ht="15" customHeight="1" thickBot="1" x14ac:dyDescent="0.35">
      <c r="A137"/>
      <c r="B137"/>
      <c r="C137"/>
      <c r="D137"/>
      <c r="E137"/>
      <c r="F137"/>
      <c r="G137" s="36" t="e">
        <f>VLOOKUP(F137,Results!$E$31:$F$50,2,FALSE)</f>
        <v>#N/A</v>
      </c>
      <c r="H137" s="40"/>
      <c r="I137" s="39"/>
      <c r="K137" s="3">
        <f t="shared" si="22"/>
        <v>0</v>
      </c>
      <c r="L137" s="16" t="str">
        <f t="shared" si="21"/>
        <v xml:space="preserve"> </v>
      </c>
      <c r="M137" s="16" t="str">
        <f t="shared" si="21"/>
        <v xml:space="preserve"> </v>
      </c>
      <c r="N137" s="16" t="str">
        <f t="shared" si="21"/>
        <v xml:space="preserve"> </v>
      </c>
      <c r="O137" s="16" t="str">
        <f t="shared" si="21"/>
        <v xml:space="preserve"> </v>
      </c>
      <c r="P137" s="16" t="str">
        <f t="shared" si="21"/>
        <v xml:space="preserve"> </v>
      </c>
      <c r="Q137" s="16" t="str">
        <f t="shared" si="21"/>
        <v xml:space="preserve"> </v>
      </c>
      <c r="R137" s="16" t="str">
        <f t="shared" si="21"/>
        <v xml:space="preserve"> </v>
      </c>
      <c r="S137" s="16" t="str">
        <f t="shared" si="21"/>
        <v xml:space="preserve"> </v>
      </c>
      <c r="T137" s="16" t="str">
        <f t="shared" si="21"/>
        <v xml:space="preserve"> </v>
      </c>
      <c r="U137" s="16" t="str">
        <f t="shared" si="21"/>
        <v xml:space="preserve"> </v>
      </c>
      <c r="V137" s="16" t="str">
        <f t="shared" si="21"/>
        <v xml:space="preserve"> </v>
      </c>
      <c r="W137" s="16" t="str">
        <f t="shared" si="21"/>
        <v xml:space="preserve"> </v>
      </c>
      <c r="X137" s="16" t="str">
        <f t="shared" si="21"/>
        <v xml:space="preserve"> </v>
      </c>
      <c r="Y137" s="16" t="str">
        <f t="shared" si="21"/>
        <v xml:space="preserve"> </v>
      </c>
      <c r="Z137" s="16" t="str">
        <f t="shared" si="21"/>
        <v xml:space="preserve"> </v>
      </c>
      <c r="AA137" s="16" t="str">
        <f t="shared" si="21"/>
        <v xml:space="preserve"> </v>
      </c>
      <c r="AB137" s="16" t="str">
        <f t="shared" si="20"/>
        <v xml:space="preserve"> </v>
      </c>
      <c r="AC137" s="16" t="str">
        <f t="shared" si="20"/>
        <v xml:space="preserve"> </v>
      </c>
      <c r="AD137" s="16" t="str">
        <f t="shared" si="20"/>
        <v xml:space="preserve"> </v>
      </c>
      <c r="AE137" s="16" t="str">
        <f t="shared" si="20"/>
        <v xml:space="preserve"> </v>
      </c>
    </row>
    <row r="138" spans="1:31" ht="15" customHeight="1" thickBot="1" x14ac:dyDescent="0.35">
      <c r="A138"/>
      <c r="B138"/>
      <c r="C138"/>
      <c r="D138"/>
      <c r="E138"/>
      <c r="F138"/>
      <c r="G138" s="36" t="e">
        <f>VLOOKUP(F138,Results!$E$31:$F$50,2,FALSE)</f>
        <v>#N/A</v>
      </c>
      <c r="H138" s="40"/>
      <c r="I138" s="39"/>
      <c r="K138" s="3">
        <f t="shared" si="22"/>
        <v>0</v>
      </c>
      <c r="L138" s="16" t="str">
        <f t="shared" si="21"/>
        <v xml:space="preserve"> </v>
      </c>
      <c r="M138" s="16" t="str">
        <f t="shared" si="21"/>
        <v xml:space="preserve"> </v>
      </c>
      <c r="N138" s="16" t="str">
        <f t="shared" si="21"/>
        <v xml:space="preserve"> </v>
      </c>
      <c r="O138" s="16" t="str">
        <f t="shared" si="21"/>
        <v xml:space="preserve"> </v>
      </c>
      <c r="P138" s="16" t="str">
        <f t="shared" si="21"/>
        <v xml:space="preserve"> </v>
      </c>
      <c r="Q138" s="16" t="str">
        <f t="shared" si="21"/>
        <v xml:space="preserve"> </v>
      </c>
      <c r="R138" s="16" t="str">
        <f t="shared" si="21"/>
        <v xml:space="preserve"> </v>
      </c>
      <c r="S138" s="16" t="str">
        <f t="shared" si="21"/>
        <v xml:space="preserve"> </v>
      </c>
      <c r="T138" s="16" t="str">
        <f t="shared" si="21"/>
        <v xml:space="preserve"> </v>
      </c>
      <c r="U138" s="16" t="str">
        <f t="shared" si="21"/>
        <v xml:space="preserve"> </v>
      </c>
      <c r="V138" s="16" t="str">
        <f t="shared" si="21"/>
        <v xml:space="preserve"> </v>
      </c>
      <c r="W138" s="16" t="str">
        <f t="shared" si="21"/>
        <v xml:space="preserve"> </v>
      </c>
      <c r="X138" s="16" t="str">
        <f t="shared" si="21"/>
        <v xml:space="preserve"> </v>
      </c>
      <c r="Y138" s="16" t="str">
        <f t="shared" si="21"/>
        <v xml:space="preserve"> </v>
      </c>
      <c r="Z138" s="16" t="str">
        <f t="shared" si="21"/>
        <v xml:space="preserve"> </v>
      </c>
      <c r="AA138" s="16" t="str">
        <f t="shared" si="21"/>
        <v xml:space="preserve"> </v>
      </c>
      <c r="AB138" s="16" t="str">
        <f t="shared" si="20"/>
        <v xml:space="preserve"> </v>
      </c>
      <c r="AC138" s="16" t="str">
        <f t="shared" si="20"/>
        <v xml:space="preserve"> </v>
      </c>
      <c r="AD138" s="16" t="str">
        <f t="shared" si="20"/>
        <v xml:space="preserve"> </v>
      </c>
      <c r="AE138" s="16" t="str">
        <f t="shared" si="20"/>
        <v xml:space="preserve"> </v>
      </c>
    </row>
    <row r="139" spans="1:31" ht="15" customHeight="1" thickBot="1" x14ac:dyDescent="0.35">
      <c r="A139"/>
      <c r="B139"/>
      <c r="C139"/>
      <c r="D139"/>
      <c r="E139"/>
      <c r="F139"/>
      <c r="G139" s="36" t="e">
        <f>VLOOKUP(F139,Results!$E$31:$F$50,2,FALSE)</f>
        <v>#N/A</v>
      </c>
      <c r="H139" s="40"/>
      <c r="I139" s="39"/>
      <c r="K139" s="3">
        <f t="shared" si="22"/>
        <v>0</v>
      </c>
      <c r="L139" s="16" t="str">
        <f t="shared" si="21"/>
        <v xml:space="preserve"> </v>
      </c>
      <c r="M139" s="16" t="str">
        <f t="shared" si="21"/>
        <v xml:space="preserve"> </v>
      </c>
      <c r="N139" s="16" t="str">
        <f t="shared" si="21"/>
        <v xml:space="preserve"> </v>
      </c>
      <c r="O139" s="16" t="str">
        <f t="shared" si="21"/>
        <v xml:space="preserve"> </v>
      </c>
      <c r="P139" s="16" t="str">
        <f t="shared" si="21"/>
        <v xml:space="preserve"> </v>
      </c>
      <c r="Q139" s="16" t="str">
        <f t="shared" si="21"/>
        <v xml:space="preserve"> </v>
      </c>
      <c r="R139" s="16" t="str">
        <f t="shared" si="21"/>
        <v xml:space="preserve"> </v>
      </c>
      <c r="S139" s="16" t="str">
        <f t="shared" si="21"/>
        <v xml:space="preserve"> </v>
      </c>
      <c r="T139" s="16" t="str">
        <f t="shared" si="21"/>
        <v xml:space="preserve"> </v>
      </c>
      <c r="U139" s="16" t="str">
        <f t="shared" si="21"/>
        <v xml:space="preserve"> </v>
      </c>
      <c r="V139" s="16" t="str">
        <f t="shared" si="21"/>
        <v xml:space="preserve"> </v>
      </c>
      <c r="W139" s="16" t="str">
        <f t="shared" si="21"/>
        <v xml:space="preserve"> </v>
      </c>
      <c r="X139" s="16" t="str">
        <f t="shared" si="21"/>
        <v xml:space="preserve"> </v>
      </c>
      <c r="Y139" s="16" t="str">
        <f t="shared" si="21"/>
        <v xml:space="preserve"> </v>
      </c>
      <c r="Z139" s="16" t="str">
        <f t="shared" si="21"/>
        <v xml:space="preserve"> </v>
      </c>
      <c r="AA139" s="16" t="str">
        <f t="shared" si="21"/>
        <v xml:space="preserve"> </v>
      </c>
      <c r="AB139" s="16" t="str">
        <f t="shared" si="20"/>
        <v xml:space="preserve"> </v>
      </c>
      <c r="AC139" s="16" t="str">
        <f t="shared" si="20"/>
        <v xml:space="preserve"> </v>
      </c>
      <c r="AD139" s="16" t="str">
        <f t="shared" si="20"/>
        <v xml:space="preserve"> </v>
      </c>
      <c r="AE139" s="16" t="str">
        <f t="shared" si="20"/>
        <v xml:space="preserve"> </v>
      </c>
    </row>
    <row r="140" spans="1:31" ht="15" customHeight="1" thickBot="1" x14ac:dyDescent="0.35">
      <c r="A140"/>
      <c r="B140"/>
      <c r="C140"/>
      <c r="D140"/>
      <c r="E140"/>
      <c r="F140"/>
      <c r="G140" s="36" t="e">
        <f>VLOOKUP(F140,Results!$E$31:$F$50,2,FALSE)</f>
        <v>#N/A</v>
      </c>
      <c r="H140" s="40"/>
      <c r="I140" s="39"/>
      <c r="K140" s="3">
        <f t="shared" si="22"/>
        <v>0</v>
      </c>
      <c r="L140" s="16" t="str">
        <f t="shared" si="21"/>
        <v xml:space="preserve"> </v>
      </c>
      <c r="M140" s="16" t="str">
        <f t="shared" si="21"/>
        <v xml:space="preserve"> </v>
      </c>
      <c r="N140" s="16" t="str">
        <f t="shared" si="21"/>
        <v xml:space="preserve"> </v>
      </c>
      <c r="O140" s="16" t="str">
        <f t="shared" si="21"/>
        <v xml:space="preserve"> </v>
      </c>
      <c r="P140" s="16" t="str">
        <f t="shared" si="21"/>
        <v xml:space="preserve"> </v>
      </c>
      <c r="Q140" s="16" t="str">
        <f t="shared" si="21"/>
        <v xml:space="preserve"> </v>
      </c>
      <c r="R140" s="16" t="str">
        <f t="shared" si="21"/>
        <v xml:space="preserve"> </v>
      </c>
      <c r="S140" s="16" t="str">
        <f t="shared" si="21"/>
        <v xml:space="preserve"> </v>
      </c>
      <c r="T140" s="16" t="str">
        <f t="shared" si="21"/>
        <v xml:space="preserve"> </v>
      </c>
      <c r="U140" s="16" t="str">
        <f t="shared" si="21"/>
        <v xml:space="preserve"> </v>
      </c>
      <c r="V140" s="16" t="str">
        <f t="shared" si="21"/>
        <v xml:space="preserve"> </v>
      </c>
      <c r="W140" s="16" t="str">
        <f t="shared" si="21"/>
        <v xml:space="preserve"> </v>
      </c>
      <c r="X140" s="16" t="str">
        <f t="shared" si="21"/>
        <v xml:space="preserve"> </v>
      </c>
      <c r="Y140" s="16" t="str">
        <f t="shared" si="21"/>
        <v xml:space="preserve"> </v>
      </c>
      <c r="Z140" s="16" t="str">
        <f t="shared" si="21"/>
        <v xml:space="preserve"> </v>
      </c>
      <c r="AA140" s="16" t="str">
        <f t="shared" si="21"/>
        <v xml:space="preserve"> </v>
      </c>
      <c r="AB140" s="16" t="str">
        <f t="shared" si="20"/>
        <v xml:space="preserve"> </v>
      </c>
      <c r="AC140" s="16" t="str">
        <f t="shared" si="20"/>
        <v xml:space="preserve"> </v>
      </c>
      <c r="AD140" s="16" t="str">
        <f t="shared" si="20"/>
        <v xml:space="preserve"> </v>
      </c>
      <c r="AE140" s="16" t="str">
        <f t="shared" si="20"/>
        <v xml:space="preserve"> </v>
      </c>
    </row>
    <row r="141" spans="1:31" ht="15" customHeight="1" thickBot="1" x14ac:dyDescent="0.35">
      <c r="A141"/>
      <c r="B141"/>
      <c r="C141"/>
      <c r="D141"/>
      <c r="E141"/>
      <c r="F141"/>
      <c r="G141" s="36" t="e">
        <f>VLOOKUP(F141,Results!$E$31:$F$50,2,FALSE)</f>
        <v>#N/A</v>
      </c>
      <c r="H141" s="40"/>
      <c r="I141" s="39"/>
      <c r="K141" s="3">
        <f t="shared" si="22"/>
        <v>0</v>
      </c>
      <c r="L141" s="16" t="str">
        <f t="shared" si="21"/>
        <v xml:space="preserve"> </v>
      </c>
      <c r="M141" s="16" t="str">
        <f t="shared" si="21"/>
        <v xml:space="preserve"> </v>
      </c>
      <c r="N141" s="16" t="str">
        <f t="shared" si="21"/>
        <v xml:space="preserve"> </v>
      </c>
      <c r="O141" s="16" t="str">
        <f t="shared" si="21"/>
        <v xml:space="preserve"> </v>
      </c>
      <c r="P141" s="16" t="str">
        <f t="shared" si="21"/>
        <v xml:space="preserve"> </v>
      </c>
      <c r="Q141" s="16" t="str">
        <f t="shared" si="21"/>
        <v xml:space="preserve"> </v>
      </c>
      <c r="R141" s="16" t="str">
        <f t="shared" si="21"/>
        <v xml:space="preserve"> </v>
      </c>
      <c r="S141" s="16" t="str">
        <f t="shared" si="21"/>
        <v xml:space="preserve"> </v>
      </c>
      <c r="T141" s="16" t="str">
        <f t="shared" si="21"/>
        <v xml:space="preserve"> </v>
      </c>
      <c r="U141" s="16" t="str">
        <f t="shared" si="21"/>
        <v xml:space="preserve"> </v>
      </c>
      <c r="V141" s="16" t="str">
        <f t="shared" si="21"/>
        <v xml:space="preserve"> </v>
      </c>
      <c r="W141" s="16" t="str">
        <f t="shared" si="21"/>
        <v xml:space="preserve"> </v>
      </c>
      <c r="X141" s="16" t="str">
        <f t="shared" si="21"/>
        <v xml:space="preserve"> </v>
      </c>
      <c r="Y141" s="16" t="str">
        <f t="shared" si="21"/>
        <v xml:space="preserve"> </v>
      </c>
      <c r="Z141" s="16" t="str">
        <f t="shared" si="21"/>
        <v xml:space="preserve"> </v>
      </c>
      <c r="AA141" s="16" t="str">
        <f t="shared" si="21"/>
        <v xml:space="preserve"> </v>
      </c>
      <c r="AB141" s="16" t="str">
        <f t="shared" si="20"/>
        <v xml:space="preserve"> </v>
      </c>
      <c r="AC141" s="16" t="str">
        <f t="shared" si="20"/>
        <v xml:space="preserve"> </v>
      </c>
      <c r="AD141" s="16" t="str">
        <f t="shared" si="20"/>
        <v xml:space="preserve"> </v>
      </c>
      <c r="AE141" s="16" t="str">
        <f t="shared" si="20"/>
        <v xml:space="preserve"> </v>
      </c>
    </row>
    <row r="142" spans="1:31" ht="15" customHeight="1" thickBot="1" x14ac:dyDescent="0.35">
      <c r="A142"/>
      <c r="B142"/>
      <c r="C142"/>
      <c r="D142"/>
      <c r="E142"/>
      <c r="F142"/>
      <c r="G142" s="36" t="e">
        <f>VLOOKUP(F142,Results!$E$31:$F$50,2,FALSE)</f>
        <v>#N/A</v>
      </c>
      <c r="H142" s="40"/>
      <c r="I142" s="39"/>
      <c r="K142" s="3">
        <f t="shared" si="22"/>
        <v>0</v>
      </c>
      <c r="L142" s="16" t="str">
        <f t="shared" si="21"/>
        <v xml:space="preserve"> </v>
      </c>
      <c r="M142" s="16" t="str">
        <f t="shared" si="21"/>
        <v xml:space="preserve"> </v>
      </c>
      <c r="N142" s="16" t="str">
        <f t="shared" si="21"/>
        <v xml:space="preserve"> </v>
      </c>
      <c r="O142" s="16" t="str">
        <f t="shared" si="21"/>
        <v xml:space="preserve"> </v>
      </c>
      <c r="P142" s="16" t="str">
        <f t="shared" si="21"/>
        <v xml:space="preserve"> </v>
      </c>
      <c r="Q142" s="16" t="str">
        <f t="shared" si="21"/>
        <v xml:space="preserve"> </v>
      </c>
      <c r="R142" s="16" t="str">
        <f t="shared" si="21"/>
        <v xml:space="preserve"> </v>
      </c>
      <c r="S142" s="16" t="str">
        <f t="shared" si="21"/>
        <v xml:space="preserve"> </v>
      </c>
      <c r="T142" s="16" t="str">
        <f t="shared" si="21"/>
        <v xml:space="preserve"> </v>
      </c>
      <c r="U142" s="16" t="str">
        <f t="shared" si="21"/>
        <v xml:space="preserve"> </v>
      </c>
      <c r="V142" s="16" t="str">
        <f t="shared" si="21"/>
        <v xml:space="preserve"> </v>
      </c>
      <c r="W142" s="16" t="str">
        <f t="shared" si="21"/>
        <v xml:space="preserve"> </v>
      </c>
      <c r="X142" s="16" t="str">
        <f t="shared" si="21"/>
        <v xml:space="preserve"> </v>
      </c>
      <c r="Y142" s="16" t="str">
        <f t="shared" si="21"/>
        <v xml:space="preserve"> </v>
      </c>
      <c r="Z142" s="16" t="str">
        <f t="shared" si="21"/>
        <v xml:space="preserve"> </v>
      </c>
      <c r="AA142" s="16" t="str">
        <f t="shared" si="21"/>
        <v xml:space="preserve"> </v>
      </c>
      <c r="AB142" s="16" t="str">
        <f t="shared" si="20"/>
        <v xml:space="preserve"> </v>
      </c>
      <c r="AC142" s="16" t="str">
        <f t="shared" si="20"/>
        <v xml:space="preserve"> </v>
      </c>
      <c r="AD142" s="16" t="str">
        <f t="shared" si="20"/>
        <v xml:space="preserve"> </v>
      </c>
      <c r="AE142" s="16" t="str">
        <f t="shared" si="20"/>
        <v xml:space="preserve"> </v>
      </c>
    </row>
    <row r="143" spans="1:31" ht="15" customHeight="1" thickBot="1" x14ac:dyDescent="0.35">
      <c r="A143"/>
      <c r="B143"/>
      <c r="C143"/>
      <c r="D143"/>
      <c r="E143"/>
      <c r="F143"/>
      <c r="G143" s="36" t="e">
        <f>VLOOKUP(F143,Results!$E$31:$F$50,2,FALSE)</f>
        <v>#N/A</v>
      </c>
      <c r="H143" s="40"/>
      <c r="I143" s="39"/>
      <c r="K143" s="3">
        <f t="shared" si="22"/>
        <v>0</v>
      </c>
      <c r="L143" s="16" t="str">
        <f t="shared" si="21"/>
        <v xml:space="preserve"> </v>
      </c>
      <c r="M143" s="16" t="str">
        <f t="shared" si="21"/>
        <v xml:space="preserve"> </v>
      </c>
      <c r="N143" s="16" t="str">
        <f t="shared" si="21"/>
        <v xml:space="preserve"> </v>
      </c>
      <c r="O143" s="16" t="str">
        <f t="shared" si="21"/>
        <v xml:space="preserve"> </v>
      </c>
      <c r="P143" s="16" t="str">
        <f t="shared" si="21"/>
        <v xml:space="preserve"> </v>
      </c>
      <c r="Q143" s="16" t="str">
        <f t="shared" si="21"/>
        <v xml:space="preserve"> </v>
      </c>
      <c r="R143" s="16" t="str">
        <f t="shared" si="21"/>
        <v xml:space="preserve"> </v>
      </c>
      <c r="S143" s="16" t="str">
        <f t="shared" si="21"/>
        <v xml:space="preserve"> </v>
      </c>
      <c r="T143" s="16" t="str">
        <f t="shared" si="21"/>
        <v xml:space="preserve"> </v>
      </c>
      <c r="U143" s="16" t="str">
        <f t="shared" si="21"/>
        <v xml:space="preserve"> </v>
      </c>
      <c r="V143" s="16" t="str">
        <f t="shared" si="21"/>
        <v xml:space="preserve"> </v>
      </c>
      <c r="W143" s="16" t="str">
        <f t="shared" si="21"/>
        <v xml:space="preserve"> </v>
      </c>
      <c r="X143" s="16" t="str">
        <f t="shared" si="21"/>
        <v xml:space="preserve"> </v>
      </c>
      <c r="Y143" s="16" t="str">
        <f t="shared" si="21"/>
        <v xml:space="preserve"> </v>
      </c>
      <c r="Z143" s="16" t="str">
        <f t="shared" si="21"/>
        <v xml:space="preserve"> </v>
      </c>
      <c r="AA143" s="16" t="str">
        <f t="shared" si="21"/>
        <v xml:space="preserve"> </v>
      </c>
      <c r="AB143" s="16" t="str">
        <f t="shared" si="20"/>
        <v xml:space="preserve"> </v>
      </c>
      <c r="AC143" s="16" t="str">
        <f t="shared" si="20"/>
        <v xml:space="preserve"> </v>
      </c>
      <c r="AD143" s="16" t="str">
        <f t="shared" si="20"/>
        <v xml:space="preserve"> </v>
      </c>
      <c r="AE143" s="16" t="str">
        <f t="shared" si="20"/>
        <v xml:space="preserve"> </v>
      </c>
    </row>
    <row r="144" spans="1:31" ht="15" customHeight="1" thickBot="1" x14ac:dyDescent="0.35">
      <c r="A144"/>
      <c r="B144"/>
      <c r="C144"/>
      <c r="D144"/>
      <c r="E144"/>
      <c r="F144"/>
      <c r="G144" s="36" t="e">
        <f>VLOOKUP(F144,Results!$E$31:$F$50,2,FALSE)</f>
        <v>#N/A</v>
      </c>
      <c r="H144" s="40"/>
      <c r="I144" s="39"/>
      <c r="K144" s="3">
        <f t="shared" si="22"/>
        <v>0</v>
      </c>
      <c r="L144" s="16" t="str">
        <f t="shared" si="21"/>
        <v xml:space="preserve"> </v>
      </c>
      <c r="M144" s="16" t="str">
        <f t="shared" si="21"/>
        <v xml:space="preserve"> </v>
      </c>
      <c r="N144" s="16" t="str">
        <f t="shared" si="21"/>
        <v xml:space="preserve"> </v>
      </c>
      <c r="O144" s="16" t="str">
        <f t="shared" si="21"/>
        <v xml:space="preserve"> </v>
      </c>
      <c r="P144" s="16" t="str">
        <f t="shared" si="21"/>
        <v xml:space="preserve"> </v>
      </c>
      <c r="Q144" s="16" t="str">
        <f t="shared" si="21"/>
        <v xml:space="preserve"> </v>
      </c>
      <c r="R144" s="16" t="str">
        <f t="shared" si="21"/>
        <v xml:space="preserve"> </v>
      </c>
      <c r="S144" s="16" t="str">
        <f t="shared" si="21"/>
        <v xml:space="preserve"> </v>
      </c>
      <c r="T144" s="16" t="str">
        <f t="shared" si="21"/>
        <v xml:space="preserve"> </v>
      </c>
      <c r="U144" s="16" t="str">
        <f t="shared" si="21"/>
        <v xml:space="preserve"> </v>
      </c>
      <c r="V144" s="16" t="str">
        <f t="shared" si="21"/>
        <v xml:space="preserve"> </v>
      </c>
      <c r="W144" s="16" t="str">
        <f t="shared" si="21"/>
        <v xml:space="preserve"> </v>
      </c>
      <c r="X144" s="16" t="str">
        <f t="shared" si="21"/>
        <v xml:space="preserve"> </v>
      </c>
      <c r="Y144" s="16" t="str">
        <f t="shared" si="21"/>
        <v xml:space="preserve"> </v>
      </c>
      <c r="Z144" s="16" t="str">
        <f t="shared" si="21"/>
        <v xml:space="preserve"> </v>
      </c>
      <c r="AA144" s="16" t="str">
        <f t="shared" si="21"/>
        <v xml:space="preserve"> </v>
      </c>
      <c r="AB144" s="16" t="str">
        <f t="shared" si="20"/>
        <v xml:space="preserve"> </v>
      </c>
      <c r="AC144" s="16" t="str">
        <f t="shared" si="20"/>
        <v xml:space="preserve"> </v>
      </c>
      <c r="AD144" s="16" t="str">
        <f t="shared" si="20"/>
        <v xml:space="preserve"> </v>
      </c>
      <c r="AE144" s="16" t="str">
        <f t="shared" si="20"/>
        <v xml:space="preserve"> </v>
      </c>
    </row>
    <row r="145" spans="1:31" ht="15" customHeight="1" thickBot="1" x14ac:dyDescent="0.35">
      <c r="A145"/>
      <c r="B145"/>
      <c r="C145"/>
      <c r="D145"/>
      <c r="E145"/>
      <c r="F145"/>
      <c r="G145" s="36" t="e">
        <f>VLOOKUP(F145,Results!$E$31:$F$50,2,FALSE)</f>
        <v>#N/A</v>
      </c>
      <c r="H145" s="40"/>
      <c r="I145" s="39"/>
      <c r="K145" s="3">
        <f t="shared" si="22"/>
        <v>0</v>
      </c>
      <c r="L145" s="16" t="str">
        <f t="shared" si="21"/>
        <v xml:space="preserve"> </v>
      </c>
      <c r="M145" s="16" t="str">
        <f t="shared" si="21"/>
        <v xml:space="preserve"> </v>
      </c>
      <c r="N145" s="16" t="str">
        <f t="shared" si="21"/>
        <v xml:space="preserve"> </v>
      </c>
      <c r="O145" s="16" t="str">
        <f t="shared" si="21"/>
        <v xml:space="preserve"> </v>
      </c>
      <c r="P145" s="16" t="str">
        <f t="shared" si="21"/>
        <v xml:space="preserve"> </v>
      </c>
      <c r="Q145" s="16" t="str">
        <f t="shared" si="21"/>
        <v xml:space="preserve"> </v>
      </c>
      <c r="R145" s="16" t="str">
        <f t="shared" si="21"/>
        <v xml:space="preserve"> </v>
      </c>
      <c r="S145" s="16" t="str">
        <f t="shared" si="21"/>
        <v xml:space="preserve"> </v>
      </c>
      <c r="T145" s="16" t="str">
        <f t="shared" si="21"/>
        <v xml:space="preserve"> </v>
      </c>
      <c r="U145" s="16" t="str">
        <f t="shared" si="21"/>
        <v xml:space="preserve"> </v>
      </c>
      <c r="V145" s="16" t="str">
        <f t="shared" si="21"/>
        <v xml:space="preserve"> </v>
      </c>
      <c r="W145" s="16" t="str">
        <f t="shared" si="21"/>
        <v xml:space="preserve"> </v>
      </c>
      <c r="X145" s="16" t="str">
        <f t="shared" si="21"/>
        <v xml:space="preserve"> </v>
      </c>
      <c r="Y145" s="16" t="str">
        <f t="shared" si="21"/>
        <v xml:space="preserve"> </v>
      </c>
      <c r="Z145" s="16" t="str">
        <f t="shared" si="21"/>
        <v xml:space="preserve"> </v>
      </c>
      <c r="AA145" s="16" t="str">
        <f t="shared" si="21"/>
        <v xml:space="preserve"> </v>
      </c>
      <c r="AB145" s="16" t="str">
        <f t="shared" si="20"/>
        <v xml:space="preserve"> </v>
      </c>
      <c r="AC145" s="16" t="str">
        <f t="shared" si="20"/>
        <v xml:space="preserve"> </v>
      </c>
      <c r="AD145" s="16" t="str">
        <f t="shared" si="20"/>
        <v xml:space="preserve"> </v>
      </c>
      <c r="AE145" s="16" t="str">
        <f t="shared" si="20"/>
        <v xml:space="preserve"> </v>
      </c>
    </row>
    <row r="146" spans="1:31" ht="15" customHeight="1" thickBot="1" x14ac:dyDescent="0.35">
      <c r="A146"/>
      <c r="B146"/>
      <c r="C146"/>
      <c r="D146"/>
      <c r="E146"/>
      <c r="F146"/>
      <c r="G146" s="36" t="e">
        <f>VLOOKUP(F146,Results!$E$31:$F$50,2,FALSE)</f>
        <v>#N/A</v>
      </c>
      <c r="H146" s="40"/>
      <c r="I146" s="39"/>
      <c r="K146" s="3">
        <f t="shared" si="22"/>
        <v>0</v>
      </c>
      <c r="L146" s="16" t="str">
        <f t="shared" si="21"/>
        <v xml:space="preserve"> </v>
      </c>
      <c r="M146" s="16" t="str">
        <f t="shared" si="21"/>
        <v xml:space="preserve"> </v>
      </c>
      <c r="N146" s="16" t="str">
        <f t="shared" si="21"/>
        <v xml:space="preserve"> </v>
      </c>
      <c r="O146" s="16" t="str">
        <f t="shared" si="21"/>
        <v xml:space="preserve"> </v>
      </c>
      <c r="P146" s="16" t="str">
        <f t="shared" si="21"/>
        <v xml:space="preserve"> </v>
      </c>
      <c r="Q146" s="16" t="str">
        <f t="shared" si="21"/>
        <v xml:space="preserve"> </v>
      </c>
      <c r="R146" s="16" t="str">
        <f t="shared" si="21"/>
        <v xml:space="preserve"> </v>
      </c>
      <c r="S146" s="16" t="str">
        <f t="shared" si="21"/>
        <v xml:space="preserve"> </v>
      </c>
      <c r="T146" s="16" t="str">
        <f t="shared" si="21"/>
        <v xml:space="preserve"> </v>
      </c>
      <c r="U146" s="16" t="str">
        <f t="shared" si="21"/>
        <v xml:space="preserve"> </v>
      </c>
      <c r="V146" s="16" t="str">
        <f t="shared" si="21"/>
        <v xml:space="preserve"> </v>
      </c>
      <c r="W146" s="16" t="str">
        <f t="shared" si="21"/>
        <v xml:space="preserve"> </v>
      </c>
      <c r="X146" s="16" t="str">
        <f t="shared" si="21"/>
        <v xml:space="preserve"> </v>
      </c>
      <c r="Y146" s="16" t="str">
        <f t="shared" si="21"/>
        <v xml:space="preserve"> </v>
      </c>
      <c r="Z146" s="16" t="str">
        <f t="shared" si="21"/>
        <v xml:space="preserve"> </v>
      </c>
      <c r="AA146" s="16" t="str">
        <f t="shared" ref="AA146:AE161" si="23">IF($F146=COLUMN((AA:AA))-11,$E146," ")</f>
        <v xml:space="preserve"> </v>
      </c>
      <c r="AB146" s="16" t="str">
        <f t="shared" si="23"/>
        <v xml:space="preserve"> </v>
      </c>
      <c r="AC146" s="16" t="str">
        <f t="shared" si="23"/>
        <v xml:space="preserve"> </v>
      </c>
      <c r="AD146" s="16" t="str">
        <f t="shared" si="23"/>
        <v xml:space="preserve"> </v>
      </c>
      <c r="AE146" s="16" t="str">
        <f t="shared" si="23"/>
        <v xml:space="preserve"> </v>
      </c>
    </row>
    <row r="147" spans="1:31" ht="15" customHeight="1" thickBot="1" x14ac:dyDescent="0.35">
      <c r="A147"/>
      <c r="B147"/>
      <c r="C147"/>
      <c r="D147"/>
      <c r="E147"/>
      <c r="F147"/>
      <c r="G147" s="36" t="e">
        <f>VLOOKUP(F147,Results!$E$31:$F$50,2,FALSE)</f>
        <v>#N/A</v>
      </c>
      <c r="H147" s="40"/>
      <c r="I147" s="39"/>
      <c r="K147" s="3">
        <f t="shared" si="22"/>
        <v>0</v>
      </c>
      <c r="L147" s="16" t="str">
        <f t="shared" ref="L147:AA162" si="24">IF($F147=COLUMN((L:L))-11,$E147," ")</f>
        <v xml:space="preserve"> </v>
      </c>
      <c r="M147" s="16" t="str">
        <f t="shared" si="24"/>
        <v xml:space="preserve"> </v>
      </c>
      <c r="N147" s="16" t="str">
        <f t="shared" si="24"/>
        <v xml:space="preserve"> </v>
      </c>
      <c r="O147" s="16" t="str">
        <f t="shared" si="24"/>
        <v xml:space="preserve"> </v>
      </c>
      <c r="P147" s="16" t="str">
        <f t="shared" si="24"/>
        <v xml:space="preserve"> </v>
      </c>
      <c r="Q147" s="16" t="str">
        <f t="shared" si="24"/>
        <v xml:space="preserve"> </v>
      </c>
      <c r="R147" s="16" t="str">
        <f t="shared" si="24"/>
        <v xml:space="preserve"> </v>
      </c>
      <c r="S147" s="16" t="str">
        <f t="shared" si="24"/>
        <v xml:space="preserve"> </v>
      </c>
      <c r="T147" s="16" t="str">
        <f t="shared" si="24"/>
        <v xml:space="preserve"> </v>
      </c>
      <c r="U147" s="16" t="str">
        <f t="shared" si="24"/>
        <v xml:space="preserve"> </v>
      </c>
      <c r="V147" s="16" t="str">
        <f t="shared" si="24"/>
        <v xml:space="preserve"> </v>
      </c>
      <c r="W147" s="16" t="str">
        <f t="shared" si="24"/>
        <v xml:space="preserve"> </v>
      </c>
      <c r="X147" s="16" t="str">
        <f t="shared" si="24"/>
        <v xml:space="preserve"> </v>
      </c>
      <c r="Y147" s="16" t="str">
        <f t="shared" si="24"/>
        <v xml:space="preserve"> </v>
      </c>
      <c r="Z147" s="16" t="str">
        <f t="shared" si="24"/>
        <v xml:space="preserve"> </v>
      </c>
      <c r="AA147" s="16" t="str">
        <f t="shared" si="24"/>
        <v xml:space="preserve"> </v>
      </c>
      <c r="AB147" s="16" t="str">
        <f t="shared" si="23"/>
        <v xml:space="preserve"> </v>
      </c>
      <c r="AC147" s="16" t="str">
        <f t="shared" si="23"/>
        <v xml:space="preserve"> </v>
      </c>
      <c r="AD147" s="16" t="str">
        <f t="shared" si="23"/>
        <v xml:space="preserve"> </v>
      </c>
      <c r="AE147" s="16" t="str">
        <f t="shared" si="23"/>
        <v xml:space="preserve"> </v>
      </c>
    </row>
    <row r="148" spans="1:31" ht="15" customHeight="1" thickBot="1" x14ac:dyDescent="0.35">
      <c r="A148"/>
      <c r="B148"/>
      <c r="C148"/>
      <c r="D148"/>
      <c r="E148"/>
      <c r="F148"/>
      <c r="G148" s="36" t="e">
        <f>VLOOKUP(F148,Results!$E$31:$F$50,2,FALSE)</f>
        <v>#N/A</v>
      </c>
      <c r="H148" s="40"/>
      <c r="I148" s="39"/>
      <c r="K148" s="3">
        <f t="shared" si="22"/>
        <v>0</v>
      </c>
      <c r="L148" s="16" t="str">
        <f t="shared" si="24"/>
        <v xml:space="preserve"> </v>
      </c>
      <c r="M148" s="16" t="str">
        <f t="shared" si="24"/>
        <v xml:space="preserve"> </v>
      </c>
      <c r="N148" s="16" t="str">
        <f t="shared" si="24"/>
        <v xml:space="preserve"> </v>
      </c>
      <c r="O148" s="16" t="str">
        <f t="shared" si="24"/>
        <v xml:space="preserve"> </v>
      </c>
      <c r="P148" s="16" t="str">
        <f t="shared" si="24"/>
        <v xml:space="preserve"> </v>
      </c>
      <c r="Q148" s="16" t="str">
        <f t="shared" si="24"/>
        <v xml:space="preserve"> </v>
      </c>
      <c r="R148" s="16" t="str">
        <f t="shared" si="24"/>
        <v xml:space="preserve"> </v>
      </c>
      <c r="S148" s="16" t="str">
        <f t="shared" si="24"/>
        <v xml:space="preserve"> </v>
      </c>
      <c r="T148" s="16" t="str">
        <f t="shared" si="24"/>
        <v xml:space="preserve"> </v>
      </c>
      <c r="U148" s="16" t="str">
        <f t="shared" si="24"/>
        <v xml:space="preserve"> </v>
      </c>
      <c r="V148" s="16" t="str">
        <f t="shared" si="24"/>
        <v xml:space="preserve"> </v>
      </c>
      <c r="W148" s="16" t="str">
        <f t="shared" si="24"/>
        <v xml:space="preserve"> </v>
      </c>
      <c r="X148" s="16" t="str">
        <f t="shared" si="24"/>
        <v xml:space="preserve"> </v>
      </c>
      <c r="Y148" s="16" t="str">
        <f t="shared" si="24"/>
        <v xml:space="preserve"> </v>
      </c>
      <c r="Z148" s="16" t="str">
        <f t="shared" si="24"/>
        <v xml:space="preserve"> </v>
      </c>
      <c r="AA148" s="16" t="str">
        <f t="shared" si="24"/>
        <v xml:space="preserve"> </v>
      </c>
      <c r="AB148" s="16" t="str">
        <f t="shared" si="23"/>
        <v xml:space="preserve"> </v>
      </c>
      <c r="AC148" s="16" t="str">
        <f t="shared" si="23"/>
        <v xml:space="preserve"> </v>
      </c>
      <c r="AD148" s="16" t="str">
        <f t="shared" si="23"/>
        <v xml:space="preserve"> </v>
      </c>
      <c r="AE148" s="16" t="str">
        <f t="shared" si="23"/>
        <v xml:space="preserve"> </v>
      </c>
    </row>
    <row r="149" spans="1:31" ht="15" customHeight="1" thickBot="1" x14ac:dyDescent="0.35">
      <c r="A149"/>
      <c r="B149"/>
      <c r="C149"/>
      <c r="D149"/>
      <c r="E149"/>
      <c r="F149"/>
      <c r="G149" s="36" t="e">
        <f>VLOOKUP(F149,Results!$E$31:$F$50,2,FALSE)</f>
        <v>#N/A</v>
      </c>
      <c r="H149" s="40"/>
      <c r="I149" s="39"/>
      <c r="K149" s="3">
        <f t="shared" si="22"/>
        <v>0</v>
      </c>
      <c r="L149" s="16" t="str">
        <f t="shared" si="24"/>
        <v xml:space="preserve"> </v>
      </c>
      <c r="M149" s="16" t="str">
        <f t="shared" si="24"/>
        <v xml:space="preserve"> </v>
      </c>
      <c r="N149" s="16" t="str">
        <f t="shared" si="24"/>
        <v xml:space="preserve"> </v>
      </c>
      <c r="O149" s="16" t="str">
        <f t="shared" si="24"/>
        <v xml:space="preserve"> </v>
      </c>
      <c r="P149" s="16" t="str">
        <f t="shared" si="24"/>
        <v xml:space="preserve"> </v>
      </c>
      <c r="Q149" s="16" t="str">
        <f t="shared" si="24"/>
        <v xml:space="preserve"> </v>
      </c>
      <c r="R149" s="16" t="str">
        <f t="shared" si="24"/>
        <v xml:space="preserve"> </v>
      </c>
      <c r="S149" s="16" t="str">
        <f t="shared" si="24"/>
        <v xml:space="preserve"> </v>
      </c>
      <c r="T149" s="16" t="str">
        <f t="shared" si="24"/>
        <v xml:space="preserve"> </v>
      </c>
      <c r="U149" s="16" t="str">
        <f t="shared" si="24"/>
        <v xml:space="preserve"> </v>
      </c>
      <c r="V149" s="16" t="str">
        <f t="shared" si="24"/>
        <v xml:space="preserve"> </v>
      </c>
      <c r="W149" s="16" t="str">
        <f t="shared" si="24"/>
        <v xml:space="preserve"> </v>
      </c>
      <c r="X149" s="16" t="str">
        <f t="shared" si="24"/>
        <v xml:space="preserve"> </v>
      </c>
      <c r="Y149" s="16" t="str">
        <f t="shared" si="24"/>
        <v xml:space="preserve"> </v>
      </c>
      <c r="Z149" s="16" t="str">
        <f t="shared" si="24"/>
        <v xml:space="preserve"> </v>
      </c>
      <c r="AA149" s="16" t="str">
        <f t="shared" si="24"/>
        <v xml:space="preserve"> </v>
      </c>
      <c r="AB149" s="16" t="str">
        <f t="shared" si="23"/>
        <v xml:space="preserve"> </v>
      </c>
      <c r="AC149" s="16" t="str">
        <f t="shared" si="23"/>
        <v xml:space="preserve"> </v>
      </c>
      <c r="AD149" s="16" t="str">
        <f t="shared" si="23"/>
        <v xml:space="preserve"> </v>
      </c>
      <c r="AE149" s="16" t="str">
        <f t="shared" si="23"/>
        <v xml:space="preserve"> </v>
      </c>
    </row>
    <row r="150" spans="1:31" ht="15" customHeight="1" thickBot="1" x14ac:dyDescent="0.35">
      <c r="A150"/>
      <c r="B150"/>
      <c r="C150"/>
      <c r="D150"/>
      <c r="E150"/>
      <c r="F150"/>
      <c r="G150" s="36" t="e">
        <f>VLOOKUP(F150,Results!$E$31:$F$50,2,FALSE)</f>
        <v>#N/A</v>
      </c>
      <c r="H150" s="40"/>
      <c r="I150" s="39"/>
      <c r="K150" s="3">
        <f t="shared" si="22"/>
        <v>0</v>
      </c>
      <c r="L150" s="16" t="str">
        <f t="shared" si="24"/>
        <v xml:space="preserve"> </v>
      </c>
      <c r="M150" s="16" t="str">
        <f t="shared" si="24"/>
        <v xml:space="preserve"> </v>
      </c>
      <c r="N150" s="16" t="str">
        <f t="shared" si="24"/>
        <v xml:space="preserve"> </v>
      </c>
      <c r="O150" s="16" t="str">
        <f t="shared" si="24"/>
        <v xml:space="preserve"> </v>
      </c>
      <c r="P150" s="16" t="str">
        <f t="shared" si="24"/>
        <v xml:space="preserve"> </v>
      </c>
      <c r="Q150" s="16" t="str">
        <f t="shared" si="24"/>
        <v xml:space="preserve"> </v>
      </c>
      <c r="R150" s="16" t="str">
        <f t="shared" si="24"/>
        <v xml:space="preserve"> </v>
      </c>
      <c r="S150" s="16" t="str">
        <f t="shared" si="24"/>
        <v xml:space="preserve"> </v>
      </c>
      <c r="T150" s="16" t="str">
        <f t="shared" si="24"/>
        <v xml:space="preserve"> </v>
      </c>
      <c r="U150" s="16" t="str">
        <f t="shared" si="24"/>
        <v xml:space="preserve"> </v>
      </c>
      <c r="V150" s="16" t="str">
        <f t="shared" si="24"/>
        <v xml:space="preserve"> </v>
      </c>
      <c r="W150" s="16" t="str">
        <f t="shared" si="24"/>
        <v xml:space="preserve"> </v>
      </c>
      <c r="X150" s="16" t="str">
        <f t="shared" si="24"/>
        <v xml:space="preserve"> </v>
      </c>
      <c r="Y150" s="16" t="str">
        <f t="shared" si="24"/>
        <v xml:space="preserve"> </v>
      </c>
      <c r="Z150" s="16" t="str">
        <f t="shared" si="24"/>
        <v xml:space="preserve"> </v>
      </c>
      <c r="AA150" s="16" t="str">
        <f t="shared" si="24"/>
        <v xml:space="preserve"> </v>
      </c>
      <c r="AB150" s="16" t="str">
        <f t="shared" si="23"/>
        <v xml:space="preserve"> </v>
      </c>
      <c r="AC150" s="16" t="str">
        <f t="shared" si="23"/>
        <v xml:space="preserve"> </v>
      </c>
      <c r="AD150" s="16" t="str">
        <f t="shared" si="23"/>
        <v xml:space="preserve"> </v>
      </c>
      <c r="AE150" s="16" t="str">
        <f t="shared" si="23"/>
        <v xml:space="preserve"> </v>
      </c>
    </row>
    <row r="151" spans="1:31" ht="15" customHeight="1" thickBot="1" x14ac:dyDescent="0.35">
      <c r="A151"/>
      <c r="B151"/>
      <c r="C151"/>
      <c r="D151"/>
      <c r="E151"/>
      <c r="F151"/>
      <c r="G151" s="36" t="e">
        <f>VLOOKUP(F151,Results!$E$31:$F$50,2,FALSE)</f>
        <v>#N/A</v>
      </c>
      <c r="H151" s="40"/>
      <c r="I151" s="39"/>
      <c r="K151" s="3">
        <f t="shared" si="22"/>
        <v>0</v>
      </c>
      <c r="L151" s="16" t="str">
        <f t="shared" si="24"/>
        <v xml:space="preserve"> </v>
      </c>
      <c r="M151" s="16" t="str">
        <f t="shared" si="24"/>
        <v xml:space="preserve"> </v>
      </c>
      <c r="N151" s="16" t="str">
        <f t="shared" si="24"/>
        <v xml:space="preserve"> </v>
      </c>
      <c r="O151" s="16" t="str">
        <f t="shared" si="24"/>
        <v xml:space="preserve"> </v>
      </c>
      <c r="P151" s="16" t="str">
        <f t="shared" si="24"/>
        <v xml:space="preserve"> </v>
      </c>
      <c r="Q151" s="16" t="str">
        <f t="shared" si="24"/>
        <v xml:space="preserve"> </v>
      </c>
      <c r="R151" s="16" t="str">
        <f t="shared" si="24"/>
        <v xml:space="preserve"> </v>
      </c>
      <c r="S151" s="16" t="str">
        <f t="shared" si="24"/>
        <v xml:space="preserve"> </v>
      </c>
      <c r="T151" s="16" t="str">
        <f t="shared" si="24"/>
        <v xml:space="preserve"> </v>
      </c>
      <c r="U151" s="16" t="str">
        <f t="shared" si="24"/>
        <v xml:space="preserve"> </v>
      </c>
      <c r="V151" s="16" t="str">
        <f t="shared" si="24"/>
        <v xml:space="preserve"> </v>
      </c>
      <c r="W151" s="16" t="str">
        <f t="shared" si="24"/>
        <v xml:space="preserve"> </v>
      </c>
      <c r="X151" s="16" t="str">
        <f t="shared" si="24"/>
        <v xml:space="preserve"> </v>
      </c>
      <c r="Y151" s="16" t="str">
        <f t="shared" si="24"/>
        <v xml:space="preserve"> </v>
      </c>
      <c r="Z151" s="16" t="str">
        <f t="shared" si="24"/>
        <v xml:space="preserve"> </v>
      </c>
      <c r="AA151" s="16" t="str">
        <f t="shared" si="24"/>
        <v xml:space="preserve"> </v>
      </c>
      <c r="AB151" s="16" t="str">
        <f t="shared" si="23"/>
        <v xml:space="preserve"> </v>
      </c>
      <c r="AC151" s="16" t="str">
        <f t="shared" si="23"/>
        <v xml:space="preserve"> </v>
      </c>
      <c r="AD151" s="16" t="str">
        <f t="shared" si="23"/>
        <v xml:space="preserve"> </v>
      </c>
      <c r="AE151" s="16" t="str">
        <f t="shared" si="23"/>
        <v xml:space="preserve"> </v>
      </c>
    </row>
    <row r="152" spans="1:31" ht="15" customHeight="1" thickBot="1" x14ac:dyDescent="0.35">
      <c r="A152"/>
      <c r="B152"/>
      <c r="C152"/>
      <c r="D152"/>
      <c r="E152"/>
      <c r="F152"/>
      <c r="G152" s="36" t="e">
        <f>VLOOKUP(F152,Results!$E$31:$F$50,2,FALSE)</f>
        <v>#N/A</v>
      </c>
      <c r="H152" s="40"/>
      <c r="I152" s="39"/>
      <c r="K152" s="3">
        <f t="shared" si="22"/>
        <v>0</v>
      </c>
      <c r="L152" s="16" t="str">
        <f t="shared" si="24"/>
        <v xml:space="preserve"> </v>
      </c>
      <c r="M152" s="16" t="str">
        <f t="shared" si="24"/>
        <v xml:space="preserve"> </v>
      </c>
      <c r="N152" s="16" t="str">
        <f t="shared" si="24"/>
        <v xml:space="preserve"> </v>
      </c>
      <c r="O152" s="16" t="str">
        <f t="shared" si="24"/>
        <v xml:space="preserve"> </v>
      </c>
      <c r="P152" s="16" t="str">
        <f t="shared" si="24"/>
        <v xml:space="preserve"> </v>
      </c>
      <c r="Q152" s="16" t="str">
        <f t="shared" si="24"/>
        <v xml:space="preserve"> </v>
      </c>
      <c r="R152" s="16" t="str">
        <f t="shared" si="24"/>
        <v xml:space="preserve"> </v>
      </c>
      <c r="S152" s="16" t="str">
        <f t="shared" si="24"/>
        <v xml:space="preserve"> </v>
      </c>
      <c r="T152" s="16" t="str">
        <f t="shared" si="24"/>
        <v xml:space="preserve"> </v>
      </c>
      <c r="U152" s="16" t="str">
        <f t="shared" si="24"/>
        <v xml:space="preserve"> </v>
      </c>
      <c r="V152" s="16" t="str">
        <f t="shared" si="24"/>
        <v xml:space="preserve"> </v>
      </c>
      <c r="W152" s="16" t="str">
        <f t="shared" si="24"/>
        <v xml:space="preserve"> </v>
      </c>
      <c r="X152" s="16" t="str">
        <f t="shared" si="24"/>
        <v xml:space="preserve"> </v>
      </c>
      <c r="Y152" s="16" t="str">
        <f t="shared" si="24"/>
        <v xml:space="preserve"> </v>
      </c>
      <c r="Z152" s="16" t="str">
        <f t="shared" si="24"/>
        <v xml:space="preserve"> </v>
      </c>
      <c r="AA152" s="16" t="str">
        <f t="shared" si="24"/>
        <v xml:space="preserve"> </v>
      </c>
      <c r="AB152" s="16" t="str">
        <f t="shared" si="23"/>
        <v xml:space="preserve"> </v>
      </c>
      <c r="AC152" s="16" t="str">
        <f t="shared" si="23"/>
        <v xml:space="preserve"> </v>
      </c>
      <c r="AD152" s="16" t="str">
        <f t="shared" si="23"/>
        <v xml:space="preserve"> </v>
      </c>
      <c r="AE152" s="16" t="str">
        <f t="shared" si="23"/>
        <v xml:space="preserve"> </v>
      </c>
    </row>
    <row r="153" spans="1:31" ht="15" customHeight="1" thickBot="1" x14ac:dyDescent="0.35">
      <c r="A153"/>
      <c r="B153"/>
      <c r="C153"/>
      <c r="D153"/>
      <c r="E153"/>
      <c r="F153"/>
      <c r="G153" s="36" t="e">
        <f>VLOOKUP(F153,Results!$E$31:$F$50,2,FALSE)</f>
        <v>#N/A</v>
      </c>
      <c r="H153" s="40"/>
      <c r="I153" s="39"/>
      <c r="K153" s="3">
        <f t="shared" si="22"/>
        <v>0</v>
      </c>
      <c r="L153" s="16" t="str">
        <f t="shared" si="24"/>
        <v xml:space="preserve"> </v>
      </c>
      <c r="M153" s="16" t="str">
        <f t="shared" si="24"/>
        <v xml:space="preserve"> </v>
      </c>
      <c r="N153" s="16" t="str">
        <f t="shared" si="24"/>
        <v xml:space="preserve"> </v>
      </c>
      <c r="O153" s="16" t="str">
        <f t="shared" si="24"/>
        <v xml:space="preserve"> </v>
      </c>
      <c r="P153" s="16" t="str">
        <f t="shared" si="24"/>
        <v xml:space="preserve"> </v>
      </c>
      <c r="Q153" s="16" t="str">
        <f t="shared" si="24"/>
        <v xml:space="preserve"> </v>
      </c>
      <c r="R153" s="16" t="str">
        <f t="shared" si="24"/>
        <v xml:space="preserve"> </v>
      </c>
      <c r="S153" s="16" t="str">
        <f t="shared" si="24"/>
        <v xml:space="preserve"> </v>
      </c>
      <c r="T153" s="16" t="str">
        <f t="shared" si="24"/>
        <v xml:space="preserve"> </v>
      </c>
      <c r="U153" s="16" t="str">
        <f t="shared" si="24"/>
        <v xml:space="preserve"> </v>
      </c>
      <c r="V153" s="16" t="str">
        <f t="shared" si="24"/>
        <v xml:space="preserve"> </v>
      </c>
      <c r="W153" s="16" t="str">
        <f t="shared" si="24"/>
        <v xml:space="preserve"> </v>
      </c>
      <c r="X153" s="16" t="str">
        <f t="shared" si="24"/>
        <v xml:space="preserve"> </v>
      </c>
      <c r="Y153" s="16" t="str">
        <f t="shared" si="24"/>
        <v xml:space="preserve"> </v>
      </c>
      <c r="Z153" s="16" t="str">
        <f t="shared" si="24"/>
        <v xml:space="preserve"> </v>
      </c>
      <c r="AA153" s="16" t="str">
        <f t="shared" si="24"/>
        <v xml:space="preserve"> </v>
      </c>
      <c r="AB153" s="16" t="str">
        <f t="shared" si="23"/>
        <v xml:space="preserve"> </v>
      </c>
      <c r="AC153" s="16" t="str">
        <f t="shared" si="23"/>
        <v xml:space="preserve"> </v>
      </c>
      <c r="AD153" s="16" t="str">
        <f t="shared" si="23"/>
        <v xml:space="preserve"> </v>
      </c>
      <c r="AE153" s="16" t="str">
        <f t="shared" si="23"/>
        <v xml:space="preserve"> </v>
      </c>
    </row>
    <row r="154" spans="1:31" ht="15" customHeight="1" thickBot="1" x14ac:dyDescent="0.35">
      <c r="A154"/>
      <c r="B154"/>
      <c r="C154"/>
      <c r="D154"/>
      <c r="E154"/>
      <c r="F154"/>
      <c r="G154" s="36" t="e">
        <f>VLOOKUP(F154,Results!$E$31:$F$50,2,FALSE)</f>
        <v>#N/A</v>
      </c>
      <c r="H154" s="40"/>
      <c r="I154" s="39"/>
      <c r="K154" s="3">
        <f t="shared" si="22"/>
        <v>0</v>
      </c>
      <c r="L154" s="16" t="str">
        <f t="shared" si="24"/>
        <v xml:space="preserve"> </v>
      </c>
      <c r="M154" s="16" t="str">
        <f t="shared" si="24"/>
        <v xml:space="preserve"> </v>
      </c>
      <c r="N154" s="16" t="str">
        <f t="shared" si="24"/>
        <v xml:space="preserve"> </v>
      </c>
      <c r="O154" s="16" t="str">
        <f t="shared" si="24"/>
        <v xml:space="preserve"> </v>
      </c>
      <c r="P154" s="16" t="str">
        <f t="shared" si="24"/>
        <v xml:space="preserve"> </v>
      </c>
      <c r="Q154" s="16" t="str">
        <f t="shared" si="24"/>
        <v xml:space="preserve"> </v>
      </c>
      <c r="R154" s="16" t="str">
        <f t="shared" si="24"/>
        <v xml:space="preserve"> </v>
      </c>
      <c r="S154" s="16" t="str">
        <f t="shared" si="24"/>
        <v xml:space="preserve"> </v>
      </c>
      <c r="T154" s="16" t="str">
        <f t="shared" si="24"/>
        <v xml:space="preserve"> </v>
      </c>
      <c r="U154" s="16" t="str">
        <f t="shared" si="24"/>
        <v xml:space="preserve"> </v>
      </c>
      <c r="V154" s="16" t="str">
        <f t="shared" si="24"/>
        <v xml:space="preserve"> </v>
      </c>
      <c r="W154" s="16" t="str">
        <f t="shared" si="24"/>
        <v xml:space="preserve"> </v>
      </c>
      <c r="X154" s="16" t="str">
        <f t="shared" si="24"/>
        <v xml:space="preserve"> </v>
      </c>
      <c r="Y154" s="16" t="str">
        <f t="shared" si="24"/>
        <v xml:space="preserve"> </v>
      </c>
      <c r="Z154" s="16" t="str">
        <f t="shared" si="24"/>
        <v xml:space="preserve"> </v>
      </c>
      <c r="AA154" s="16" t="str">
        <f t="shared" si="24"/>
        <v xml:space="preserve"> </v>
      </c>
      <c r="AB154" s="16" t="str">
        <f t="shared" si="23"/>
        <v xml:space="preserve"> </v>
      </c>
      <c r="AC154" s="16" t="str">
        <f t="shared" si="23"/>
        <v xml:space="preserve"> </v>
      </c>
      <c r="AD154" s="16" t="str">
        <f t="shared" si="23"/>
        <v xml:space="preserve"> </v>
      </c>
      <c r="AE154" s="16" t="str">
        <f t="shared" si="23"/>
        <v xml:space="preserve"> </v>
      </c>
    </row>
    <row r="155" spans="1:31" ht="15" customHeight="1" thickBot="1" x14ac:dyDescent="0.35">
      <c r="A155"/>
      <c r="B155"/>
      <c r="C155"/>
      <c r="D155"/>
      <c r="E155"/>
      <c r="F155"/>
      <c r="G155" s="36" t="e">
        <f>VLOOKUP(F155,Results!$E$31:$F$50,2,FALSE)</f>
        <v>#N/A</v>
      </c>
      <c r="H155" s="40"/>
      <c r="I155" s="39"/>
      <c r="K155" s="3">
        <f t="shared" si="22"/>
        <v>0</v>
      </c>
      <c r="L155" s="16" t="str">
        <f t="shared" si="24"/>
        <v xml:space="preserve"> </v>
      </c>
      <c r="M155" s="16" t="str">
        <f t="shared" si="24"/>
        <v xml:space="preserve"> </v>
      </c>
      <c r="N155" s="16" t="str">
        <f t="shared" si="24"/>
        <v xml:space="preserve"> </v>
      </c>
      <c r="O155" s="16" t="str">
        <f t="shared" si="24"/>
        <v xml:space="preserve"> </v>
      </c>
      <c r="P155" s="16" t="str">
        <f t="shared" si="24"/>
        <v xml:space="preserve"> </v>
      </c>
      <c r="Q155" s="16" t="str">
        <f t="shared" si="24"/>
        <v xml:space="preserve"> </v>
      </c>
      <c r="R155" s="16" t="str">
        <f t="shared" si="24"/>
        <v xml:space="preserve"> </v>
      </c>
      <c r="S155" s="16" t="str">
        <f t="shared" si="24"/>
        <v xml:space="preserve"> </v>
      </c>
      <c r="T155" s="16" t="str">
        <f t="shared" si="24"/>
        <v xml:space="preserve"> </v>
      </c>
      <c r="U155" s="16" t="str">
        <f t="shared" si="24"/>
        <v xml:space="preserve"> </v>
      </c>
      <c r="V155" s="16" t="str">
        <f t="shared" si="24"/>
        <v xml:space="preserve"> </v>
      </c>
      <c r="W155" s="16" t="str">
        <f t="shared" si="24"/>
        <v xml:space="preserve"> </v>
      </c>
      <c r="X155" s="16" t="str">
        <f t="shared" si="24"/>
        <v xml:space="preserve"> </v>
      </c>
      <c r="Y155" s="16" t="str">
        <f t="shared" si="24"/>
        <v xml:space="preserve"> </v>
      </c>
      <c r="Z155" s="16" t="str">
        <f t="shared" si="24"/>
        <v xml:space="preserve"> </v>
      </c>
      <c r="AA155" s="16" t="str">
        <f t="shared" si="24"/>
        <v xml:space="preserve"> </v>
      </c>
      <c r="AB155" s="16" t="str">
        <f t="shared" si="23"/>
        <v xml:space="preserve"> </v>
      </c>
      <c r="AC155" s="16" t="str">
        <f t="shared" si="23"/>
        <v xml:space="preserve"> </v>
      </c>
      <c r="AD155" s="16" t="str">
        <f t="shared" si="23"/>
        <v xml:space="preserve"> </v>
      </c>
      <c r="AE155" s="16" t="str">
        <f t="shared" si="23"/>
        <v xml:space="preserve"> </v>
      </c>
    </row>
    <row r="156" spans="1:31" ht="15" customHeight="1" thickBot="1" x14ac:dyDescent="0.35">
      <c r="A156"/>
      <c r="B156"/>
      <c r="C156"/>
      <c r="D156"/>
      <c r="E156"/>
      <c r="F156"/>
      <c r="G156" s="36" t="e">
        <f>VLOOKUP(F156,Results!$E$31:$F$50,2,FALSE)</f>
        <v>#N/A</v>
      </c>
      <c r="H156" s="40"/>
      <c r="I156" s="39"/>
      <c r="K156" s="3">
        <f t="shared" si="22"/>
        <v>0</v>
      </c>
      <c r="L156" s="16" t="str">
        <f t="shared" si="24"/>
        <v xml:space="preserve"> </v>
      </c>
      <c r="M156" s="16" t="str">
        <f t="shared" si="24"/>
        <v xml:space="preserve"> </v>
      </c>
      <c r="N156" s="16" t="str">
        <f t="shared" si="24"/>
        <v xml:space="preserve"> </v>
      </c>
      <c r="O156" s="16" t="str">
        <f t="shared" si="24"/>
        <v xml:space="preserve"> </v>
      </c>
      <c r="P156" s="16" t="str">
        <f t="shared" si="24"/>
        <v xml:space="preserve"> </v>
      </c>
      <c r="Q156" s="16" t="str">
        <f t="shared" si="24"/>
        <v xml:space="preserve"> </v>
      </c>
      <c r="R156" s="16" t="str">
        <f t="shared" si="24"/>
        <v xml:space="preserve"> </v>
      </c>
      <c r="S156" s="16" t="str">
        <f t="shared" si="24"/>
        <v xml:space="preserve"> </v>
      </c>
      <c r="T156" s="16" t="str">
        <f t="shared" si="24"/>
        <v xml:space="preserve"> </v>
      </c>
      <c r="U156" s="16" t="str">
        <f t="shared" si="24"/>
        <v xml:space="preserve"> </v>
      </c>
      <c r="V156" s="16" t="str">
        <f t="shared" si="24"/>
        <v xml:space="preserve"> </v>
      </c>
      <c r="W156" s="16" t="str">
        <f t="shared" si="24"/>
        <v xml:space="preserve"> </v>
      </c>
      <c r="X156" s="16" t="str">
        <f t="shared" si="24"/>
        <v xml:space="preserve"> </v>
      </c>
      <c r="Y156" s="16" t="str">
        <f t="shared" si="24"/>
        <v xml:space="preserve"> </v>
      </c>
      <c r="Z156" s="16" t="str">
        <f t="shared" si="24"/>
        <v xml:space="preserve"> </v>
      </c>
      <c r="AA156" s="16" t="str">
        <f t="shared" si="24"/>
        <v xml:space="preserve"> </v>
      </c>
      <c r="AB156" s="16" t="str">
        <f t="shared" si="23"/>
        <v xml:space="preserve"> </v>
      </c>
      <c r="AC156" s="16" t="str">
        <f t="shared" si="23"/>
        <v xml:space="preserve"> </v>
      </c>
      <c r="AD156" s="16" t="str">
        <f t="shared" si="23"/>
        <v xml:space="preserve"> </v>
      </c>
      <c r="AE156" s="16" t="str">
        <f t="shared" si="23"/>
        <v xml:space="preserve"> </v>
      </c>
    </row>
    <row r="157" spans="1:31" ht="15" customHeight="1" thickBot="1" x14ac:dyDescent="0.35">
      <c r="A157"/>
      <c r="B157"/>
      <c r="C157"/>
      <c r="D157"/>
      <c r="E157"/>
      <c r="F157"/>
      <c r="G157" s="36" t="e">
        <f>VLOOKUP(F157,Results!$E$31:$F$50,2,FALSE)</f>
        <v>#N/A</v>
      </c>
      <c r="H157" s="40"/>
      <c r="I157" s="39"/>
      <c r="K157" s="3">
        <f t="shared" si="22"/>
        <v>0</v>
      </c>
      <c r="L157" s="16" t="str">
        <f t="shared" si="24"/>
        <v xml:space="preserve"> </v>
      </c>
      <c r="M157" s="16" t="str">
        <f t="shared" si="24"/>
        <v xml:space="preserve"> </v>
      </c>
      <c r="N157" s="16" t="str">
        <f t="shared" si="24"/>
        <v xml:space="preserve"> </v>
      </c>
      <c r="O157" s="16" t="str">
        <f t="shared" si="24"/>
        <v xml:space="preserve"> </v>
      </c>
      <c r="P157" s="16" t="str">
        <f t="shared" si="24"/>
        <v xml:space="preserve"> </v>
      </c>
      <c r="Q157" s="16" t="str">
        <f t="shared" si="24"/>
        <v xml:space="preserve"> </v>
      </c>
      <c r="R157" s="16" t="str">
        <f t="shared" si="24"/>
        <v xml:space="preserve"> </v>
      </c>
      <c r="S157" s="16" t="str">
        <f t="shared" si="24"/>
        <v xml:space="preserve"> </v>
      </c>
      <c r="T157" s="16" t="str">
        <f t="shared" si="24"/>
        <v xml:space="preserve"> </v>
      </c>
      <c r="U157" s="16" t="str">
        <f t="shared" si="24"/>
        <v xml:space="preserve"> </v>
      </c>
      <c r="V157" s="16" t="str">
        <f t="shared" si="24"/>
        <v xml:space="preserve"> </v>
      </c>
      <c r="W157" s="16" t="str">
        <f t="shared" si="24"/>
        <v xml:space="preserve"> </v>
      </c>
      <c r="X157" s="16" t="str">
        <f t="shared" si="24"/>
        <v xml:space="preserve"> </v>
      </c>
      <c r="Y157" s="16" t="str">
        <f t="shared" si="24"/>
        <v xml:space="preserve"> </v>
      </c>
      <c r="Z157" s="16" t="str">
        <f t="shared" si="24"/>
        <v xml:space="preserve"> </v>
      </c>
      <c r="AA157" s="16" t="str">
        <f t="shared" si="24"/>
        <v xml:space="preserve"> </v>
      </c>
      <c r="AB157" s="16" t="str">
        <f t="shared" si="23"/>
        <v xml:space="preserve"> </v>
      </c>
      <c r="AC157" s="16" t="str">
        <f t="shared" si="23"/>
        <v xml:space="preserve"> </v>
      </c>
      <c r="AD157" s="16" t="str">
        <f t="shared" si="23"/>
        <v xml:space="preserve"> </v>
      </c>
      <c r="AE157" s="16" t="str">
        <f t="shared" si="23"/>
        <v xml:space="preserve"> </v>
      </c>
    </row>
    <row r="158" spans="1:31" ht="15" customHeight="1" thickBot="1" x14ac:dyDescent="0.35">
      <c r="A158"/>
      <c r="B158"/>
      <c r="C158"/>
      <c r="D158"/>
      <c r="E158"/>
      <c r="F158"/>
      <c r="G158" s="36" t="e">
        <f>VLOOKUP(F158,Results!$E$31:$F$50,2,FALSE)</f>
        <v>#N/A</v>
      </c>
      <c r="H158" s="40"/>
      <c r="I158" s="39"/>
      <c r="K158" s="3">
        <f t="shared" si="22"/>
        <v>0</v>
      </c>
      <c r="L158" s="16" t="str">
        <f t="shared" si="24"/>
        <v xml:space="preserve"> </v>
      </c>
      <c r="M158" s="16" t="str">
        <f t="shared" si="24"/>
        <v xml:space="preserve"> </v>
      </c>
      <c r="N158" s="16" t="str">
        <f t="shared" si="24"/>
        <v xml:space="preserve"> </v>
      </c>
      <c r="O158" s="16" t="str">
        <f t="shared" si="24"/>
        <v xml:space="preserve"> </v>
      </c>
      <c r="P158" s="16" t="str">
        <f t="shared" si="24"/>
        <v xml:space="preserve"> </v>
      </c>
      <c r="Q158" s="16" t="str">
        <f t="shared" si="24"/>
        <v xml:space="preserve"> </v>
      </c>
      <c r="R158" s="16" t="str">
        <f t="shared" si="24"/>
        <v xml:space="preserve"> </v>
      </c>
      <c r="S158" s="16" t="str">
        <f t="shared" si="24"/>
        <v xml:space="preserve"> </v>
      </c>
      <c r="T158" s="16" t="str">
        <f t="shared" si="24"/>
        <v xml:space="preserve"> </v>
      </c>
      <c r="U158" s="16" t="str">
        <f t="shared" si="24"/>
        <v xml:space="preserve"> </v>
      </c>
      <c r="V158" s="16" t="str">
        <f t="shared" si="24"/>
        <v xml:space="preserve"> </v>
      </c>
      <c r="W158" s="16" t="str">
        <f t="shared" si="24"/>
        <v xml:space="preserve"> </v>
      </c>
      <c r="X158" s="16" t="str">
        <f t="shared" si="24"/>
        <v xml:space="preserve"> </v>
      </c>
      <c r="Y158" s="16" t="str">
        <f t="shared" si="24"/>
        <v xml:space="preserve"> </v>
      </c>
      <c r="Z158" s="16" t="str">
        <f t="shared" si="24"/>
        <v xml:space="preserve"> </v>
      </c>
      <c r="AA158" s="16" t="str">
        <f t="shared" si="24"/>
        <v xml:space="preserve"> </v>
      </c>
      <c r="AB158" s="16" t="str">
        <f t="shared" si="23"/>
        <v xml:space="preserve"> </v>
      </c>
      <c r="AC158" s="16" t="str">
        <f t="shared" si="23"/>
        <v xml:space="preserve"> </v>
      </c>
      <c r="AD158" s="16" t="str">
        <f t="shared" si="23"/>
        <v xml:space="preserve"> </v>
      </c>
      <c r="AE158" s="16" t="str">
        <f t="shared" si="23"/>
        <v xml:space="preserve"> </v>
      </c>
    </row>
    <row r="159" spans="1:31" ht="15" customHeight="1" thickBot="1" x14ac:dyDescent="0.35">
      <c r="A159"/>
      <c r="B159"/>
      <c r="C159"/>
      <c r="D159"/>
      <c r="E159"/>
      <c r="F159"/>
      <c r="G159" s="36" t="e">
        <f>VLOOKUP(F159,Results!$E$31:$F$50,2,FALSE)</f>
        <v>#N/A</v>
      </c>
      <c r="H159" s="40"/>
      <c r="I159" s="39"/>
      <c r="K159" s="3">
        <f t="shared" si="22"/>
        <v>0</v>
      </c>
      <c r="L159" s="16" t="str">
        <f t="shared" si="24"/>
        <v xml:space="preserve"> </v>
      </c>
      <c r="M159" s="16" t="str">
        <f t="shared" si="24"/>
        <v xml:space="preserve"> </v>
      </c>
      <c r="N159" s="16" t="str">
        <f t="shared" si="24"/>
        <v xml:space="preserve"> </v>
      </c>
      <c r="O159" s="16" t="str">
        <f t="shared" si="24"/>
        <v xml:space="preserve"> </v>
      </c>
      <c r="P159" s="16" t="str">
        <f t="shared" si="24"/>
        <v xml:space="preserve"> </v>
      </c>
      <c r="Q159" s="16" t="str">
        <f t="shared" si="24"/>
        <v xml:space="preserve"> </v>
      </c>
      <c r="R159" s="16" t="str">
        <f t="shared" si="24"/>
        <v xml:space="preserve"> </v>
      </c>
      <c r="S159" s="16" t="str">
        <f t="shared" si="24"/>
        <v xml:space="preserve"> </v>
      </c>
      <c r="T159" s="16" t="str">
        <f t="shared" si="24"/>
        <v xml:space="preserve"> </v>
      </c>
      <c r="U159" s="16" t="str">
        <f t="shared" si="24"/>
        <v xml:space="preserve"> </v>
      </c>
      <c r="V159" s="16" t="str">
        <f t="shared" si="24"/>
        <v xml:space="preserve"> </v>
      </c>
      <c r="W159" s="16" t="str">
        <f t="shared" si="24"/>
        <v xml:space="preserve"> </v>
      </c>
      <c r="X159" s="16" t="str">
        <f t="shared" si="24"/>
        <v xml:space="preserve"> </v>
      </c>
      <c r="Y159" s="16" t="str">
        <f t="shared" si="24"/>
        <v xml:space="preserve"> </v>
      </c>
      <c r="Z159" s="16" t="str">
        <f t="shared" si="24"/>
        <v xml:space="preserve"> </v>
      </c>
      <c r="AA159" s="16" t="str">
        <f t="shared" si="24"/>
        <v xml:space="preserve"> </v>
      </c>
      <c r="AB159" s="16" t="str">
        <f t="shared" si="23"/>
        <v xml:space="preserve"> </v>
      </c>
      <c r="AC159" s="16" t="str">
        <f t="shared" si="23"/>
        <v xml:space="preserve"> </v>
      </c>
      <c r="AD159" s="16" t="str">
        <f t="shared" si="23"/>
        <v xml:space="preserve"> </v>
      </c>
      <c r="AE159" s="16" t="str">
        <f t="shared" si="23"/>
        <v xml:space="preserve"> </v>
      </c>
    </row>
    <row r="160" spans="1:31" ht="15" customHeight="1" thickBot="1" x14ac:dyDescent="0.35">
      <c r="A160"/>
      <c r="B160"/>
      <c r="C160"/>
      <c r="D160"/>
      <c r="E160"/>
      <c r="F160"/>
      <c r="G160" s="36" t="e">
        <f>VLOOKUP(F160,Results!$E$31:$F$50,2,FALSE)</f>
        <v>#N/A</v>
      </c>
      <c r="H160" s="40"/>
      <c r="I160" s="39"/>
      <c r="K160" s="3">
        <f t="shared" si="22"/>
        <v>0</v>
      </c>
      <c r="L160" s="16" t="str">
        <f t="shared" si="24"/>
        <v xml:space="preserve"> </v>
      </c>
      <c r="M160" s="16" t="str">
        <f t="shared" si="24"/>
        <v xml:space="preserve"> </v>
      </c>
      <c r="N160" s="16" t="str">
        <f t="shared" si="24"/>
        <v xml:space="preserve"> </v>
      </c>
      <c r="O160" s="16" t="str">
        <f t="shared" si="24"/>
        <v xml:space="preserve"> </v>
      </c>
      <c r="P160" s="16" t="str">
        <f t="shared" si="24"/>
        <v xml:space="preserve"> </v>
      </c>
      <c r="Q160" s="16" t="str">
        <f t="shared" si="24"/>
        <v xml:space="preserve"> </v>
      </c>
      <c r="R160" s="16" t="str">
        <f t="shared" si="24"/>
        <v xml:space="preserve"> </v>
      </c>
      <c r="S160" s="16" t="str">
        <f t="shared" si="24"/>
        <v xml:space="preserve"> </v>
      </c>
      <c r="T160" s="16" t="str">
        <f t="shared" si="24"/>
        <v xml:space="preserve"> </v>
      </c>
      <c r="U160" s="16" t="str">
        <f t="shared" si="24"/>
        <v xml:space="preserve"> </v>
      </c>
      <c r="V160" s="16" t="str">
        <f t="shared" si="24"/>
        <v xml:space="preserve"> </v>
      </c>
      <c r="W160" s="16" t="str">
        <f t="shared" si="24"/>
        <v xml:space="preserve"> </v>
      </c>
      <c r="X160" s="16" t="str">
        <f t="shared" si="24"/>
        <v xml:space="preserve"> </v>
      </c>
      <c r="Y160" s="16" t="str">
        <f t="shared" si="24"/>
        <v xml:space="preserve"> </v>
      </c>
      <c r="Z160" s="16" t="str">
        <f t="shared" si="24"/>
        <v xml:space="preserve"> </v>
      </c>
      <c r="AA160" s="16" t="str">
        <f t="shared" si="24"/>
        <v xml:space="preserve"> </v>
      </c>
      <c r="AB160" s="16" t="str">
        <f t="shared" si="23"/>
        <v xml:space="preserve"> </v>
      </c>
      <c r="AC160" s="16" t="str">
        <f t="shared" si="23"/>
        <v xml:space="preserve"> </v>
      </c>
      <c r="AD160" s="16" t="str">
        <f t="shared" si="23"/>
        <v xml:space="preserve"> </v>
      </c>
      <c r="AE160" s="16" t="str">
        <f t="shared" si="23"/>
        <v xml:space="preserve"> </v>
      </c>
    </row>
    <row r="161" spans="1:31" ht="15" customHeight="1" thickBot="1" x14ac:dyDescent="0.35">
      <c r="A161"/>
      <c r="B161"/>
      <c r="C161"/>
      <c r="D161"/>
      <c r="E161"/>
      <c r="F161"/>
      <c r="G161" s="36" t="e">
        <f>VLOOKUP(F161,Results!$E$31:$F$50,2,FALSE)</f>
        <v>#N/A</v>
      </c>
      <c r="H161" s="40"/>
      <c r="I161" s="39"/>
      <c r="K161" s="3">
        <f t="shared" si="22"/>
        <v>0</v>
      </c>
      <c r="L161" s="16" t="str">
        <f t="shared" si="24"/>
        <v xml:space="preserve"> </v>
      </c>
      <c r="M161" s="16" t="str">
        <f t="shared" si="24"/>
        <v xml:space="preserve"> </v>
      </c>
      <c r="N161" s="16" t="str">
        <f t="shared" si="24"/>
        <v xml:space="preserve"> </v>
      </c>
      <c r="O161" s="16" t="str">
        <f t="shared" si="24"/>
        <v xml:space="preserve"> </v>
      </c>
      <c r="P161" s="16" t="str">
        <f t="shared" si="24"/>
        <v xml:space="preserve"> </v>
      </c>
      <c r="Q161" s="16" t="str">
        <f t="shared" si="24"/>
        <v xml:space="preserve"> </v>
      </c>
      <c r="R161" s="16" t="str">
        <f t="shared" si="24"/>
        <v xml:space="preserve"> </v>
      </c>
      <c r="S161" s="16" t="str">
        <f t="shared" si="24"/>
        <v xml:space="preserve"> </v>
      </c>
      <c r="T161" s="16" t="str">
        <f t="shared" si="24"/>
        <v xml:space="preserve"> </v>
      </c>
      <c r="U161" s="16" t="str">
        <f t="shared" si="24"/>
        <v xml:space="preserve"> </v>
      </c>
      <c r="V161" s="16" t="str">
        <f t="shared" si="24"/>
        <v xml:space="preserve"> </v>
      </c>
      <c r="W161" s="16" t="str">
        <f t="shared" si="24"/>
        <v xml:space="preserve"> </v>
      </c>
      <c r="X161" s="16" t="str">
        <f t="shared" si="24"/>
        <v xml:space="preserve"> </v>
      </c>
      <c r="Y161" s="16" t="str">
        <f t="shared" si="24"/>
        <v xml:space="preserve"> </v>
      </c>
      <c r="Z161" s="16" t="str">
        <f t="shared" si="24"/>
        <v xml:space="preserve"> </v>
      </c>
      <c r="AA161" s="16" t="str">
        <f t="shared" si="24"/>
        <v xml:space="preserve"> </v>
      </c>
      <c r="AB161" s="16" t="str">
        <f t="shared" si="23"/>
        <v xml:space="preserve"> </v>
      </c>
      <c r="AC161" s="16" t="str">
        <f t="shared" si="23"/>
        <v xml:space="preserve"> </v>
      </c>
      <c r="AD161" s="16" t="str">
        <f t="shared" si="23"/>
        <v xml:space="preserve"> </v>
      </c>
      <c r="AE161" s="16" t="str">
        <f t="shared" si="23"/>
        <v xml:space="preserve"> </v>
      </c>
    </row>
    <row r="162" spans="1:31" ht="15" customHeight="1" thickBot="1" x14ac:dyDescent="0.35">
      <c r="A162"/>
      <c r="B162"/>
      <c r="C162"/>
      <c r="D162"/>
      <c r="E162"/>
      <c r="F162"/>
      <c r="G162" s="36" t="e">
        <f>VLOOKUP(F162,Results!$E$31:$F$50,2,FALSE)</f>
        <v>#N/A</v>
      </c>
      <c r="H162" s="40"/>
      <c r="I162" s="39"/>
      <c r="K162" s="3">
        <f t="shared" si="22"/>
        <v>0</v>
      </c>
      <c r="L162" s="16" t="str">
        <f t="shared" si="24"/>
        <v xml:space="preserve"> </v>
      </c>
      <c r="M162" s="16" t="str">
        <f t="shared" si="24"/>
        <v xml:space="preserve"> </v>
      </c>
      <c r="N162" s="16" t="str">
        <f t="shared" si="24"/>
        <v xml:space="preserve"> </v>
      </c>
      <c r="O162" s="16" t="str">
        <f t="shared" si="24"/>
        <v xml:space="preserve"> </v>
      </c>
      <c r="P162" s="16" t="str">
        <f t="shared" si="24"/>
        <v xml:space="preserve"> </v>
      </c>
      <c r="Q162" s="16" t="str">
        <f t="shared" si="24"/>
        <v xml:space="preserve"> </v>
      </c>
      <c r="R162" s="16" t="str">
        <f t="shared" si="24"/>
        <v xml:space="preserve"> </v>
      </c>
      <c r="S162" s="16" t="str">
        <f t="shared" si="24"/>
        <v xml:space="preserve"> </v>
      </c>
      <c r="T162" s="16" t="str">
        <f t="shared" si="24"/>
        <v xml:space="preserve"> </v>
      </c>
      <c r="U162" s="16" t="str">
        <f t="shared" si="24"/>
        <v xml:space="preserve"> </v>
      </c>
      <c r="V162" s="16" t="str">
        <f t="shared" si="24"/>
        <v xml:space="preserve"> </v>
      </c>
      <c r="W162" s="16" t="str">
        <f t="shared" si="24"/>
        <v xml:space="preserve"> </v>
      </c>
      <c r="X162" s="16" t="str">
        <f t="shared" si="24"/>
        <v xml:space="preserve"> </v>
      </c>
      <c r="Y162" s="16" t="str">
        <f t="shared" si="24"/>
        <v xml:space="preserve"> </v>
      </c>
      <c r="Z162" s="16" t="str">
        <f t="shared" si="24"/>
        <v xml:space="preserve"> </v>
      </c>
      <c r="AA162" s="16" t="str">
        <f t="shared" ref="AA162:AE177" si="25">IF($F162=COLUMN((AA:AA))-11,$E162," ")</f>
        <v xml:space="preserve"> </v>
      </c>
      <c r="AB162" s="16" t="str">
        <f t="shared" si="25"/>
        <v xml:space="preserve"> </v>
      </c>
      <c r="AC162" s="16" t="str">
        <f t="shared" si="25"/>
        <v xml:space="preserve"> </v>
      </c>
      <c r="AD162" s="16" t="str">
        <f t="shared" si="25"/>
        <v xml:space="preserve"> </v>
      </c>
      <c r="AE162" s="16" t="str">
        <f t="shared" si="25"/>
        <v xml:space="preserve"> </v>
      </c>
    </row>
    <row r="163" spans="1:31" ht="15" customHeight="1" thickBot="1" x14ac:dyDescent="0.35">
      <c r="A163"/>
      <c r="B163"/>
      <c r="C163"/>
      <c r="D163"/>
      <c r="E163"/>
      <c r="F163"/>
      <c r="G163" s="36" t="e">
        <f>VLOOKUP(F163,Results!$E$31:$F$50,2,FALSE)</f>
        <v>#N/A</v>
      </c>
      <c r="H163" s="40"/>
      <c r="I163" s="39"/>
      <c r="K163" s="3">
        <f t="shared" si="22"/>
        <v>0</v>
      </c>
      <c r="L163" s="16" t="str">
        <f t="shared" ref="L163:AA178" si="26">IF($F163=COLUMN((L:L))-11,$E163," ")</f>
        <v xml:space="preserve"> </v>
      </c>
      <c r="M163" s="16" t="str">
        <f t="shared" si="26"/>
        <v xml:space="preserve"> </v>
      </c>
      <c r="N163" s="16" t="str">
        <f t="shared" si="26"/>
        <v xml:space="preserve"> </v>
      </c>
      <c r="O163" s="16" t="str">
        <f t="shared" si="26"/>
        <v xml:space="preserve"> </v>
      </c>
      <c r="P163" s="16" t="str">
        <f t="shared" si="26"/>
        <v xml:space="preserve"> </v>
      </c>
      <c r="Q163" s="16" t="str">
        <f t="shared" si="26"/>
        <v xml:space="preserve"> </v>
      </c>
      <c r="R163" s="16" t="str">
        <f t="shared" si="26"/>
        <v xml:space="preserve"> </v>
      </c>
      <c r="S163" s="16" t="str">
        <f t="shared" si="26"/>
        <v xml:space="preserve"> </v>
      </c>
      <c r="T163" s="16" t="str">
        <f t="shared" si="26"/>
        <v xml:space="preserve"> </v>
      </c>
      <c r="U163" s="16" t="str">
        <f t="shared" si="26"/>
        <v xml:space="preserve"> </v>
      </c>
      <c r="V163" s="16" t="str">
        <f t="shared" si="26"/>
        <v xml:space="preserve"> </v>
      </c>
      <c r="W163" s="16" t="str">
        <f t="shared" si="26"/>
        <v xml:space="preserve"> </v>
      </c>
      <c r="X163" s="16" t="str">
        <f t="shared" si="26"/>
        <v xml:space="preserve"> </v>
      </c>
      <c r="Y163" s="16" t="str">
        <f t="shared" si="26"/>
        <v xml:space="preserve"> </v>
      </c>
      <c r="Z163" s="16" t="str">
        <f t="shared" si="26"/>
        <v xml:space="preserve"> </v>
      </c>
      <c r="AA163" s="16" t="str">
        <f t="shared" si="26"/>
        <v xml:space="preserve"> </v>
      </c>
      <c r="AB163" s="16" t="str">
        <f t="shared" si="25"/>
        <v xml:space="preserve"> </v>
      </c>
      <c r="AC163" s="16" t="str">
        <f t="shared" si="25"/>
        <v xml:space="preserve"> </v>
      </c>
      <c r="AD163" s="16" t="str">
        <f t="shared" si="25"/>
        <v xml:space="preserve"> </v>
      </c>
      <c r="AE163" s="16" t="str">
        <f t="shared" si="25"/>
        <v xml:space="preserve"> </v>
      </c>
    </row>
    <row r="164" spans="1:31" ht="15" customHeight="1" thickBot="1" x14ac:dyDescent="0.35">
      <c r="A164"/>
      <c r="B164"/>
      <c r="C164"/>
      <c r="D164"/>
      <c r="E164"/>
      <c r="F164"/>
      <c r="G164" s="36" t="e">
        <f>VLOOKUP(F164,Results!$E$31:$F$50,2,FALSE)</f>
        <v>#N/A</v>
      </c>
      <c r="H164" s="40"/>
      <c r="I164" s="39"/>
      <c r="K164" s="3">
        <f t="shared" si="22"/>
        <v>0</v>
      </c>
      <c r="L164" s="16" t="str">
        <f t="shared" si="26"/>
        <v xml:space="preserve"> </v>
      </c>
      <c r="M164" s="16" t="str">
        <f t="shared" si="26"/>
        <v xml:space="preserve"> </v>
      </c>
      <c r="N164" s="16" t="str">
        <f t="shared" si="26"/>
        <v xml:space="preserve"> </v>
      </c>
      <c r="O164" s="16" t="str">
        <f t="shared" si="26"/>
        <v xml:space="preserve"> </v>
      </c>
      <c r="P164" s="16" t="str">
        <f t="shared" si="26"/>
        <v xml:space="preserve"> </v>
      </c>
      <c r="Q164" s="16" t="str">
        <f t="shared" si="26"/>
        <v xml:space="preserve"> </v>
      </c>
      <c r="R164" s="16" t="str">
        <f t="shared" si="26"/>
        <v xml:space="preserve"> </v>
      </c>
      <c r="S164" s="16" t="str">
        <f t="shared" si="26"/>
        <v xml:space="preserve"> </v>
      </c>
      <c r="T164" s="16" t="str">
        <f t="shared" si="26"/>
        <v xml:space="preserve"> </v>
      </c>
      <c r="U164" s="16" t="str">
        <f t="shared" si="26"/>
        <v xml:space="preserve"> </v>
      </c>
      <c r="V164" s="16" t="str">
        <f t="shared" si="26"/>
        <v xml:space="preserve"> </v>
      </c>
      <c r="W164" s="16" t="str">
        <f t="shared" si="26"/>
        <v xml:space="preserve"> </v>
      </c>
      <c r="X164" s="16" t="str">
        <f t="shared" si="26"/>
        <v xml:space="preserve"> </v>
      </c>
      <c r="Y164" s="16" t="str">
        <f t="shared" si="26"/>
        <v xml:space="preserve"> </v>
      </c>
      <c r="Z164" s="16" t="str">
        <f t="shared" si="26"/>
        <v xml:space="preserve"> </v>
      </c>
      <c r="AA164" s="16" t="str">
        <f t="shared" si="26"/>
        <v xml:space="preserve"> </v>
      </c>
      <c r="AB164" s="16" t="str">
        <f t="shared" si="25"/>
        <v xml:space="preserve"> </v>
      </c>
      <c r="AC164" s="16" t="str">
        <f t="shared" si="25"/>
        <v xml:space="preserve"> </v>
      </c>
      <c r="AD164" s="16" t="str">
        <f t="shared" si="25"/>
        <v xml:space="preserve"> </v>
      </c>
      <c r="AE164" s="16" t="str">
        <f t="shared" si="25"/>
        <v xml:space="preserve"> </v>
      </c>
    </row>
    <row r="165" spans="1:31" ht="15" customHeight="1" thickBot="1" x14ac:dyDescent="0.35">
      <c r="A165"/>
      <c r="B165"/>
      <c r="C165"/>
      <c r="D165"/>
      <c r="E165"/>
      <c r="F165"/>
      <c r="G165" s="36" t="e">
        <f>VLOOKUP(F165,Results!$E$31:$F$50,2,FALSE)</f>
        <v>#N/A</v>
      </c>
      <c r="H165" s="40"/>
      <c r="I165" s="39"/>
      <c r="K165" s="3">
        <f t="shared" si="22"/>
        <v>0</v>
      </c>
      <c r="L165" s="16" t="str">
        <f t="shared" si="26"/>
        <v xml:space="preserve"> </v>
      </c>
      <c r="M165" s="16" t="str">
        <f t="shared" si="26"/>
        <v xml:space="preserve"> </v>
      </c>
      <c r="N165" s="16" t="str">
        <f t="shared" si="26"/>
        <v xml:space="preserve"> </v>
      </c>
      <c r="O165" s="16" t="str">
        <f t="shared" si="26"/>
        <v xml:space="preserve"> </v>
      </c>
      <c r="P165" s="16" t="str">
        <f t="shared" si="26"/>
        <v xml:space="preserve"> </v>
      </c>
      <c r="Q165" s="16" t="str">
        <f t="shared" si="26"/>
        <v xml:space="preserve"> </v>
      </c>
      <c r="R165" s="16" t="str">
        <f t="shared" si="26"/>
        <v xml:space="preserve"> </v>
      </c>
      <c r="S165" s="16" t="str">
        <f t="shared" si="26"/>
        <v xml:space="preserve"> </v>
      </c>
      <c r="T165" s="16" t="str">
        <f t="shared" si="26"/>
        <v xml:space="preserve"> </v>
      </c>
      <c r="U165" s="16" t="str">
        <f t="shared" si="26"/>
        <v xml:space="preserve"> </v>
      </c>
      <c r="V165" s="16" t="str">
        <f t="shared" si="26"/>
        <v xml:space="preserve"> </v>
      </c>
      <c r="W165" s="16" t="str">
        <f t="shared" si="26"/>
        <v xml:space="preserve"> </v>
      </c>
      <c r="X165" s="16" t="str">
        <f t="shared" si="26"/>
        <v xml:space="preserve"> </v>
      </c>
      <c r="Y165" s="16" t="str">
        <f t="shared" si="26"/>
        <v xml:space="preserve"> </v>
      </c>
      <c r="Z165" s="16" t="str">
        <f t="shared" si="26"/>
        <v xml:space="preserve"> </v>
      </c>
      <c r="AA165" s="16" t="str">
        <f t="shared" si="26"/>
        <v xml:space="preserve"> </v>
      </c>
      <c r="AB165" s="16" t="str">
        <f t="shared" si="25"/>
        <v xml:space="preserve"> </v>
      </c>
      <c r="AC165" s="16" t="str">
        <f t="shared" si="25"/>
        <v xml:space="preserve"> </v>
      </c>
      <c r="AD165" s="16" t="str">
        <f t="shared" si="25"/>
        <v xml:space="preserve"> </v>
      </c>
      <c r="AE165" s="16" t="str">
        <f t="shared" si="25"/>
        <v xml:space="preserve"> </v>
      </c>
    </row>
    <row r="166" spans="1:31" ht="15" customHeight="1" thickBot="1" x14ac:dyDescent="0.35">
      <c r="A166"/>
      <c r="B166"/>
      <c r="C166"/>
      <c r="D166"/>
      <c r="E166"/>
      <c r="F166"/>
      <c r="G166" s="36" t="e">
        <f>VLOOKUP(F166,Results!$E$31:$F$50,2,FALSE)</f>
        <v>#N/A</v>
      </c>
      <c r="H166" s="40"/>
      <c r="I166" s="39"/>
      <c r="K166" s="3">
        <f t="shared" si="22"/>
        <v>0</v>
      </c>
      <c r="L166" s="16" t="str">
        <f t="shared" si="26"/>
        <v xml:space="preserve"> </v>
      </c>
      <c r="M166" s="16" t="str">
        <f t="shared" si="26"/>
        <v xml:space="preserve"> </v>
      </c>
      <c r="N166" s="16" t="str">
        <f t="shared" si="26"/>
        <v xml:space="preserve"> </v>
      </c>
      <c r="O166" s="16" t="str">
        <f t="shared" si="26"/>
        <v xml:space="preserve"> </v>
      </c>
      <c r="P166" s="16" t="str">
        <f t="shared" si="26"/>
        <v xml:space="preserve"> </v>
      </c>
      <c r="Q166" s="16" t="str">
        <f t="shared" si="26"/>
        <v xml:space="preserve"> </v>
      </c>
      <c r="R166" s="16" t="str">
        <f t="shared" si="26"/>
        <v xml:space="preserve"> </v>
      </c>
      <c r="S166" s="16" t="str">
        <f t="shared" si="26"/>
        <v xml:space="preserve"> </v>
      </c>
      <c r="T166" s="16" t="str">
        <f t="shared" si="26"/>
        <v xml:space="preserve"> </v>
      </c>
      <c r="U166" s="16" t="str">
        <f t="shared" si="26"/>
        <v xml:space="preserve"> </v>
      </c>
      <c r="V166" s="16" t="str">
        <f t="shared" si="26"/>
        <v xml:space="preserve"> </v>
      </c>
      <c r="W166" s="16" t="str">
        <f t="shared" si="26"/>
        <v xml:space="preserve"> </v>
      </c>
      <c r="X166" s="16" t="str">
        <f t="shared" si="26"/>
        <v xml:space="preserve"> </v>
      </c>
      <c r="Y166" s="16" t="str">
        <f t="shared" si="26"/>
        <v xml:space="preserve"> </v>
      </c>
      <c r="Z166" s="16" t="str">
        <f t="shared" si="26"/>
        <v xml:space="preserve"> </v>
      </c>
      <c r="AA166" s="16" t="str">
        <f t="shared" si="26"/>
        <v xml:space="preserve"> </v>
      </c>
      <c r="AB166" s="16" t="str">
        <f t="shared" si="25"/>
        <v xml:space="preserve"> </v>
      </c>
      <c r="AC166" s="16" t="str">
        <f t="shared" si="25"/>
        <v xml:space="preserve"> </v>
      </c>
      <c r="AD166" s="16" t="str">
        <f t="shared" si="25"/>
        <v xml:space="preserve"> </v>
      </c>
      <c r="AE166" s="16" t="str">
        <f t="shared" si="25"/>
        <v xml:space="preserve"> </v>
      </c>
    </row>
    <row r="167" spans="1:31" ht="15" customHeight="1" thickBot="1" x14ac:dyDescent="0.35">
      <c r="A167"/>
      <c r="B167"/>
      <c r="C167"/>
      <c r="D167"/>
      <c r="E167"/>
      <c r="F167"/>
      <c r="G167" s="36" t="e">
        <f>VLOOKUP(F167,Results!$E$31:$F$50,2,FALSE)</f>
        <v>#N/A</v>
      </c>
      <c r="H167" s="40"/>
      <c r="I167" s="39"/>
      <c r="K167" s="3">
        <f t="shared" si="22"/>
        <v>0</v>
      </c>
      <c r="L167" s="16" t="str">
        <f t="shared" si="26"/>
        <v xml:space="preserve"> </v>
      </c>
      <c r="M167" s="16" t="str">
        <f t="shared" si="26"/>
        <v xml:space="preserve"> </v>
      </c>
      <c r="N167" s="16" t="str">
        <f t="shared" si="26"/>
        <v xml:space="preserve"> </v>
      </c>
      <c r="O167" s="16" t="str">
        <f t="shared" si="26"/>
        <v xml:space="preserve"> </v>
      </c>
      <c r="P167" s="16" t="str">
        <f t="shared" si="26"/>
        <v xml:space="preserve"> </v>
      </c>
      <c r="Q167" s="16" t="str">
        <f t="shared" si="26"/>
        <v xml:space="preserve"> </v>
      </c>
      <c r="R167" s="16" t="str">
        <f t="shared" si="26"/>
        <v xml:space="preserve"> </v>
      </c>
      <c r="S167" s="16" t="str">
        <f t="shared" si="26"/>
        <v xml:space="preserve"> </v>
      </c>
      <c r="T167" s="16" t="str">
        <f t="shared" si="26"/>
        <v xml:space="preserve"> </v>
      </c>
      <c r="U167" s="16" t="str">
        <f t="shared" si="26"/>
        <v xml:space="preserve"> </v>
      </c>
      <c r="V167" s="16" t="str">
        <f t="shared" si="26"/>
        <v xml:space="preserve"> </v>
      </c>
      <c r="W167" s="16" t="str">
        <f t="shared" si="26"/>
        <v xml:space="preserve"> </v>
      </c>
      <c r="X167" s="16" t="str">
        <f t="shared" si="26"/>
        <v xml:space="preserve"> </v>
      </c>
      <c r="Y167" s="16" t="str">
        <f t="shared" si="26"/>
        <v xml:space="preserve"> </v>
      </c>
      <c r="Z167" s="16" t="str">
        <f t="shared" si="26"/>
        <v xml:space="preserve"> </v>
      </c>
      <c r="AA167" s="16" t="str">
        <f t="shared" si="26"/>
        <v xml:space="preserve"> </v>
      </c>
      <c r="AB167" s="16" t="str">
        <f t="shared" si="25"/>
        <v xml:space="preserve"> </v>
      </c>
      <c r="AC167" s="16" t="str">
        <f t="shared" si="25"/>
        <v xml:space="preserve"> </v>
      </c>
      <c r="AD167" s="16" t="str">
        <f t="shared" si="25"/>
        <v xml:space="preserve"> </v>
      </c>
      <c r="AE167" s="16" t="str">
        <f t="shared" si="25"/>
        <v xml:space="preserve"> </v>
      </c>
    </row>
    <row r="168" spans="1:31" ht="15" customHeight="1" thickBot="1" x14ac:dyDescent="0.35">
      <c r="A168"/>
      <c r="B168"/>
      <c r="C168"/>
      <c r="D168"/>
      <c r="E168"/>
      <c r="F168"/>
      <c r="G168" s="36" t="e">
        <f>VLOOKUP(F168,Results!$E$31:$F$50,2,FALSE)</f>
        <v>#N/A</v>
      </c>
      <c r="H168" s="40"/>
      <c r="I168" s="39"/>
      <c r="K168" s="3">
        <f t="shared" si="22"/>
        <v>0</v>
      </c>
      <c r="L168" s="16" t="str">
        <f t="shared" si="26"/>
        <v xml:space="preserve"> </v>
      </c>
      <c r="M168" s="16" t="str">
        <f t="shared" si="26"/>
        <v xml:space="preserve"> </v>
      </c>
      <c r="N168" s="16" t="str">
        <f t="shared" si="26"/>
        <v xml:space="preserve"> </v>
      </c>
      <c r="O168" s="16" t="str">
        <f t="shared" si="26"/>
        <v xml:space="preserve"> </v>
      </c>
      <c r="P168" s="16" t="str">
        <f t="shared" si="26"/>
        <v xml:space="preserve"> </v>
      </c>
      <c r="Q168" s="16" t="str">
        <f t="shared" si="26"/>
        <v xml:space="preserve"> </v>
      </c>
      <c r="R168" s="16" t="str">
        <f t="shared" si="26"/>
        <v xml:space="preserve"> </v>
      </c>
      <c r="S168" s="16" t="str">
        <f t="shared" si="26"/>
        <v xml:space="preserve"> </v>
      </c>
      <c r="T168" s="16" t="str">
        <f t="shared" si="26"/>
        <v xml:space="preserve"> </v>
      </c>
      <c r="U168" s="16" t="str">
        <f t="shared" si="26"/>
        <v xml:space="preserve"> </v>
      </c>
      <c r="V168" s="16" t="str">
        <f t="shared" si="26"/>
        <v xml:space="preserve"> </v>
      </c>
      <c r="W168" s="16" t="str">
        <f t="shared" si="26"/>
        <v xml:space="preserve"> </v>
      </c>
      <c r="X168" s="16" t="str">
        <f t="shared" si="26"/>
        <v xml:space="preserve"> </v>
      </c>
      <c r="Y168" s="16" t="str">
        <f t="shared" si="26"/>
        <v xml:space="preserve"> </v>
      </c>
      <c r="Z168" s="16" t="str">
        <f t="shared" si="26"/>
        <v xml:space="preserve"> </v>
      </c>
      <c r="AA168" s="16" t="str">
        <f t="shared" si="26"/>
        <v xml:space="preserve"> </v>
      </c>
      <c r="AB168" s="16" t="str">
        <f t="shared" si="25"/>
        <v xml:space="preserve"> </v>
      </c>
      <c r="AC168" s="16" t="str">
        <f t="shared" si="25"/>
        <v xml:space="preserve"> </v>
      </c>
      <c r="AD168" s="16" t="str">
        <f t="shared" si="25"/>
        <v xml:space="preserve"> </v>
      </c>
      <c r="AE168" s="16" t="str">
        <f t="shared" si="25"/>
        <v xml:space="preserve"> </v>
      </c>
    </row>
    <row r="169" spans="1:31" ht="15" customHeight="1" thickBot="1" x14ac:dyDescent="0.35">
      <c r="A169"/>
      <c r="B169"/>
      <c r="C169"/>
      <c r="D169"/>
      <c r="E169"/>
      <c r="F169"/>
      <c r="G169" s="36" t="e">
        <f>VLOOKUP(F169,Results!$E$31:$F$50,2,FALSE)</f>
        <v>#N/A</v>
      </c>
      <c r="H169" s="40"/>
      <c r="I169" s="39"/>
      <c r="K169" s="3">
        <f t="shared" si="22"/>
        <v>0</v>
      </c>
      <c r="L169" s="16" t="str">
        <f t="shared" si="26"/>
        <v xml:space="preserve"> </v>
      </c>
      <c r="M169" s="16" t="str">
        <f t="shared" si="26"/>
        <v xml:space="preserve"> </v>
      </c>
      <c r="N169" s="16" t="str">
        <f t="shared" si="26"/>
        <v xml:space="preserve"> </v>
      </c>
      <c r="O169" s="16" t="str">
        <f t="shared" si="26"/>
        <v xml:space="preserve"> </v>
      </c>
      <c r="P169" s="16" t="str">
        <f t="shared" si="26"/>
        <v xml:space="preserve"> </v>
      </c>
      <c r="Q169" s="16" t="str">
        <f t="shared" si="26"/>
        <v xml:space="preserve"> </v>
      </c>
      <c r="R169" s="16" t="str">
        <f t="shared" si="26"/>
        <v xml:space="preserve"> </v>
      </c>
      <c r="S169" s="16" t="str">
        <f t="shared" si="26"/>
        <v xml:space="preserve"> </v>
      </c>
      <c r="T169" s="16" t="str">
        <f t="shared" si="26"/>
        <v xml:space="preserve"> </v>
      </c>
      <c r="U169" s="16" t="str">
        <f t="shared" si="26"/>
        <v xml:space="preserve"> </v>
      </c>
      <c r="V169" s="16" t="str">
        <f t="shared" si="26"/>
        <v xml:space="preserve"> </v>
      </c>
      <c r="W169" s="16" t="str">
        <f t="shared" si="26"/>
        <v xml:space="preserve"> </v>
      </c>
      <c r="X169" s="16" t="str">
        <f t="shared" si="26"/>
        <v xml:space="preserve"> </v>
      </c>
      <c r="Y169" s="16" t="str">
        <f t="shared" si="26"/>
        <v xml:space="preserve"> </v>
      </c>
      <c r="Z169" s="16" t="str">
        <f t="shared" si="26"/>
        <v xml:space="preserve"> </v>
      </c>
      <c r="AA169" s="16" t="str">
        <f t="shared" si="26"/>
        <v xml:space="preserve"> </v>
      </c>
      <c r="AB169" s="16" t="str">
        <f t="shared" si="25"/>
        <v xml:space="preserve"> </v>
      </c>
      <c r="AC169" s="16" t="str">
        <f t="shared" si="25"/>
        <v xml:space="preserve"> </v>
      </c>
      <c r="AD169" s="16" t="str">
        <f t="shared" si="25"/>
        <v xml:space="preserve"> </v>
      </c>
      <c r="AE169" s="16" t="str">
        <f t="shared" si="25"/>
        <v xml:space="preserve"> </v>
      </c>
    </row>
    <row r="170" spans="1:31" ht="15" customHeight="1" thickBot="1" x14ac:dyDescent="0.35">
      <c r="A170"/>
      <c r="B170"/>
      <c r="C170"/>
      <c r="D170"/>
      <c r="E170"/>
      <c r="F170"/>
      <c r="G170" s="36" t="e">
        <f>VLOOKUP(F170,Results!$E$31:$F$50,2,FALSE)</f>
        <v>#N/A</v>
      </c>
      <c r="H170" s="40"/>
      <c r="I170" s="39"/>
      <c r="K170" s="3">
        <f t="shared" si="22"/>
        <v>0</v>
      </c>
      <c r="L170" s="16" t="str">
        <f t="shared" si="26"/>
        <v xml:space="preserve"> </v>
      </c>
      <c r="M170" s="16" t="str">
        <f t="shared" si="26"/>
        <v xml:space="preserve"> </v>
      </c>
      <c r="N170" s="16" t="str">
        <f t="shared" si="26"/>
        <v xml:space="preserve"> </v>
      </c>
      <c r="O170" s="16" t="str">
        <f t="shared" si="26"/>
        <v xml:space="preserve"> </v>
      </c>
      <c r="P170" s="16" t="str">
        <f t="shared" si="26"/>
        <v xml:space="preserve"> </v>
      </c>
      <c r="Q170" s="16" t="str">
        <f t="shared" si="26"/>
        <v xml:space="preserve"> </v>
      </c>
      <c r="R170" s="16" t="str">
        <f t="shared" si="26"/>
        <v xml:space="preserve"> </v>
      </c>
      <c r="S170" s="16" t="str">
        <f t="shared" si="26"/>
        <v xml:space="preserve"> </v>
      </c>
      <c r="T170" s="16" t="str">
        <f t="shared" si="26"/>
        <v xml:space="preserve"> </v>
      </c>
      <c r="U170" s="16" t="str">
        <f t="shared" si="26"/>
        <v xml:space="preserve"> </v>
      </c>
      <c r="V170" s="16" t="str">
        <f t="shared" si="26"/>
        <v xml:space="preserve"> </v>
      </c>
      <c r="W170" s="16" t="str">
        <f t="shared" si="26"/>
        <v xml:space="preserve"> </v>
      </c>
      <c r="X170" s="16" t="str">
        <f t="shared" si="26"/>
        <v xml:space="preserve"> </v>
      </c>
      <c r="Y170" s="16" t="str">
        <f t="shared" si="26"/>
        <v xml:space="preserve"> </v>
      </c>
      <c r="Z170" s="16" t="str">
        <f t="shared" si="26"/>
        <v xml:space="preserve"> </v>
      </c>
      <c r="AA170" s="16" t="str">
        <f t="shared" si="26"/>
        <v xml:space="preserve"> </v>
      </c>
      <c r="AB170" s="16" t="str">
        <f t="shared" si="25"/>
        <v xml:space="preserve"> </v>
      </c>
      <c r="AC170" s="16" t="str">
        <f t="shared" si="25"/>
        <v xml:space="preserve"> </v>
      </c>
      <c r="AD170" s="16" t="str">
        <f t="shared" si="25"/>
        <v xml:space="preserve"> </v>
      </c>
      <c r="AE170" s="16" t="str">
        <f t="shared" si="25"/>
        <v xml:space="preserve"> </v>
      </c>
    </row>
    <row r="171" spans="1:31" ht="15" customHeight="1" thickBot="1" x14ac:dyDescent="0.35">
      <c r="A171"/>
      <c r="B171"/>
      <c r="C171"/>
      <c r="D171"/>
      <c r="E171"/>
      <c r="F171"/>
      <c r="G171" s="36" t="e">
        <f>VLOOKUP(F171,Results!$E$31:$F$50,2,FALSE)</f>
        <v>#N/A</v>
      </c>
      <c r="H171" s="40"/>
      <c r="I171" s="39"/>
      <c r="K171" s="3">
        <f t="shared" si="22"/>
        <v>0</v>
      </c>
      <c r="L171" s="16" t="str">
        <f t="shared" si="26"/>
        <v xml:space="preserve"> </v>
      </c>
      <c r="M171" s="16" t="str">
        <f t="shared" si="26"/>
        <v xml:space="preserve"> </v>
      </c>
      <c r="N171" s="16" t="str">
        <f t="shared" si="26"/>
        <v xml:space="preserve"> </v>
      </c>
      <c r="O171" s="16" t="str">
        <f t="shared" si="26"/>
        <v xml:space="preserve"> </v>
      </c>
      <c r="P171" s="16" t="str">
        <f t="shared" si="26"/>
        <v xml:space="preserve"> </v>
      </c>
      <c r="Q171" s="16" t="str">
        <f t="shared" si="26"/>
        <v xml:space="preserve"> </v>
      </c>
      <c r="R171" s="16" t="str">
        <f t="shared" si="26"/>
        <v xml:space="preserve"> </v>
      </c>
      <c r="S171" s="16" t="str">
        <f t="shared" si="26"/>
        <v xml:space="preserve"> </v>
      </c>
      <c r="T171" s="16" t="str">
        <f t="shared" si="26"/>
        <v xml:space="preserve"> </v>
      </c>
      <c r="U171" s="16" t="str">
        <f t="shared" si="26"/>
        <v xml:space="preserve"> </v>
      </c>
      <c r="V171" s="16" t="str">
        <f t="shared" si="26"/>
        <v xml:space="preserve"> </v>
      </c>
      <c r="W171" s="16" t="str">
        <f t="shared" si="26"/>
        <v xml:space="preserve"> </v>
      </c>
      <c r="X171" s="16" t="str">
        <f t="shared" si="26"/>
        <v xml:space="preserve"> </v>
      </c>
      <c r="Y171" s="16" t="str">
        <f t="shared" si="26"/>
        <v xml:space="preserve"> </v>
      </c>
      <c r="Z171" s="16" t="str">
        <f t="shared" si="26"/>
        <v xml:space="preserve"> </v>
      </c>
      <c r="AA171" s="16" t="str">
        <f t="shared" si="26"/>
        <v xml:space="preserve"> </v>
      </c>
      <c r="AB171" s="16" t="str">
        <f t="shared" si="25"/>
        <v xml:space="preserve"> </v>
      </c>
      <c r="AC171" s="16" t="str">
        <f t="shared" si="25"/>
        <v xml:space="preserve"> </v>
      </c>
      <c r="AD171" s="16" t="str">
        <f t="shared" si="25"/>
        <v xml:space="preserve"> </v>
      </c>
      <c r="AE171" s="16" t="str">
        <f t="shared" si="25"/>
        <v xml:space="preserve"> </v>
      </c>
    </row>
    <row r="172" spans="1:31" ht="15" customHeight="1" thickBot="1" x14ac:dyDescent="0.35">
      <c r="A172"/>
      <c r="B172"/>
      <c r="C172"/>
      <c r="D172"/>
      <c r="E172"/>
      <c r="F172"/>
      <c r="G172" s="36" t="e">
        <f>VLOOKUP(F172,Results!$E$31:$F$50,2,FALSE)</f>
        <v>#N/A</v>
      </c>
      <c r="H172" s="40"/>
      <c r="I172" s="39"/>
      <c r="K172" s="3">
        <f t="shared" si="22"/>
        <v>0</v>
      </c>
      <c r="L172" s="16" t="str">
        <f t="shared" si="26"/>
        <v xml:space="preserve"> </v>
      </c>
      <c r="M172" s="16" t="str">
        <f t="shared" si="26"/>
        <v xml:space="preserve"> </v>
      </c>
      <c r="N172" s="16" t="str">
        <f t="shared" si="26"/>
        <v xml:space="preserve"> </v>
      </c>
      <c r="O172" s="16" t="str">
        <f t="shared" si="26"/>
        <v xml:space="preserve"> </v>
      </c>
      <c r="P172" s="16" t="str">
        <f t="shared" si="26"/>
        <v xml:space="preserve"> </v>
      </c>
      <c r="Q172" s="16" t="str">
        <f t="shared" si="26"/>
        <v xml:space="preserve"> </v>
      </c>
      <c r="R172" s="16" t="str">
        <f t="shared" si="26"/>
        <v xml:space="preserve"> </v>
      </c>
      <c r="S172" s="16" t="str">
        <f t="shared" si="26"/>
        <v xml:space="preserve"> </v>
      </c>
      <c r="T172" s="16" t="str">
        <f t="shared" si="26"/>
        <v xml:space="preserve"> </v>
      </c>
      <c r="U172" s="16" t="str">
        <f t="shared" si="26"/>
        <v xml:space="preserve"> </v>
      </c>
      <c r="V172" s="16" t="str">
        <f t="shared" si="26"/>
        <v xml:space="preserve"> </v>
      </c>
      <c r="W172" s="16" t="str">
        <f t="shared" si="26"/>
        <v xml:space="preserve"> </v>
      </c>
      <c r="X172" s="16" t="str">
        <f t="shared" si="26"/>
        <v xml:space="preserve"> </v>
      </c>
      <c r="Y172" s="16" t="str">
        <f t="shared" si="26"/>
        <v xml:space="preserve"> </v>
      </c>
      <c r="Z172" s="16" t="str">
        <f t="shared" si="26"/>
        <v xml:space="preserve"> </v>
      </c>
      <c r="AA172" s="16" t="str">
        <f t="shared" si="26"/>
        <v xml:space="preserve"> </v>
      </c>
      <c r="AB172" s="16" t="str">
        <f t="shared" si="25"/>
        <v xml:space="preserve"> </v>
      </c>
      <c r="AC172" s="16" t="str">
        <f t="shared" si="25"/>
        <v xml:space="preserve"> </v>
      </c>
      <c r="AD172" s="16" t="str">
        <f t="shared" si="25"/>
        <v xml:space="preserve"> </v>
      </c>
      <c r="AE172" s="16" t="str">
        <f t="shared" si="25"/>
        <v xml:space="preserve"> </v>
      </c>
    </row>
    <row r="173" spans="1:31" ht="15" customHeight="1" thickBot="1" x14ac:dyDescent="0.35">
      <c r="A173"/>
      <c r="B173"/>
      <c r="C173"/>
      <c r="D173"/>
      <c r="E173"/>
      <c r="F173"/>
      <c r="G173" s="36" t="e">
        <f>VLOOKUP(F173,Results!$E$31:$F$50,2,FALSE)</f>
        <v>#N/A</v>
      </c>
      <c r="H173" s="40"/>
      <c r="I173" s="39"/>
      <c r="K173" s="3">
        <f t="shared" si="22"/>
        <v>0</v>
      </c>
      <c r="L173" s="16" t="str">
        <f t="shared" si="26"/>
        <v xml:space="preserve"> </v>
      </c>
      <c r="M173" s="16" t="str">
        <f t="shared" si="26"/>
        <v xml:space="preserve"> </v>
      </c>
      <c r="N173" s="16" t="str">
        <f t="shared" si="26"/>
        <v xml:space="preserve"> </v>
      </c>
      <c r="O173" s="16" t="str">
        <f t="shared" si="26"/>
        <v xml:space="preserve"> </v>
      </c>
      <c r="P173" s="16" t="str">
        <f t="shared" si="26"/>
        <v xml:space="preserve"> </v>
      </c>
      <c r="Q173" s="16" t="str">
        <f t="shared" si="26"/>
        <v xml:space="preserve"> </v>
      </c>
      <c r="R173" s="16" t="str">
        <f t="shared" si="26"/>
        <v xml:space="preserve"> </v>
      </c>
      <c r="S173" s="16" t="str">
        <f t="shared" si="26"/>
        <v xml:space="preserve"> </v>
      </c>
      <c r="T173" s="16" t="str">
        <f t="shared" si="26"/>
        <v xml:space="preserve"> </v>
      </c>
      <c r="U173" s="16" t="str">
        <f t="shared" si="26"/>
        <v xml:space="preserve"> </v>
      </c>
      <c r="V173" s="16" t="str">
        <f t="shared" si="26"/>
        <v xml:space="preserve"> </v>
      </c>
      <c r="W173" s="16" t="str">
        <f t="shared" si="26"/>
        <v xml:space="preserve"> </v>
      </c>
      <c r="X173" s="16" t="str">
        <f t="shared" si="26"/>
        <v xml:space="preserve"> </v>
      </c>
      <c r="Y173" s="16" t="str">
        <f t="shared" si="26"/>
        <v xml:space="preserve"> </v>
      </c>
      <c r="Z173" s="16" t="str">
        <f t="shared" si="26"/>
        <v xml:space="preserve"> </v>
      </c>
      <c r="AA173" s="16" t="str">
        <f t="shared" si="26"/>
        <v xml:space="preserve"> </v>
      </c>
      <c r="AB173" s="16" t="str">
        <f t="shared" si="25"/>
        <v xml:space="preserve"> </v>
      </c>
      <c r="AC173" s="16" t="str">
        <f t="shared" si="25"/>
        <v xml:space="preserve"> </v>
      </c>
      <c r="AD173" s="16" t="str">
        <f t="shared" si="25"/>
        <v xml:space="preserve"> </v>
      </c>
      <c r="AE173" s="16" t="str">
        <f t="shared" si="25"/>
        <v xml:space="preserve"> </v>
      </c>
    </row>
    <row r="174" spans="1:31" ht="15" customHeight="1" thickBot="1" x14ac:dyDescent="0.35">
      <c r="A174"/>
      <c r="B174"/>
      <c r="C174"/>
      <c r="D174"/>
      <c r="E174"/>
      <c r="F174"/>
      <c r="G174" s="36" t="e">
        <f>VLOOKUP(F174,Results!$E$31:$F$50,2,FALSE)</f>
        <v>#N/A</v>
      </c>
      <c r="H174" s="40"/>
      <c r="I174" s="39"/>
      <c r="K174" s="3">
        <f t="shared" si="22"/>
        <v>0</v>
      </c>
      <c r="L174" s="16" t="str">
        <f t="shared" si="26"/>
        <v xml:space="preserve"> </v>
      </c>
      <c r="M174" s="16" t="str">
        <f t="shared" si="26"/>
        <v xml:space="preserve"> </v>
      </c>
      <c r="N174" s="16" t="str">
        <f t="shared" si="26"/>
        <v xml:space="preserve"> </v>
      </c>
      <c r="O174" s="16" t="str">
        <f t="shared" si="26"/>
        <v xml:space="preserve"> </v>
      </c>
      <c r="P174" s="16" t="str">
        <f t="shared" si="26"/>
        <v xml:space="preserve"> </v>
      </c>
      <c r="Q174" s="16" t="str">
        <f t="shared" si="26"/>
        <v xml:space="preserve"> </v>
      </c>
      <c r="R174" s="16" t="str">
        <f t="shared" si="26"/>
        <v xml:space="preserve"> </v>
      </c>
      <c r="S174" s="16" t="str">
        <f t="shared" si="26"/>
        <v xml:space="preserve"> </v>
      </c>
      <c r="T174" s="16" t="str">
        <f t="shared" si="26"/>
        <v xml:space="preserve"> </v>
      </c>
      <c r="U174" s="16" t="str">
        <f t="shared" si="26"/>
        <v xml:space="preserve"> </v>
      </c>
      <c r="V174" s="16" t="str">
        <f t="shared" si="26"/>
        <v xml:space="preserve"> </v>
      </c>
      <c r="W174" s="16" t="str">
        <f t="shared" si="26"/>
        <v xml:space="preserve"> </v>
      </c>
      <c r="X174" s="16" t="str">
        <f t="shared" si="26"/>
        <v xml:space="preserve"> </v>
      </c>
      <c r="Y174" s="16" t="str">
        <f t="shared" si="26"/>
        <v xml:space="preserve"> </v>
      </c>
      <c r="Z174" s="16" t="str">
        <f t="shared" si="26"/>
        <v xml:space="preserve"> </v>
      </c>
      <c r="AA174" s="16" t="str">
        <f t="shared" si="26"/>
        <v xml:space="preserve"> </v>
      </c>
      <c r="AB174" s="16" t="str">
        <f t="shared" si="25"/>
        <v xml:space="preserve"> </v>
      </c>
      <c r="AC174" s="16" t="str">
        <f t="shared" si="25"/>
        <v xml:space="preserve"> </v>
      </c>
      <c r="AD174" s="16" t="str">
        <f t="shared" si="25"/>
        <v xml:space="preserve"> </v>
      </c>
      <c r="AE174" s="16" t="str">
        <f t="shared" si="25"/>
        <v xml:space="preserve"> </v>
      </c>
    </row>
    <row r="175" spans="1:31" ht="15" customHeight="1" thickBot="1" x14ac:dyDescent="0.35">
      <c r="A175"/>
      <c r="B175"/>
      <c r="C175"/>
      <c r="D175"/>
      <c r="E175"/>
      <c r="F175"/>
      <c r="G175" s="36" t="e">
        <f>VLOOKUP(F175,Results!$E$31:$F$50,2,FALSE)</f>
        <v>#N/A</v>
      </c>
      <c r="H175" s="40"/>
      <c r="I175" s="39"/>
      <c r="K175" s="3">
        <f t="shared" si="22"/>
        <v>0</v>
      </c>
      <c r="L175" s="16" t="str">
        <f t="shared" si="26"/>
        <v xml:space="preserve"> </v>
      </c>
      <c r="M175" s="16" t="str">
        <f t="shared" si="26"/>
        <v xml:space="preserve"> </v>
      </c>
      <c r="N175" s="16" t="str">
        <f t="shared" si="26"/>
        <v xml:space="preserve"> </v>
      </c>
      <c r="O175" s="16" t="str">
        <f t="shared" si="26"/>
        <v xml:space="preserve"> </v>
      </c>
      <c r="P175" s="16" t="str">
        <f t="shared" si="26"/>
        <v xml:space="preserve"> </v>
      </c>
      <c r="Q175" s="16" t="str">
        <f t="shared" si="26"/>
        <v xml:space="preserve"> </v>
      </c>
      <c r="R175" s="16" t="str">
        <f t="shared" si="26"/>
        <v xml:space="preserve"> </v>
      </c>
      <c r="S175" s="16" t="str">
        <f t="shared" si="26"/>
        <v xml:space="preserve"> </v>
      </c>
      <c r="T175" s="16" t="str">
        <f t="shared" si="26"/>
        <v xml:space="preserve"> </v>
      </c>
      <c r="U175" s="16" t="str">
        <f t="shared" si="26"/>
        <v xml:space="preserve"> </v>
      </c>
      <c r="V175" s="16" t="str">
        <f t="shared" si="26"/>
        <v xml:space="preserve"> </v>
      </c>
      <c r="W175" s="16" t="str">
        <f t="shared" si="26"/>
        <v xml:space="preserve"> </v>
      </c>
      <c r="X175" s="16" t="str">
        <f t="shared" si="26"/>
        <v xml:space="preserve"> </v>
      </c>
      <c r="Y175" s="16" t="str">
        <f t="shared" si="26"/>
        <v xml:space="preserve"> </v>
      </c>
      <c r="Z175" s="16" t="str">
        <f t="shared" si="26"/>
        <v xml:space="preserve"> </v>
      </c>
      <c r="AA175" s="16" t="str">
        <f t="shared" si="26"/>
        <v xml:space="preserve"> </v>
      </c>
      <c r="AB175" s="16" t="str">
        <f t="shared" si="25"/>
        <v xml:space="preserve"> </v>
      </c>
      <c r="AC175" s="16" t="str">
        <f t="shared" si="25"/>
        <v xml:space="preserve"> </v>
      </c>
      <c r="AD175" s="16" t="str">
        <f t="shared" si="25"/>
        <v xml:space="preserve"> </v>
      </c>
      <c r="AE175" s="16" t="str">
        <f t="shared" si="25"/>
        <v xml:space="preserve"> </v>
      </c>
    </row>
    <row r="176" spans="1:31" ht="15" customHeight="1" thickBot="1" x14ac:dyDescent="0.35">
      <c r="A176"/>
      <c r="B176"/>
      <c r="C176"/>
      <c r="D176"/>
      <c r="E176"/>
      <c r="F176"/>
      <c r="G176" s="36" t="e">
        <f>VLOOKUP(F176,Results!$E$31:$F$50,2,FALSE)</f>
        <v>#N/A</v>
      </c>
      <c r="H176" s="40"/>
      <c r="I176" s="39"/>
      <c r="K176" s="3">
        <f t="shared" si="22"/>
        <v>0</v>
      </c>
      <c r="L176" s="16" t="str">
        <f t="shared" si="26"/>
        <v xml:space="preserve"> </v>
      </c>
      <c r="M176" s="16" t="str">
        <f t="shared" si="26"/>
        <v xml:space="preserve"> </v>
      </c>
      <c r="N176" s="16" t="str">
        <f t="shared" si="26"/>
        <v xml:space="preserve"> </v>
      </c>
      <c r="O176" s="16" t="str">
        <f t="shared" si="26"/>
        <v xml:space="preserve"> </v>
      </c>
      <c r="P176" s="16" t="str">
        <f t="shared" si="26"/>
        <v xml:space="preserve"> </v>
      </c>
      <c r="Q176" s="16" t="str">
        <f t="shared" si="26"/>
        <v xml:space="preserve"> </v>
      </c>
      <c r="R176" s="16" t="str">
        <f t="shared" si="26"/>
        <v xml:space="preserve"> </v>
      </c>
      <c r="S176" s="16" t="str">
        <f t="shared" si="26"/>
        <v xml:space="preserve"> </v>
      </c>
      <c r="T176" s="16" t="str">
        <f t="shared" si="26"/>
        <v xml:space="preserve"> </v>
      </c>
      <c r="U176" s="16" t="str">
        <f t="shared" si="26"/>
        <v xml:space="preserve"> </v>
      </c>
      <c r="V176" s="16" t="str">
        <f t="shared" si="26"/>
        <v xml:space="preserve"> </v>
      </c>
      <c r="W176" s="16" t="str">
        <f t="shared" si="26"/>
        <v xml:space="preserve"> </v>
      </c>
      <c r="X176" s="16" t="str">
        <f t="shared" si="26"/>
        <v xml:space="preserve"> </v>
      </c>
      <c r="Y176" s="16" t="str">
        <f t="shared" si="26"/>
        <v xml:space="preserve"> </v>
      </c>
      <c r="Z176" s="16" t="str">
        <f t="shared" si="26"/>
        <v xml:space="preserve"> </v>
      </c>
      <c r="AA176" s="16" t="str">
        <f t="shared" si="26"/>
        <v xml:space="preserve"> </v>
      </c>
      <c r="AB176" s="16" t="str">
        <f t="shared" si="25"/>
        <v xml:space="preserve"> </v>
      </c>
      <c r="AC176" s="16" t="str">
        <f t="shared" si="25"/>
        <v xml:space="preserve"> </v>
      </c>
      <c r="AD176" s="16" t="str">
        <f t="shared" si="25"/>
        <v xml:space="preserve"> </v>
      </c>
      <c r="AE176" s="16" t="str">
        <f t="shared" si="25"/>
        <v xml:space="preserve"> </v>
      </c>
    </row>
    <row r="177" spans="1:31" ht="15" customHeight="1" thickBot="1" x14ac:dyDescent="0.35">
      <c r="A177"/>
      <c r="B177"/>
      <c r="C177"/>
      <c r="D177"/>
      <c r="E177"/>
      <c r="F177"/>
      <c r="G177" s="36" t="e">
        <f>VLOOKUP(F177,Results!$E$31:$F$50,2,FALSE)</f>
        <v>#N/A</v>
      </c>
      <c r="H177" s="40"/>
      <c r="I177" s="39"/>
      <c r="K177" s="3">
        <f t="shared" si="22"/>
        <v>0</v>
      </c>
      <c r="L177" s="16" t="str">
        <f t="shared" si="26"/>
        <v xml:space="preserve"> </v>
      </c>
      <c r="M177" s="16" t="str">
        <f t="shared" si="26"/>
        <v xml:space="preserve"> </v>
      </c>
      <c r="N177" s="16" t="str">
        <f t="shared" si="26"/>
        <v xml:space="preserve"> </v>
      </c>
      <c r="O177" s="16" t="str">
        <f t="shared" si="26"/>
        <v xml:space="preserve"> </v>
      </c>
      <c r="P177" s="16" t="str">
        <f t="shared" si="26"/>
        <v xml:space="preserve"> </v>
      </c>
      <c r="Q177" s="16" t="str">
        <f t="shared" si="26"/>
        <v xml:space="preserve"> </v>
      </c>
      <c r="R177" s="16" t="str">
        <f t="shared" si="26"/>
        <v xml:space="preserve"> </v>
      </c>
      <c r="S177" s="16" t="str">
        <f t="shared" si="26"/>
        <v xml:space="preserve"> </v>
      </c>
      <c r="T177" s="16" t="str">
        <f t="shared" si="26"/>
        <v xml:space="preserve"> </v>
      </c>
      <c r="U177" s="16" t="str">
        <f t="shared" si="26"/>
        <v xml:space="preserve"> </v>
      </c>
      <c r="V177" s="16" t="str">
        <f t="shared" si="26"/>
        <v xml:space="preserve"> </v>
      </c>
      <c r="W177" s="16" t="str">
        <f t="shared" si="26"/>
        <v xml:space="preserve"> </v>
      </c>
      <c r="X177" s="16" t="str">
        <f t="shared" si="26"/>
        <v xml:space="preserve"> </v>
      </c>
      <c r="Y177" s="16" t="str">
        <f t="shared" si="26"/>
        <v xml:space="preserve"> </v>
      </c>
      <c r="Z177" s="16" t="str">
        <f t="shared" si="26"/>
        <v xml:space="preserve"> </v>
      </c>
      <c r="AA177" s="16" t="str">
        <f t="shared" si="26"/>
        <v xml:space="preserve"> </v>
      </c>
      <c r="AB177" s="16" t="str">
        <f t="shared" si="25"/>
        <v xml:space="preserve"> </v>
      </c>
      <c r="AC177" s="16" t="str">
        <f t="shared" si="25"/>
        <v xml:space="preserve"> </v>
      </c>
      <c r="AD177" s="16" t="str">
        <f t="shared" si="25"/>
        <v xml:space="preserve"> </v>
      </c>
      <c r="AE177" s="16" t="str">
        <f t="shared" si="25"/>
        <v xml:space="preserve"> </v>
      </c>
    </row>
    <row r="178" spans="1:31" ht="15" customHeight="1" thickBot="1" x14ac:dyDescent="0.35">
      <c r="A178"/>
      <c r="B178"/>
      <c r="C178"/>
      <c r="D178"/>
      <c r="E178"/>
      <c r="F178"/>
      <c r="G178" s="36" t="e">
        <f>VLOOKUP(F178,Results!$E$31:$F$50,2,FALSE)</f>
        <v>#N/A</v>
      </c>
      <c r="H178" s="40"/>
      <c r="I178" s="39"/>
      <c r="K178" s="3">
        <f t="shared" si="22"/>
        <v>0</v>
      </c>
      <c r="L178" s="16" t="str">
        <f t="shared" si="26"/>
        <v xml:space="preserve"> </v>
      </c>
      <c r="M178" s="16" t="str">
        <f t="shared" si="26"/>
        <v xml:space="preserve"> </v>
      </c>
      <c r="N178" s="16" t="str">
        <f t="shared" si="26"/>
        <v xml:space="preserve"> </v>
      </c>
      <c r="O178" s="16" t="str">
        <f t="shared" si="26"/>
        <v xml:space="preserve"> </v>
      </c>
      <c r="P178" s="16" t="str">
        <f t="shared" si="26"/>
        <v xml:space="preserve"> </v>
      </c>
      <c r="Q178" s="16" t="str">
        <f t="shared" si="26"/>
        <v xml:space="preserve"> </v>
      </c>
      <c r="R178" s="16" t="str">
        <f t="shared" si="26"/>
        <v xml:space="preserve"> </v>
      </c>
      <c r="S178" s="16" t="str">
        <f t="shared" si="26"/>
        <v xml:space="preserve"> </v>
      </c>
      <c r="T178" s="16" t="str">
        <f t="shared" si="26"/>
        <v xml:space="preserve"> </v>
      </c>
      <c r="U178" s="16" t="str">
        <f t="shared" si="26"/>
        <v xml:space="preserve"> </v>
      </c>
      <c r="V178" s="16" t="str">
        <f t="shared" si="26"/>
        <v xml:space="preserve"> </v>
      </c>
      <c r="W178" s="16" t="str">
        <f t="shared" si="26"/>
        <v xml:space="preserve"> </v>
      </c>
      <c r="X178" s="16" t="str">
        <f t="shared" si="26"/>
        <v xml:space="preserve"> </v>
      </c>
      <c r="Y178" s="16" t="str">
        <f t="shared" si="26"/>
        <v xml:space="preserve"> </v>
      </c>
      <c r="Z178" s="16" t="str">
        <f t="shared" si="26"/>
        <v xml:space="preserve"> </v>
      </c>
      <c r="AA178" s="16" t="str">
        <f t="shared" ref="AA178:AE193" si="27">IF($F178=COLUMN((AA:AA))-11,$E178," ")</f>
        <v xml:space="preserve"> </v>
      </c>
      <c r="AB178" s="16" t="str">
        <f t="shared" si="27"/>
        <v xml:space="preserve"> </v>
      </c>
      <c r="AC178" s="16" t="str">
        <f t="shared" si="27"/>
        <v xml:space="preserve"> </v>
      </c>
      <c r="AD178" s="16" t="str">
        <f t="shared" si="27"/>
        <v xml:space="preserve"> </v>
      </c>
      <c r="AE178" s="16" t="str">
        <f t="shared" si="27"/>
        <v xml:space="preserve"> </v>
      </c>
    </row>
    <row r="179" spans="1:31" ht="15" customHeight="1" thickBot="1" x14ac:dyDescent="0.35">
      <c r="A179"/>
      <c r="B179"/>
      <c r="C179"/>
      <c r="D179"/>
      <c r="E179"/>
      <c r="F179"/>
      <c r="G179" s="36" t="e">
        <f>VLOOKUP(F179,Results!$E$31:$F$50,2,FALSE)</f>
        <v>#N/A</v>
      </c>
      <c r="H179" s="40"/>
      <c r="I179" s="39"/>
      <c r="K179" s="3">
        <f t="shared" si="22"/>
        <v>0</v>
      </c>
      <c r="L179" s="16" t="str">
        <f t="shared" ref="L179:AA194" si="28">IF($F179=COLUMN((L:L))-11,$E179," ")</f>
        <v xml:space="preserve"> </v>
      </c>
      <c r="M179" s="16" t="str">
        <f t="shared" si="28"/>
        <v xml:space="preserve"> </v>
      </c>
      <c r="N179" s="16" t="str">
        <f t="shared" si="28"/>
        <v xml:space="preserve"> </v>
      </c>
      <c r="O179" s="16" t="str">
        <f t="shared" si="28"/>
        <v xml:space="preserve"> </v>
      </c>
      <c r="P179" s="16" t="str">
        <f t="shared" si="28"/>
        <v xml:space="preserve"> </v>
      </c>
      <c r="Q179" s="16" t="str">
        <f t="shared" si="28"/>
        <v xml:space="preserve"> </v>
      </c>
      <c r="R179" s="16" t="str">
        <f t="shared" si="28"/>
        <v xml:space="preserve"> </v>
      </c>
      <c r="S179" s="16" t="str">
        <f t="shared" si="28"/>
        <v xml:space="preserve"> </v>
      </c>
      <c r="T179" s="16" t="str">
        <f t="shared" si="28"/>
        <v xml:space="preserve"> </v>
      </c>
      <c r="U179" s="16" t="str">
        <f t="shared" si="28"/>
        <v xml:space="preserve"> </v>
      </c>
      <c r="V179" s="16" t="str">
        <f t="shared" si="28"/>
        <v xml:space="preserve"> </v>
      </c>
      <c r="W179" s="16" t="str">
        <f t="shared" si="28"/>
        <v xml:space="preserve"> </v>
      </c>
      <c r="X179" s="16" t="str">
        <f t="shared" si="28"/>
        <v xml:space="preserve"> </v>
      </c>
      <c r="Y179" s="16" t="str">
        <f t="shared" si="28"/>
        <v xml:space="preserve"> </v>
      </c>
      <c r="Z179" s="16" t="str">
        <f t="shared" si="28"/>
        <v xml:space="preserve"> </v>
      </c>
      <c r="AA179" s="16" t="str">
        <f t="shared" si="28"/>
        <v xml:space="preserve"> </v>
      </c>
      <c r="AB179" s="16" t="str">
        <f t="shared" si="27"/>
        <v xml:space="preserve"> </v>
      </c>
      <c r="AC179" s="16" t="str">
        <f t="shared" si="27"/>
        <v xml:space="preserve"> </v>
      </c>
      <c r="AD179" s="16" t="str">
        <f t="shared" si="27"/>
        <v xml:space="preserve"> </v>
      </c>
      <c r="AE179" s="16" t="str">
        <f t="shared" si="27"/>
        <v xml:space="preserve"> </v>
      </c>
    </row>
    <row r="180" spans="1:31" ht="15" customHeight="1" thickBot="1" x14ac:dyDescent="0.35">
      <c r="A180"/>
      <c r="B180"/>
      <c r="C180"/>
      <c r="D180"/>
      <c r="E180"/>
      <c r="F180"/>
      <c r="G180" s="36" t="e">
        <f>VLOOKUP(F180,Results!$E$31:$F$50,2,FALSE)</f>
        <v>#N/A</v>
      </c>
      <c r="H180" s="40"/>
      <c r="I180" s="39"/>
      <c r="K180" s="3">
        <f t="shared" si="22"/>
        <v>0</v>
      </c>
      <c r="L180" s="16" t="str">
        <f t="shared" si="28"/>
        <v xml:space="preserve"> </v>
      </c>
      <c r="M180" s="16" t="str">
        <f t="shared" si="28"/>
        <v xml:space="preserve"> </v>
      </c>
      <c r="N180" s="16" t="str">
        <f t="shared" si="28"/>
        <v xml:space="preserve"> </v>
      </c>
      <c r="O180" s="16" t="str">
        <f t="shared" si="28"/>
        <v xml:space="preserve"> </v>
      </c>
      <c r="P180" s="16" t="str">
        <f t="shared" si="28"/>
        <v xml:space="preserve"> </v>
      </c>
      <c r="Q180" s="16" t="str">
        <f t="shared" si="28"/>
        <v xml:space="preserve"> </v>
      </c>
      <c r="R180" s="16" t="str">
        <f t="shared" si="28"/>
        <v xml:space="preserve"> </v>
      </c>
      <c r="S180" s="16" t="str">
        <f t="shared" si="28"/>
        <v xml:space="preserve"> </v>
      </c>
      <c r="T180" s="16" t="str">
        <f t="shared" si="28"/>
        <v xml:space="preserve"> </v>
      </c>
      <c r="U180" s="16" t="str">
        <f t="shared" si="28"/>
        <v xml:space="preserve"> </v>
      </c>
      <c r="V180" s="16" t="str">
        <f t="shared" si="28"/>
        <v xml:space="preserve"> </v>
      </c>
      <c r="W180" s="16" t="str">
        <f t="shared" si="28"/>
        <v xml:space="preserve"> </v>
      </c>
      <c r="X180" s="16" t="str">
        <f t="shared" si="28"/>
        <v xml:space="preserve"> </v>
      </c>
      <c r="Y180" s="16" t="str">
        <f t="shared" si="28"/>
        <v xml:space="preserve"> </v>
      </c>
      <c r="Z180" s="16" t="str">
        <f t="shared" si="28"/>
        <v xml:space="preserve"> </v>
      </c>
      <c r="AA180" s="16" t="str">
        <f t="shared" si="28"/>
        <v xml:space="preserve"> </v>
      </c>
      <c r="AB180" s="16" t="str">
        <f t="shared" si="27"/>
        <v xml:space="preserve"> </v>
      </c>
      <c r="AC180" s="16" t="str">
        <f t="shared" si="27"/>
        <v xml:space="preserve"> </v>
      </c>
      <c r="AD180" s="16" t="str">
        <f t="shared" si="27"/>
        <v xml:space="preserve"> </v>
      </c>
      <c r="AE180" s="16" t="str">
        <f t="shared" si="27"/>
        <v xml:space="preserve"> </v>
      </c>
    </row>
    <row r="181" spans="1:31" ht="15" customHeight="1" thickBot="1" x14ac:dyDescent="0.35">
      <c r="A181"/>
      <c r="B181"/>
      <c r="C181"/>
      <c r="D181"/>
      <c r="E181"/>
      <c r="F181"/>
      <c r="G181" s="36" t="e">
        <f>VLOOKUP(F181,Results!$E$31:$F$50,2,FALSE)</f>
        <v>#N/A</v>
      </c>
      <c r="H181" s="40"/>
      <c r="I181" s="39"/>
      <c r="K181" s="3">
        <f t="shared" si="22"/>
        <v>0</v>
      </c>
      <c r="L181" s="16" t="str">
        <f t="shared" si="28"/>
        <v xml:space="preserve"> </v>
      </c>
      <c r="M181" s="16" t="str">
        <f t="shared" si="28"/>
        <v xml:space="preserve"> </v>
      </c>
      <c r="N181" s="16" t="str">
        <f t="shared" si="28"/>
        <v xml:space="preserve"> </v>
      </c>
      <c r="O181" s="16" t="str">
        <f t="shared" si="28"/>
        <v xml:space="preserve"> </v>
      </c>
      <c r="P181" s="16" t="str">
        <f t="shared" si="28"/>
        <v xml:space="preserve"> </v>
      </c>
      <c r="Q181" s="16" t="str">
        <f t="shared" si="28"/>
        <v xml:space="preserve"> </v>
      </c>
      <c r="R181" s="16" t="str">
        <f t="shared" si="28"/>
        <v xml:space="preserve"> </v>
      </c>
      <c r="S181" s="16" t="str">
        <f t="shared" si="28"/>
        <v xml:space="preserve"> </v>
      </c>
      <c r="T181" s="16" t="str">
        <f t="shared" si="28"/>
        <v xml:space="preserve"> </v>
      </c>
      <c r="U181" s="16" t="str">
        <f t="shared" si="28"/>
        <v xml:space="preserve"> </v>
      </c>
      <c r="V181" s="16" t="str">
        <f t="shared" si="28"/>
        <v xml:space="preserve"> </v>
      </c>
      <c r="W181" s="16" t="str">
        <f t="shared" si="28"/>
        <v xml:space="preserve"> </v>
      </c>
      <c r="X181" s="16" t="str">
        <f t="shared" si="28"/>
        <v xml:space="preserve"> </v>
      </c>
      <c r="Y181" s="16" t="str">
        <f t="shared" si="28"/>
        <v xml:space="preserve"> </v>
      </c>
      <c r="Z181" s="16" t="str">
        <f t="shared" si="28"/>
        <v xml:space="preserve"> </v>
      </c>
      <c r="AA181" s="16" t="str">
        <f t="shared" si="28"/>
        <v xml:space="preserve"> </v>
      </c>
      <c r="AB181" s="16" t="str">
        <f t="shared" si="27"/>
        <v xml:space="preserve"> </v>
      </c>
      <c r="AC181" s="16" t="str">
        <f t="shared" si="27"/>
        <v xml:space="preserve"> </v>
      </c>
      <c r="AD181" s="16" t="str">
        <f t="shared" si="27"/>
        <v xml:space="preserve"> </v>
      </c>
      <c r="AE181" s="16" t="str">
        <f t="shared" si="27"/>
        <v xml:space="preserve"> </v>
      </c>
    </row>
    <row r="182" spans="1:31" ht="15" customHeight="1" thickBot="1" x14ac:dyDescent="0.35">
      <c r="A182"/>
      <c r="B182"/>
      <c r="C182"/>
      <c r="D182"/>
      <c r="E182"/>
      <c r="F182"/>
      <c r="G182" s="36" t="e">
        <f>VLOOKUP(F182,Results!$E$31:$F$50,2,FALSE)</f>
        <v>#N/A</v>
      </c>
      <c r="H182" s="40"/>
      <c r="I182" s="39"/>
      <c r="K182" s="3">
        <f t="shared" si="22"/>
        <v>0</v>
      </c>
      <c r="L182" s="16" t="str">
        <f t="shared" si="28"/>
        <v xml:space="preserve"> </v>
      </c>
      <c r="M182" s="16" t="str">
        <f t="shared" si="28"/>
        <v xml:space="preserve"> </v>
      </c>
      <c r="N182" s="16" t="str">
        <f t="shared" si="28"/>
        <v xml:space="preserve"> </v>
      </c>
      <c r="O182" s="16" t="str">
        <f t="shared" si="28"/>
        <v xml:space="preserve"> </v>
      </c>
      <c r="P182" s="16" t="str">
        <f t="shared" si="28"/>
        <v xml:space="preserve"> </v>
      </c>
      <c r="Q182" s="16" t="str">
        <f t="shared" si="28"/>
        <v xml:space="preserve"> </v>
      </c>
      <c r="R182" s="16" t="str">
        <f t="shared" si="28"/>
        <v xml:space="preserve"> </v>
      </c>
      <c r="S182" s="16" t="str">
        <f t="shared" si="28"/>
        <v xml:space="preserve"> </v>
      </c>
      <c r="T182" s="16" t="str">
        <f t="shared" si="28"/>
        <v xml:space="preserve"> </v>
      </c>
      <c r="U182" s="16" t="str">
        <f t="shared" si="28"/>
        <v xml:space="preserve"> </v>
      </c>
      <c r="V182" s="16" t="str">
        <f t="shared" si="28"/>
        <v xml:space="preserve"> </v>
      </c>
      <c r="W182" s="16" t="str">
        <f t="shared" si="28"/>
        <v xml:space="preserve"> </v>
      </c>
      <c r="X182" s="16" t="str">
        <f t="shared" si="28"/>
        <v xml:space="preserve"> </v>
      </c>
      <c r="Y182" s="16" t="str">
        <f t="shared" si="28"/>
        <v xml:space="preserve"> </v>
      </c>
      <c r="Z182" s="16" t="str">
        <f t="shared" si="28"/>
        <v xml:space="preserve"> </v>
      </c>
      <c r="AA182" s="16" t="str">
        <f t="shared" si="28"/>
        <v xml:space="preserve"> </v>
      </c>
      <c r="AB182" s="16" t="str">
        <f t="shared" si="27"/>
        <v xml:space="preserve"> </v>
      </c>
      <c r="AC182" s="16" t="str">
        <f t="shared" si="27"/>
        <v xml:space="preserve"> </v>
      </c>
      <c r="AD182" s="16" t="str">
        <f t="shared" si="27"/>
        <v xml:space="preserve"> </v>
      </c>
      <c r="AE182" s="16" t="str">
        <f t="shared" si="27"/>
        <v xml:space="preserve"> </v>
      </c>
    </row>
    <row r="183" spans="1:31" ht="15" customHeight="1" thickBot="1" x14ac:dyDescent="0.35">
      <c r="A183"/>
      <c r="B183"/>
      <c r="C183"/>
      <c r="D183"/>
      <c r="E183"/>
      <c r="F183"/>
      <c r="G183" s="36" t="e">
        <f>VLOOKUP(F183,Results!$E$31:$F$50,2,FALSE)</f>
        <v>#N/A</v>
      </c>
      <c r="H183" s="40"/>
      <c r="I183" s="39"/>
      <c r="K183" s="3">
        <f t="shared" si="22"/>
        <v>0</v>
      </c>
      <c r="L183" s="16" t="str">
        <f t="shared" si="28"/>
        <v xml:space="preserve"> </v>
      </c>
      <c r="M183" s="16" t="str">
        <f t="shared" si="28"/>
        <v xml:space="preserve"> </v>
      </c>
      <c r="N183" s="16" t="str">
        <f t="shared" si="28"/>
        <v xml:space="preserve"> </v>
      </c>
      <c r="O183" s="16" t="str">
        <f t="shared" si="28"/>
        <v xml:space="preserve"> </v>
      </c>
      <c r="P183" s="16" t="str">
        <f t="shared" si="28"/>
        <v xml:space="preserve"> </v>
      </c>
      <c r="Q183" s="16" t="str">
        <f t="shared" si="28"/>
        <v xml:space="preserve"> </v>
      </c>
      <c r="R183" s="16" t="str">
        <f t="shared" si="28"/>
        <v xml:space="preserve"> </v>
      </c>
      <c r="S183" s="16" t="str">
        <f t="shared" si="28"/>
        <v xml:space="preserve"> </v>
      </c>
      <c r="T183" s="16" t="str">
        <f t="shared" si="28"/>
        <v xml:space="preserve"> </v>
      </c>
      <c r="U183" s="16" t="str">
        <f t="shared" si="28"/>
        <v xml:space="preserve"> </v>
      </c>
      <c r="V183" s="16" t="str">
        <f t="shared" si="28"/>
        <v xml:space="preserve"> </v>
      </c>
      <c r="W183" s="16" t="str">
        <f t="shared" si="28"/>
        <v xml:space="preserve"> </v>
      </c>
      <c r="X183" s="16" t="str">
        <f t="shared" si="28"/>
        <v xml:space="preserve"> </v>
      </c>
      <c r="Y183" s="16" t="str">
        <f t="shared" si="28"/>
        <v xml:space="preserve"> </v>
      </c>
      <c r="Z183" s="16" t="str">
        <f t="shared" si="28"/>
        <v xml:space="preserve"> </v>
      </c>
      <c r="AA183" s="16" t="str">
        <f t="shared" si="28"/>
        <v xml:space="preserve"> </v>
      </c>
      <c r="AB183" s="16" t="str">
        <f t="shared" si="27"/>
        <v xml:space="preserve"> </v>
      </c>
      <c r="AC183" s="16" t="str">
        <f t="shared" si="27"/>
        <v xml:space="preserve"> </v>
      </c>
      <c r="AD183" s="16" t="str">
        <f t="shared" si="27"/>
        <v xml:space="preserve"> </v>
      </c>
      <c r="AE183" s="16" t="str">
        <f t="shared" si="27"/>
        <v xml:space="preserve"> </v>
      </c>
    </row>
    <row r="184" spans="1:31" ht="15" customHeight="1" thickBot="1" x14ac:dyDescent="0.35">
      <c r="A184"/>
      <c r="B184"/>
      <c r="C184"/>
      <c r="D184"/>
      <c r="E184"/>
      <c r="F184"/>
      <c r="G184" s="36" t="e">
        <f>VLOOKUP(F184,Results!$E$31:$F$50,2,FALSE)</f>
        <v>#N/A</v>
      </c>
      <c r="H184" s="40"/>
      <c r="I184" s="39"/>
      <c r="K184" s="3">
        <f t="shared" si="22"/>
        <v>0</v>
      </c>
      <c r="L184" s="16" t="str">
        <f t="shared" si="28"/>
        <v xml:space="preserve"> </v>
      </c>
      <c r="M184" s="16" t="str">
        <f t="shared" si="28"/>
        <v xml:space="preserve"> </v>
      </c>
      <c r="N184" s="16" t="str">
        <f t="shared" si="28"/>
        <v xml:space="preserve"> </v>
      </c>
      <c r="O184" s="16" t="str">
        <f t="shared" si="28"/>
        <v xml:space="preserve"> </v>
      </c>
      <c r="P184" s="16" t="str">
        <f t="shared" si="28"/>
        <v xml:space="preserve"> </v>
      </c>
      <c r="Q184" s="16" t="str">
        <f t="shared" si="28"/>
        <v xml:space="preserve"> </v>
      </c>
      <c r="R184" s="16" t="str">
        <f t="shared" si="28"/>
        <v xml:space="preserve"> </v>
      </c>
      <c r="S184" s="16" t="str">
        <f t="shared" si="28"/>
        <v xml:space="preserve"> </v>
      </c>
      <c r="T184" s="16" t="str">
        <f t="shared" si="28"/>
        <v xml:space="preserve"> </v>
      </c>
      <c r="U184" s="16" t="str">
        <f t="shared" si="28"/>
        <v xml:space="preserve"> </v>
      </c>
      <c r="V184" s="16" t="str">
        <f t="shared" si="28"/>
        <v xml:space="preserve"> </v>
      </c>
      <c r="W184" s="16" t="str">
        <f t="shared" si="28"/>
        <v xml:space="preserve"> </v>
      </c>
      <c r="X184" s="16" t="str">
        <f t="shared" si="28"/>
        <v xml:space="preserve"> </v>
      </c>
      <c r="Y184" s="16" t="str">
        <f t="shared" si="28"/>
        <v xml:space="preserve"> </v>
      </c>
      <c r="Z184" s="16" t="str">
        <f t="shared" si="28"/>
        <v xml:space="preserve"> </v>
      </c>
      <c r="AA184" s="16" t="str">
        <f t="shared" si="28"/>
        <v xml:space="preserve"> </v>
      </c>
      <c r="AB184" s="16" t="str">
        <f t="shared" si="27"/>
        <v xml:space="preserve"> </v>
      </c>
      <c r="AC184" s="16" t="str">
        <f t="shared" si="27"/>
        <v xml:space="preserve"> </v>
      </c>
      <c r="AD184" s="16" t="str">
        <f t="shared" si="27"/>
        <v xml:space="preserve"> </v>
      </c>
      <c r="AE184" s="16" t="str">
        <f t="shared" si="27"/>
        <v xml:space="preserve"> </v>
      </c>
    </row>
    <row r="185" spans="1:31" ht="15" customHeight="1" thickBot="1" x14ac:dyDescent="0.35">
      <c r="A185"/>
      <c r="B185"/>
      <c r="C185"/>
      <c r="D185"/>
      <c r="E185"/>
      <c r="F185"/>
      <c r="G185" s="36" t="e">
        <f>VLOOKUP(F185,Results!$E$31:$F$50,2,FALSE)</f>
        <v>#N/A</v>
      </c>
      <c r="H185" s="40"/>
      <c r="I185" s="39"/>
      <c r="K185" s="3">
        <f t="shared" si="22"/>
        <v>0</v>
      </c>
      <c r="L185" s="16" t="str">
        <f t="shared" si="28"/>
        <v xml:space="preserve"> </v>
      </c>
      <c r="M185" s="16" t="str">
        <f t="shared" si="28"/>
        <v xml:space="preserve"> </v>
      </c>
      <c r="N185" s="16" t="str">
        <f t="shared" si="28"/>
        <v xml:space="preserve"> </v>
      </c>
      <c r="O185" s="16" t="str">
        <f t="shared" si="28"/>
        <v xml:space="preserve"> </v>
      </c>
      <c r="P185" s="16" t="str">
        <f t="shared" si="28"/>
        <v xml:space="preserve"> </v>
      </c>
      <c r="Q185" s="16" t="str">
        <f t="shared" si="28"/>
        <v xml:space="preserve"> </v>
      </c>
      <c r="R185" s="16" t="str">
        <f t="shared" si="28"/>
        <v xml:space="preserve"> </v>
      </c>
      <c r="S185" s="16" t="str">
        <f t="shared" si="28"/>
        <v xml:space="preserve"> </v>
      </c>
      <c r="T185" s="16" t="str">
        <f t="shared" si="28"/>
        <v xml:space="preserve"> </v>
      </c>
      <c r="U185" s="16" t="str">
        <f t="shared" si="28"/>
        <v xml:space="preserve"> </v>
      </c>
      <c r="V185" s="16" t="str">
        <f t="shared" si="28"/>
        <v xml:space="preserve"> </v>
      </c>
      <c r="W185" s="16" t="str">
        <f t="shared" si="28"/>
        <v xml:space="preserve"> </v>
      </c>
      <c r="X185" s="16" t="str">
        <f t="shared" si="28"/>
        <v xml:space="preserve"> </v>
      </c>
      <c r="Y185" s="16" t="str">
        <f t="shared" si="28"/>
        <v xml:space="preserve"> </v>
      </c>
      <c r="Z185" s="16" t="str">
        <f t="shared" si="28"/>
        <v xml:space="preserve"> </v>
      </c>
      <c r="AA185" s="16" t="str">
        <f t="shared" si="28"/>
        <v xml:space="preserve"> </v>
      </c>
      <c r="AB185" s="16" t="str">
        <f t="shared" si="27"/>
        <v xml:space="preserve"> </v>
      </c>
      <c r="AC185" s="16" t="str">
        <f t="shared" si="27"/>
        <v xml:space="preserve"> </v>
      </c>
      <c r="AD185" s="16" t="str">
        <f t="shared" si="27"/>
        <v xml:space="preserve"> </v>
      </c>
      <c r="AE185" s="16" t="str">
        <f t="shared" si="27"/>
        <v xml:space="preserve"> </v>
      </c>
    </row>
    <row r="186" spans="1:31" ht="15" customHeight="1" thickBot="1" x14ac:dyDescent="0.35">
      <c r="A186"/>
      <c r="B186"/>
      <c r="C186"/>
      <c r="D186"/>
      <c r="E186"/>
      <c r="F186"/>
      <c r="G186" s="36" t="e">
        <f>VLOOKUP(F186,Results!$E$31:$F$50,2,FALSE)</f>
        <v>#N/A</v>
      </c>
      <c r="H186" s="40"/>
      <c r="I186" s="39"/>
      <c r="K186" s="3">
        <f t="shared" si="22"/>
        <v>0</v>
      </c>
      <c r="L186" s="16" t="str">
        <f t="shared" si="28"/>
        <v xml:space="preserve"> </v>
      </c>
      <c r="M186" s="16" t="str">
        <f t="shared" si="28"/>
        <v xml:space="preserve"> </v>
      </c>
      <c r="N186" s="16" t="str">
        <f t="shared" si="28"/>
        <v xml:space="preserve"> </v>
      </c>
      <c r="O186" s="16" t="str">
        <f t="shared" si="28"/>
        <v xml:space="preserve"> </v>
      </c>
      <c r="P186" s="16" t="str">
        <f t="shared" si="28"/>
        <v xml:space="preserve"> </v>
      </c>
      <c r="Q186" s="16" t="str">
        <f t="shared" si="28"/>
        <v xml:space="preserve"> </v>
      </c>
      <c r="R186" s="16" t="str">
        <f t="shared" si="28"/>
        <v xml:space="preserve"> </v>
      </c>
      <c r="S186" s="16" t="str">
        <f t="shared" si="28"/>
        <v xml:space="preserve"> </v>
      </c>
      <c r="T186" s="16" t="str">
        <f t="shared" si="28"/>
        <v xml:space="preserve"> </v>
      </c>
      <c r="U186" s="16" t="str">
        <f t="shared" si="28"/>
        <v xml:space="preserve"> </v>
      </c>
      <c r="V186" s="16" t="str">
        <f t="shared" si="28"/>
        <v xml:space="preserve"> </v>
      </c>
      <c r="W186" s="16" t="str">
        <f t="shared" si="28"/>
        <v xml:space="preserve"> </v>
      </c>
      <c r="X186" s="16" t="str">
        <f t="shared" si="28"/>
        <v xml:space="preserve"> </v>
      </c>
      <c r="Y186" s="16" t="str">
        <f t="shared" si="28"/>
        <v xml:space="preserve"> </v>
      </c>
      <c r="Z186" s="16" t="str">
        <f t="shared" si="28"/>
        <v xml:space="preserve"> </v>
      </c>
      <c r="AA186" s="16" t="str">
        <f t="shared" si="28"/>
        <v xml:space="preserve"> </v>
      </c>
      <c r="AB186" s="16" t="str">
        <f t="shared" si="27"/>
        <v xml:space="preserve"> </v>
      </c>
      <c r="AC186" s="16" t="str">
        <f t="shared" si="27"/>
        <v xml:space="preserve"> </v>
      </c>
      <c r="AD186" s="16" t="str">
        <f t="shared" si="27"/>
        <v xml:space="preserve"> </v>
      </c>
      <c r="AE186" s="16" t="str">
        <f t="shared" si="27"/>
        <v xml:space="preserve"> </v>
      </c>
    </row>
    <row r="187" spans="1:31" ht="15" customHeight="1" thickBot="1" x14ac:dyDescent="0.35">
      <c r="A187"/>
      <c r="B187"/>
      <c r="C187"/>
      <c r="D187"/>
      <c r="E187"/>
      <c r="F187"/>
      <c r="G187" s="36" t="e">
        <f>VLOOKUP(F187,Results!$E$31:$F$50,2,FALSE)</f>
        <v>#N/A</v>
      </c>
      <c r="H187" s="40"/>
      <c r="I187" s="39"/>
      <c r="K187" s="3">
        <f t="shared" si="22"/>
        <v>0</v>
      </c>
      <c r="L187" s="16" t="str">
        <f t="shared" si="28"/>
        <v xml:space="preserve"> </v>
      </c>
      <c r="M187" s="16" t="str">
        <f t="shared" si="28"/>
        <v xml:space="preserve"> </v>
      </c>
      <c r="N187" s="16" t="str">
        <f t="shared" si="28"/>
        <v xml:space="preserve"> </v>
      </c>
      <c r="O187" s="16" t="str">
        <f t="shared" si="28"/>
        <v xml:space="preserve"> </v>
      </c>
      <c r="P187" s="16" t="str">
        <f t="shared" si="28"/>
        <v xml:space="preserve"> </v>
      </c>
      <c r="Q187" s="16" t="str">
        <f t="shared" si="28"/>
        <v xml:space="preserve"> </v>
      </c>
      <c r="R187" s="16" t="str">
        <f t="shared" si="28"/>
        <v xml:space="preserve"> </v>
      </c>
      <c r="S187" s="16" t="str">
        <f t="shared" si="28"/>
        <v xml:space="preserve"> </v>
      </c>
      <c r="T187" s="16" t="str">
        <f t="shared" si="28"/>
        <v xml:space="preserve"> </v>
      </c>
      <c r="U187" s="16" t="str">
        <f t="shared" si="28"/>
        <v xml:space="preserve"> </v>
      </c>
      <c r="V187" s="16" t="str">
        <f t="shared" si="28"/>
        <v xml:space="preserve"> </v>
      </c>
      <c r="W187" s="16" t="str">
        <f t="shared" si="28"/>
        <v xml:space="preserve"> </v>
      </c>
      <c r="X187" s="16" t="str">
        <f t="shared" si="28"/>
        <v xml:space="preserve"> </v>
      </c>
      <c r="Y187" s="16" t="str">
        <f t="shared" si="28"/>
        <v xml:space="preserve"> </v>
      </c>
      <c r="Z187" s="16" t="str">
        <f t="shared" si="28"/>
        <v xml:space="preserve"> </v>
      </c>
      <c r="AA187" s="16" t="str">
        <f t="shared" si="28"/>
        <v xml:space="preserve"> </v>
      </c>
      <c r="AB187" s="16" t="str">
        <f t="shared" si="27"/>
        <v xml:space="preserve"> </v>
      </c>
      <c r="AC187" s="16" t="str">
        <f t="shared" si="27"/>
        <v xml:space="preserve"> </v>
      </c>
      <c r="AD187" s="16" t="str">
        <f t="shared" si="27"/>
        <v xml:space="preserve"> </v>
      </c>
      <c r="AE187" s="16" t="str">
        <f t="shared" si="27"/>
        <v xml:space="preserve"> </v>
      </c>
    </row>
    <row r="188" spans="1:31" ht="15" customHeight="1" thickBot="1" x14ac:dyDescent="0.35">
      <c r="A188"/>
      <c r="B188"/>
      <c r="C188"/>
      <c r="D188"/>
      <c r="E188"/>
      <c r="F188"/>
      <c r="G188" s="36" t="e">
        <f>VLOOKUP(F188,Results!$E$31:$F$50,2,FALSE)</f>
        <v>#N/A</v>
      </c>
      <c r="H188" s="40"/>
      <c r="I188" s="39"/>
      <c r="K188" s="3">
        <f t="shared" si="22"/>
        <v>0</v>
      </c>
      <c r="L188" s="16" t="str">
        <f t="shared" si="28"/>
        <v xml:space="preserve"> </v>
      </c>
      <c r="M188" s="16" t="str">
        <f t="shared" si="28"/>
        <v xml:space="preserve"> </v>
      </c>
      <c r="N188" s="16" t="str">
        <f t="shared" si="28"/>
        <v xml:space="preserve"> </v>
      </c>
      <c r="O188" s="16" t="str">
        <f t="shared" si="28"/>
        <v xml:space="preserve"> </v>
      </c>
      <c r="P188" s="16" t="str">
        <f t="shared" si="28"/>
        <v xml:space="preserve"> </v>
      </c>
      <c r="Q188" s="16" t="str">
        <f t="shared" si="28"/>
        <v xml:space="preserve"> </v>
      </c>
      <c r="R188" s="16" t="str">
        <f t="shared" si="28"/>
        <v xml:space="preserve"> </v>
      </c>
      <c r="S188" s="16" t="str">
        <f t="shared" si="28"/>
        <v xml:space="preserve"> </v>
      </c>
      <c r="T188" s="16" t="str">
        <f t="shared" si="28"/>
        <v xml:space="preserve"> </v>
      </c>
      <c r="U188" s="16" t="str">
        <f t="shared" si="28"/>
        <v xml:space="preserve"> </v>
      </c>
      <c r="V188" s="16" t="str">
        <f t="shared" si="28"/>
        <v xml:space="preserve"> </v>
      </c>
      <c r="W188" s="16" t="str">
        <f t="shared" si="28"/>
        <v xml:space="preserve"> </v>
      </c>
      <c r="X188" s="16" t="str">
        <f t="shared" si="28"/>
        <v xml:space="preserve"> </v>
      </c>
      <c r="Y188" s="16" t="str">
        <f t="shared" si="28"/>
        <v xml:space="preserve"> </v>
      </c>
      <c r="Z188" s="16" t="str">
        <f t="shared" si="28"/>
        <v xml:space="preserve"> </v>
      </c>
      <c r="AA188" s="16" t="str">
        <f t="shared" si="28"/>
        <v xml:space="preserve"> </v>
      </c>
      <c r="AB188" s="16" t="str">
        <f t="shared" si="27"/>
        <v xml:space="preserve"> </v>
      </c>
      <c r="AC188" s="16" t="str">
        <f t="shared" si="27"/>
        <v xml:space="preserve"> </v>
      </c>
      <c r="AD188" s="16" t="str">
        <f t="shared" si="27"/>
        <v xml:space="preserve"> </v>
      </c>
      <c r="AE188" s="16" t="str">
        <f t="shared" si="27"/>
        <v xml:space="preserve"> </v>
      </c>
    </row>
    <row r="189" spans="1:31" ht="15" customHeight="1" thickBot="1" x14ac:dyDescent="0.35">
      <c r="A189"/>
      <c r="B189"/>
      <c r="C189"/>
      <c r="D189"/>
      <c r="E189"/>
      <c r="F189"/>
      <c r="G189" s="36" t="e">
        <f>VLOOKUP(F189,Results!$E$31:$F$50,2,FALSE)</f>
        <v>#N/A</v>
      </c>
      <c r="H189" s="40"/>
      <c r="I189" s="39"/>
      <c r="K189" s="3">
        <f t="shared" si="22"/>
        <v>0</v>
      </c>
      <c r="L189" s="16" t="str">
        <f t="shared" si="28"/>
        <v xml:space="preserve"> </v>
      </c>
      <c r="M189" s="16" t="str">
        <f t="shared" si="28"/>
        <v xml:space="preserve"> </v>
      </c>
      <c r="N189" s="16" t="str">
        <f t="shared" si="28"/>
        <v xml:space="preserve"> </v>
      </c>
      <c r="O189" s="16" t="str">
        <f t="shared" si="28"/>
        <v xml:space="preserve"> </v>
      </c>
      <c r="P189" s="16" t="str">
        <f t="shared" si="28"/>
        <v xml:space="preserve"> </v>
      </c>
      <c r="Q189" s="16" t="str">
        <f t="shared" si="28"/>
        <v xml:space="preserve"> </v>
      </c>
      <c r="R189" s="16" t="str">
        <f t="shared" si="28"/>
        <v xml:space="preserve"> </v>
      </c>
      <c r="S189" s="16" t="str">
        <f t="shared" si="28"/>
        <v xml:space="preserve"> </v>
      </c>
      <c r="T189" s="16" t="str">
        <f t="shared" si="28"/>
        <v xml:space="preserve"> </v>
      </c>
      <c r="U189" s="16" t="str">
        <f t="shared" si="28"/>
        <v xml:space="preserve"> </v>
      </c>
      <c r="V189" s="16" t="str">
        <f t="shared" si="28"/>
        <v xml:space="preserve"> </v>
      </c>
      <c r="W189" s="16" t="str">
        <f t="shared" si="28"/>
        <v xml:space="preserve"> </v>
      </c>
      <c r="X189" s="16" t="str">
        <f t="shared" si="28"/>
        <v xml:space="preserve"> </v>
      </c>
      <c r="Y189" s="16" t="str">
        <f t="shared" si="28"/>
        <v xml:space="preserve"> </v>
      </c>
      <c r="Z189" s="16" t="str">
        <f t="shared" si="28"/>
        <v xml:space="preserve"> </v>
      </c>
      <c r="AA189" s="16" t="str">
        <f t="shared" si="28"/>
        <v xml:space="preserve"> </v>
      </c>
      <c r="AB189" s="16" t="str">
        <f t="shared" si="27"/>
        <v xml:space="preserve"> </v>
      </c>
      <c r="AC189" s="16" t="str">
        <f t="shared" si="27"/>
        <v xml:space="preserve"> </v>
      </c>
      <c r="AD189" s="16" t="str">
        <f t="shared" si="27"/>
        <v xml:space="preserve"> </v>
      </c>
      <c r="AE189" s="16" t="str">
        <f t="shared" si="27"/>
        <v xml:space="preserve"> </v>
      </c>
    </row>
    <row r="190" spans="1:31" ht="15" customHeight="1" thickBot="1" x14ac:dyDescent="0.35">
      <c r="A190"/>
      <c r="B190"/>
      <c r="C190"/>
      <c r="D190"/>
      <c r="E190"/>
      <c r="F190"/>
      <c r="G190" s="36" t="e">
        <f>VLOOKUP(F190,Results!$E$31:$F$50,2,FALSE)</f>
        <v>#N/A</v>
      </c>
      <c r="H190" s="40"/>
      <c r="I190" s="39"/>
      <c r="K190" s="3">
        <f t="shared" si="22"/>
        <v>0</v>
      </c>
      <c r="L190" s="16" t="str">
        <f t="shared" si="28"/>
        <v xml:space="preserve"> </v>
      </c>
      <c r="M190" s="16" t="str">
        <f t="shared" si="28"/>
        <v xml:space="preserve"> </v>
      </c>
      <c r="N190" s="16" t="str">
        <f t="shared" si="28"/>
        <v xml:space="preserve"> </v>
      </c>
      <c r="O190" s="16" t="str">
        <f t="shared" si="28"/>
        <v xml:space="preserve"> </v>
      </c>
      <c r="P190" s="16" t="str">
        <f t="shared" si="28"/>
        <v xml:space="preserve"> </v>
      </c>
      <c r="Q190" s="16" t="str">
        <f t="shared" si="28"/>
        <v xml:space="preserve"> </v>
      </c>
      <c r="R190" s="16" t="str">
        <f t="shared" si="28"/>
        <v xml:space="preserve"> </v>
      </c>
      <c r="S190" s="16" t="str">
        <f t="shared" si="28"/>
        <v xml:space="preserve"> </v>
      </c>
      <c r="T190" s="16" t="str">
        <f t="shared" si="28"/>
        <v xml:space="preserve"> </v>
      </c>
      <c r="U190" s="16" t="str">
        <f t="shared" si="28"/>
        <v xml:space="preserve"> </v>
      </c>
      <c r="V190" s="16" t="str">
        <f t="shared" si="28"/>
        <v xml:space="preserve"> </v>
      </c>
      <c r="W190" s="16" t="str">
        <f t="shared" si="28"/>
        <v xml:space="preserve"> </v>
      </c>
      <c r="X190" s="16" t="str">
        <f t="shared" si="28"/>
        <v xml:space="preserve"> </v>
      </c>
      <c r="Y190" s="16" t="str">
        <f t="shared" si="28"/>
        <v xml:space="preserve"> </v>
      </c>
      <c r="Z190" s="16" t="str">
        <f t="shared" si="28"/>
        <v xml:space="preserve"> </v>
      </c>
      <c r="AA190" s="16" t="str">
        <f t="shared" si="28"/>
        <v xml:space="preserve"> </v>
      </c>
      <c r="AB190" s="16" t="str">
        <f t="shared" si="27"/>
        <v xml:space="preserve"> </v>
      </c>
      <c r="AC190" s="16" t="str">
        <f t="shared" si="27"/>
        <v xml:space="preserve"> </v>
      </c>
      <c r="AD190" s="16" t="str">
        <f t="shared" si="27"/>
        <v xml:space="preserve"> </v>
      </c>
      <c r="AE190" s="16" t="str">
        <f t="shared" si="27"/>
        <v xml:space="preserve"> </v>
      </c>
    </row>
    <row r="191" spans="1:31" ht="15" customHeight="1" thickBot="1" x14ac:dyDescent="0.35">
      <c r="A191"/>
      <c r="B191"/>
      <c r="C191"/>
      <c r="D191"/>
      <c r="E191"/>
      <c r="F191"/>
      <c r="G191" s="36" t="e">
        <f>VLOOKUP(F191,Results!$E$31:$F$50,2,FALSE)</f>
        <v>#N/A</v>
      </c>
      <c r="H191" s="40"/>
      <c r="I191" s="39"/>
      <c r="K191" s="3">
        <f t="shared" si="22"/>
        <v>0</v>
      </c>
      <c r="L191" s="16" t="str">
        <f t="shared" si="28"/>
        <v xml:space="preserve"> </v>
      </c>
      <c r="M191" s="16" t="str">
        <f t="shared" si="28"/>
        <v xml:space="preserve"> </v>
      </c>
      <c r="N191" s="16" t="str">
        <f t="shared" si="28"/>
        <v xml:space="preserve"> </v>
      </c>
      <c r="O191" s="16" t="str">
        <f t="shared" si="28"/>
        <v xml:space="preserve"> </v>
      </c>
      <c r="P191" s="16" t="str">
        <f t="shared" si="28"/>
        <v xml:space="preserve"> </v>
      </c>
      <c r="Q191" s="16" t="str">
        <f t="shared" si="28"/>
        <v xml:space="preserve"> </v>
      </c>
      <c r="R191" s="16" t="str">
        <f t="shared" si="28"/>
        <v xml:space="preserve"> </v>
      </c>
      <c r="S191" s="16" t="str">
        <f t="shared" si="28"/>
        <v xml:space="preserve"> </v>
      </c>
      <c r="T191" s="16" t="str">
        <f t="shared" si="28"/>
        <v xml:space="preserve"> </v>
      </c>
      <c r="U191" s="16" t="str">
        <f t="shared" si="28"/>
        <v xml:space="preserve"> </v>
      </c>
      <c r="V191" s="16" t="str">
        <f t="shared" si="28"/>
        <v xml:space="preserve"> </v>
      </c>
      <c r="W191" s="16" t="str">
        <f t="shared" si="28"/>
        <v xml:space="preserve"> </v>
      </c>
      <c r="X191" s="16" t="str">
        <f t="shared" si="28"/>
        <v xml:space="preserve"> </v>
      </c>
      <c r="Y191" s="16" t="str">
        <f t="shared" si="28"/>
        <v xml:space="preserve"> </v>
      </c>
      <c r="Z191" s="16" t="str">
        <f t="shared" si="28"/>
        <v xml:space="preserve"> </v>
      </c>
      <c r="AA191" s="16" t="str">
        <f t="shared" si="28"/>
        <v xml:space="preserve"> </v>
      </c>
      <c r="AB191" s="16" t="str">
        <f t="shared" si="27"/>
        <v xml:space="preserve"> </v>
      </c>
      <c r="AC191" s="16" t="str">
        <f t="shared" si="27"/>
        <v xml:space="preserve"> </v>
      </c>
      <c r="AD191" s="16" t="str">
        <f t="shared" si="27"/>
        <v xml:space="preserve"> </v>
      </c>
      <c r="AE191" s="16" t="str">
        <f t="shared" si="27"/>
        <v xml:space="preserve"> </v>
      </c>
    </row>
    <row r="192" spans="1:31" ht="15" customHeight="1" thickBot="1" x14ac:dyDescent="0.35">
      <c r="A192"/>
      <c r="B192"/>
      <c r="C192"/>
      <c r="D192"/>
      <c r="E192"/>
      <c r="F192"/>
      <c r="G192" s="36" t="e">
        <f>VLOOKUP(F192,Results!$E$31:$F$50,2,FALSE)</f>
        <v>#N/A</v>
      </c>
      <c r="H192" s="40"/>
      <c r="I192" s="39"/>
      <c r="K192" s="3">
        <f t="shared" si="22"/>
        <v>0</v>
      </c>
      <c r="L192" s="16" t="str">
        <f t="shared" si="28"/>
        <v xml:space="preserve"> </v>
      </c>
      <c r="M192" s="16" t="str">
        <f t="shared" si="28"/>
        <v xml:space="preserve"> </v>
      </c>
      <c r="N192" s="16" t="str">
        <f t="shared" si="28"/>
        <v xml:space="preserve"> </v>
      </c>
      <c r="O192" s="16" t="str">
        <f t="shared" si="28"/>
        <v xml:space="preserve"> </v>
      </c>
      <c r="P192" s="16" t="str">
        <f t="shared" si="28"/>
        <v xml:space="preserve"> </v>
      </c>
      <c r="Q192" s="16" t="str">
        <f t="shared" si="28"/>
        <v xml:space="preserve"> </v>
      </c>
      <c r="R192" s="16" t="str">
        <f t="shared" si="28"/>
        <v xml:space="preserve"> </v>
      </c>
      <c r="S192" s="16" t="str">
        <f t="shared" si="28"/>
        <v xml:space="preserve"> </v>
      </c>
      <c r="T192" s="16" t="str">
        <f t="shared" si="28"/>
        <v xml:space="preserve"> </v>
      </c>
      <c r="U192" s="16" t="str">
        <f t="shared" si="28"/>
        <v xml:space="preserve"> </v>
      </c>
      <c r="V192" s="16" t="str">
        <f t="shared" si="28"/>
        <v xml:space="preserve"> </v>
      </c>
      <c r="W192" s="16" t="str">
        <f t="shared" si="28"/>
        <v xml:space="preserve"> </v>
      </c>
      <c r="X192" s="16" t="str">
        <f t="shared" si="28"/>
        <v xml:space="preserve"> </v>
      </c>
      <c r="Y192" s="16" t="str">
        <f t="shared" si="28"/>
        <v xml:space="preserve"> </v>
      </c>
      <c r="Z192" s="16" t="str">
        <f t="shared" si="28"/>
        <v xml:space="preserve"> </v>
      </c>
      <c r="AA192" s="16" t="str">
        <f t="shared" si="28"/>
        <v xml:space="preserve"> </v>
      </c>
      <c r="AB192" s="16" t="str">
        <f t="shared" si="27"/>
        <v xml:space="preserve"> </v>
      </c>
      <c r="AC192" s="16" t="str">
        <f t="shared" si="27"/>
        <v xml:space="preserve"> </v>
      </c>
      <c r="AD192" s="16" t="str">
        <f t="shared" si="27"/>
        <v xml:space="preserve"> </v>
      </c>
      <c r="AE192" s="16" t="str">
        <f t="shared" si="27"/>
        <v xml:space="preserve"> </v>
      </c>
    </row>
    <row r="193" spans="1:33" ht="15" customHeight="1" thickBot="1" x14ac:dyDescent="0.35">
      <c r="A193"/>
      <c r="B193"/>
      <c r="C193"/>
      <c r="D193"/>
      <c r="E193"/>
      <c r="F193"/>
      <c r="G193" s="36" t="e">
        <f>VLOOKUP(F193,Results!$E$31:$F$50,2,FALSE)</f>
        <v>#N/A</v>
      </c>
      <c r="H193" s="40"/>
      <c r="I193" s="39"/>
      <c r="K193" s="3">
        <f t="shared" si="22"/>
        <v>0</v>
      </c>
      <c r="L193" s="16" t="str">
        <f t="shared" si="28"/>
        <v xml:space="preserve"> </v>
      </c>
      <c r="M193" s="16" t="str">
        <f t="shared" si="28"/>
        <v xml:space="preserve"> </v>
      </c>
      <c r="N193" s="16" t="str">
        <f t="shared" si="28"/>
        <v xml:space="preserve"> </v>
      </c>
      <c r="O193" s="16" t="str">
        <f t="shared" si="28"/>
        <v xml:space="preserve"> </v>
      </c>
      <c r="P193" s="16" t="str">
        <f t="shared" si="28"/>
        <v xml:space="preserve"> </v>
      </c>
      <c r="Q193" s="16" t="str">
        <f t="shared" si="28"/>
        <v xml:space="preserve"> </v>
      </c>
      <c r="R193" s="16" t="str">
        <f t="shared" si="28"/>
        <v xml:space="preserve"> </v>
      </c>
      <c r="S193" s="16" t="str">
        <f t="shared" si="28"/>
        <v xml:space="preserve"> </v>
      </c>
      <c r="T193" s="16" t="str">
        <f t="shared" si="28"/>
        <v xml:space="preserve"> </v>
      </c>
      <c r="U193" s="16" t="str">
        <f t="shared" si="28"/>
        <v xml:space="preserve"> </v>
      </c>
      <c r="V193" s="16" t="str">
        <f t="shared" si="28"/>
        <v xml:space="preserve"> </v>
      </c>
      <c r="W193" s="16" t="str">
        <f t="shared" si="28"/>
        <v xml:space="preserve"> </v>
      </c>
      <c r="X193" s="16" t="str">
        <f t="shared" si="28"/>
        <v xml:space="preserve"> </v>
      </c>
      <c r="Y193" s="16" t="str">
        <f t="shared" si="28"/>
        <v xml:space="preserve"> </v>
      </c>
      <c r="Z193" s="16" t="str">
        <f t="shared" si="28"/>
        <v xml:space="preserve"> </v>
      </c>
      <c r="AA193" s="16" t="str">
        <f t="shared" si="28"/>
        <v xml:space="preserve"> </v>
      </c>
      <c r="AB193" s="16" t="str">
        <f t="shared" si="27"/>
        <v xml:space="preserve"> </v>
      </c>
      <c r="AC193" s="16" t="str">
        <f t="shared" si="27"/>
        <v xml:space="preserve"> </v>
      </c>
      <c r="AD193" s="16" t="str">
        <f t="shared" si="27"/>
        <v xml:space="preserve"> </v>
      </c>
      <c r="AE193" s="16" t="str">
        <f t="shared" si="27"/>
        <v xml:space="preserve"> </v>
      </c>
    </row>
    <row r="194" spans="1:33" ht="15" customHeight="1" thickBot="1" x14ac:dyDescent="0.35">
      <c r="A194"/>
      <c r="B194"/>
      <c r="C194"/>
      <c r="D194"/>
      <c r="E194"/>
      <c r="F194"/>
      <c r="G194" s="36" t="e">
        <f>VLOOKUP(F194,Results!$E$31:$F$50,2,FALSE)</f>
        <v>#N/A</v>
      </c>
      <c r="H194" s="40"/>
      <c r="I194" s="39"/>
      <c r="K194" s="3">
        <f t="shared" si="22"/>
        <v>0</v>
      </c>
      <c r="L194" s="16" t="str">
        <f t="shared" si="28"/>
        <v xml:space="preserve"> </v>
      </c>
      <c r="M194" s="16" t="str">
        <f t="shared" si="28"/>
        <v xml:space="preserve"> </v>
      </c>
      <c r="N194" s="16" t="str">
        <f t="shared" si="28"/>
        <v xml:space="preserve"> </v>
      </c>
      <c r="O194" s="16" t="str">
        <f t="shared" si="28"/>
        <v xml:space="preserve"> </v>
      </c>
      <c r="P194" s="16" t="str">
        <f t="shared" si="28"/>
        <v xml:space="preserve"> </v>
      </c>
      <c r="Q194" s="16" t="str">
        <f t="shared" si="28"/>
        <v xml:space="preserve"> </v>
      </c>
      <c r="R194" s="16" t="str">
        <f t="shared" si="28"/>
        <v xml:space="preserve"> </v>
      </c>
      <c r="S194" s="16" t="str">
        <f t="shared" si="28"/>
        <v xml:space="preserve"> </v>
      </c>
      <c r="T194" s="16" t="str">
        <f t="shared" si="28"/>
        <v xml:space="preserve"> </v>
      </c>
      <c r="U194" s="16" t="str">
        <f t="shared" si="28"/>
        <v xml:space="preserve"> </v>
      </c>
      <c r="V194" s="16" t="str">
        <f t="shared" si="28"/>
        <v xml:space="preserve"> </v>
      </c>
      <c r="W194" s="16" t="str">
        <f t="shared" si="28"/>
        <v xml:space="preserve"> </v>
      </c>
      <c r="X194" s="16" t="str">
        <f t="shared" si="28"/>
        <v xml:space="preserve"> </v>
      </c>
      <c r="Y194" s="16" t="str">
        <f t="shared" si="28"/>
        <v xml:space="preserve"> </v>
      </c>
      <c r="Z194" s="16" t="str">
        <f t="shared" si="28"/>
        <v xml:space="preserve"> </v>
      </c>
      <c r="AA194" s="16" t="str">
        <f t="shared" ref="AA194:AE204" si="29">IF($F194=COLUMN((AA:AA))-11,$E194," ")</f>
        <v xml:space="preserve"> </v>
      </c>
      <c r="AB194" s="16" t="str">
        <f t="shared" si="29"/>
        <v xml:space="preserve"> </v>
      </c>
      <c r="AC194" s="16" t="str">
        <f t="shared" si="29"/>
        <v xml:space="preserve"> </v>
      </c>
      <c r="AD194" s="16" t="str">
        <f t="shared" si="29"/>
        <v xml:space="preserve"> </v>
      </c>
      <c r="AE194" s="16" t="str">
        <f t="shared" si="29"/>
        <v xml:space="preserve"> </v>
      </c>
    </row>
    <row r="195" spans="1:33" ht="15" customHeight="1" thickBot="1" x14ac:dyDescent="0.35">
      <c r="A195"/>
      <c r="B195"/>
      <c r="C195"/>
      <c r="D195"/>
      <c r="E195"/>
      <c r="F195"/>
      <c r="G195" s="36" t="e">
        <f>VLOOKUP(F195,Results!$E$31:$F$50,2,FALSE)</f>
        <v>#N/A</v>
      </c>
      <c r="H195" s="40"/>
      <c r="I195" s="39"/>
      <c r="K195" s="3">
        <f t="shared" si="22"/>
        <v>0</v>
      </c>
      <c r="L195" s="16" t="str">
        <f t="shared" ref="L195:AA204" si="30">IF($F195=COLUMN((L:L))-11,$E195," ")</f>
        <v xml:space="preserve"> </v>
      </c>
      <c r="M195" s="16" t="str">
        <f t="shared" si="30"/>
        <v xml:space="preserve"> </v>
      </c>
      <c r="N195" s="16" t="str">
        <f t="shared" si="30"/>
        <v xml:space="preserve"> </v>
      </c>
      <c r="O195" s="16" t="str">
        <f t="shared" si="30"/>
        <v xml:space="preserve"> </v>
      </c>
      <c r="P195" s="16" t="str">
        <f t="shared" si="30"/>
        <v xml:space="preserve"> </v>
      </c>
      <c r="Q195" s="16" t="str">
        <f t="shared" si="30"/>
        <v xml:space="preserve"> </v>
      </c>
      <c r="R195" s="16" t="str">
        <f t="shared" si="30"/>
        <v xml:space="preserve"> </v>
      </c>
      <c r="S195" s="16" t="str">
        <f t="shared" si="30"/>
        <v xml:space="preserve"> </v>
      </c>
      <c r="T195" s="16" t="str">
        <f t="shared" si="30"/>
        <v xml:space="preserve"> </v>
      </c>
      <c r="U195" s="16" t="str">
        <f t="shared" si="30"/>
        <v xml:space="preserve"> </v>
      </c>
      <c r="V195" s="16" t="str">
        <f t="shared" si="30"/>
        <v xml:space="preserve"> </v>
      </c>
      <c r="W195" s="16" t="str">
        <f t="shared" si="30"/>
        <v xml:space="preserve"> </v>
      </c>
      <c r="X195" s="16" t="str">
        <f t="shared" si="30"/>
        <v xml:space="preserve"> </v>
      </c>
      <c r="Y195" s="16" t="str">
        <f t="shared" si="30"/>
        <v xml:space="preserve"> </v>
      </c>
      <c r="Z195" s="16" t="str">
        <f t="shared" si="30"/>
        <v xml:space="preserve"> </v>
      </c>
      <c r="AA195" s="16" t="str">
        <f t="shared" si="30"/>
        <v xml:space="preserve"> </v>
      </c>
      <c r="AB195" s="16" t="str">
        <f t="shared" si="29"/>
        <v xml:space="preserve"> </v>
      </c>
      <c r="AC195" s="16" t="str">
        <f t="shared" si="29"/>
        <v xml:space="preserve"> </v>
      </c>
      <c r="AD195" s="16" t="str">
        <f t="shared" si="29"/>
        <v xml:space="preserve"> </v>
      </c>
      <c r="AE195" s="16" t="str">
        <f t="shared" si="29"/>
        <v xml:space="preserve"> </v>
      </c>
    </row>
    <row r="196" spans="1:33" ht="15" customHeight="1" thickBot="1" x14ac:dyDescent="0.35">
      <c r="A196"/>
      <c r="B196"/>
      <c r="C196"/>
      <c r="D196"/>
      <c r="E196"/>
      <c r="F196"/>
      <c r="G196" s="36" t="e">
        <f>VLOOKUP(F196,Results!$E$31:$F$50,2,FALSE)</f>
        <v>#N/A</v>
      </c>
      <c r="H196" s="40"/>
      <c r="I196" s="39"/>
      <c r="K196" s="3">
        <f t="shared" si="22"/>
        <v>0</v>
      </c>
      <c r="L196" s="16" t="str">
        <f t="shared" si="30"/>
        <v xml:space="preserve"> </v>
      </c>
      <c r="M196" s="16" t="str">
        <f t="shared" si="30"/>
        <v xml:space="preserve"> </v>
      </c>
      <c r="N196" s="16" t="str">
        <f t="shared" si="30"/>
        <v xml:space="preserve"> </v>
      </c>
      <c r="O196" s="16" t="str">
        <f t="shared" si="30"/>
        <v xml:space="preserve"> </v>
      </c>
      <c r="P196" s="16" t="str">
        <f t="shared" si="30"/>
        <v xml:space="preserve"> </v>
      </c>
      <c r="Q196" s="16" t="str">
        <f t="shared" si="30"/>
        <v xml:space="preserve"> </v>
      </c>
      <c r="R196" s="16" t="str">
        <f t="shared" si="30"/>
        <v xml:space="preserve"> </v>
      </c>
      <c r="S196" s="16" t="str">
        <f t="shared" si="30"/>
        <v xml:space="preserve"> </v>
      </c>
      <c r="T196" s="16" t="str">
        <f t="shared" si="30"/>
        <v xml:space="preserve"> </v>
      </c>
      <c r="U196" s="16" t="str">
        <f t="shared" si="30"/>
        <v xml:space="preserve"> </v>
      </c>
      <c r="V196" s="16" t="str">
        <f t="shared" si="30"/>
        <v xml:space="preserve"> </v>
      </c>
      <c r="W196" s="16" t="str">
        <f t="shared" si="30"/>
        <v xml:space="preserve"> </v>
      </c>
      <c r="X196" s="16" t="str">
        <f t="shared" si="30"/>
        <v xml:space="preserve"> </v>
      </c>
      <c r="Y196" s="16" t="str">
        <f t="shared" si="30"/>
        <v xml:space="preserve"> </v>
      </c>
      <c r="Z196" s="16" t="str">
        <f t="shared" si="30"/>
        <v xml:space="preserve"> </v>
      </c>
      <c r="AA196" s="16" t="str">
        <f t="shared" si="30"/>
        <v xml:space="preserve"> </v>
      </c>
      <c r="AB196" s="16" t="str">
        <f t="shared" si="29"/>
        <v xml:space="preserve"> </v>
      </c>
      <c r="AC196" s="16" t="str">
        <f t="shared" si="29"/>
        <v xml:space="preserve"> </v>
      </c>
      <c r="AD196" s="16" t="str">
        <f t="shared" si="29"/>
        <v xml:space="preserve"> </v>
      </c>
      <c r="AE196" s="16" t="str">
        <f t="shared" si="29"/>
        <v xml:space="preserve"> </v>
      </c>
    </row>
    <row r="197" spans="1:33" ht="15" customHeight="1" thickBot="1" x14ac:dyDescent="0.35">
      <c r="A197"/>
      <c r="B197"/>
      <c r="C197"/>
      <c r="D197"/>
      <c r="E197"/>
      <c r="F197"/>
      <c r="G197" s="36" t="e">
        <f>VLOOKUP(F197,Results!$E$31:$F$50,2,FALSE)</f>
        <v>#N/A</v>
      </c>
      <c r="H197" s="40"/>
      <c r="I197" s="39"/>
      <c r="K197" s="3">
        <f t="shared" si="22"/>
        <v>0</v>
      </c>
      <c r="L197" s="16" t="str">
        <f t="shared" si="30"/>
        <v xml:space="preserve"> </v>
      </c>
      <c r="M197" s="16" t="str">
        <f t="shared" si="30"/>
        <v xml:space="preserve"> </v>
      </c>
      <c r="N197" s="16" t="str">
        <f t="shared" si="30"/>
        <v xml:space="preserve"> </v>
      </c>
      <c r="O197" s="16" t="str">
        <f t="shared" si="30"/>
        <v xml:space="preserve"> </v>
      </c>
      <c r="P197" s="16" t="str">
        <f t="shared" si="30"/>
        <v xml:space="preserve"> </v>
      </c>
      <c r="Q197" s="16" t="str">
        <f t="shared" si="30"/>
        <v xml:space="preserve"> </v>
      </c>
      <c r="R197" s="16" t="str">
        <f t="shared" si="30"/>
        <v xml:space="preserve"> </v>
      </c>
      <c r="S197" s="16" t="str">
        <f t="shared" si="30"/>
        <v xml:space="preserve"> </v>
      </c>
      <c r="T197" s="16" t="str">
        <f t="shared" si="30"/>
        <v xml:space="preserve"> </v>
      </c>
      <c r="U197" s="16" t="str">
        <f t="shared" si="30"/>
        <v xml:space="preserve"> </v>
      </c>
      <c r="V197" s="16" t="str">
        <f t="shared" si="30"/>
        <v xml:space="preserve"> </v>
      </c>
      <c r="W197" s="16" t="str">
        <f t="shared" si="30"/>
        <v xml:space="preserve"> </v>
      </c>
      <c r="X197" s="16" t="str">
        <f t="shared" si="30"/>
        <v xml:space="preserve"> </v>
      </c>
      <c r="Y197" s="16" t="str">
        <f t="shared" si="30"/>
        <v xml:space="preserve"> </v>
      </c>
      <c r="Z197" s="16" t="str">
        <f t="shared" si="30"/>
        <v xml:space="preserve"> </v>
      </c>
      <c r="AA197" s="16" t="str">
        <f t="shared" si="30"/>
        <v xml:space="preserve"> </v>
      </c>
      <c r="AB197" s="16" t="str">
        <f t="shared" si="29"/>
        <v xml:space="preserve"> </v>
      </c>
      <c r="AC197" s="16" t="str">
        <f t="shared" si="29"/>
        <v xml:space="preserve"> </v>
      </c>
      <c r="AD197" s="16" t="str">
        <f t="shared" si="29"/>
        <v xml:space="preserve"> </v>
      </c>
      <c r="AE197" s="16" t="str">
        <f t="shared" si="29"/>
        <v xml:space="preserve"> </v>
      </c>
    </row>
    <row r="198" spans="1:33" ht="15" customHeight="1" thickBot="1" x14ac:dyDescent="0.35">
      <c r="A198"/>
      <c r="B198"/>
      <c r="C198"/>
      <c r="D198"/>
      <c r="E198"/>
      <c r="F198"/>
      <c r="G198" s="36" t="e">
        <f>VLOOKUP(F198,Results!$E$31:$F$50,2,FALSE)</f>
        <v>#N/A</v>
      </c>
      <c r="H198" s="40"/>
      <c r="I198" s="39"/>
      <c r="K198" s="3">
        <f t="shared" ref="K198:K204" si="31">COUNT(L198:AE198)</f>
        <v>0</v>
      </c>
      <c r="L198" s="16" t="str">
        <f t="shared" si="30"/>
        <v xml:space="preserve"> </v>
      </c>
      <c r="M198" s="16" t="str">
        <f t="shared" si="30"/>
        <v xml:space="preserve"> </v>
      </c>
      <c r="N198" s="16" t="str">
        <f t="shared" si="30"/>
        <v xml:space="preserve"> </v>
      </c>
      <c r="O198" s="16" t="str">
        <f t="shared" si="30"/>
        <v xml:space="preserve"> </v>
      </c>
      <c r="P198" s="16" t="str">
        <f t="shared" si="30"/>
        <v xml:space="preserve"> </v>
      </c>
      <c r="Q198" s="16" t="str">
        <f t="shared" si="30"/>
        <v xml:space="preserve"> </v>
      </c>
      <c r="R198" s="16" t="str">
        <f t="shared" si="30"/>
        <v xml:space="preserve"> </v>
      </c>
      <c r="S198" s="16" t="str">
        <f t="shared" si="30"/>
        <v xml:space="preserve"> </v>
      </c>
      <c r="T198" s="16" t="str">
        <f t="shared" si="30"/>
        <v xml:space="preserve"> </v>
      </c>
      <c r="U198" s="16" t="str">
        <f t="shared" si="30"/>
        <v xml:space="preserve"> </v>
      </c>
      <c r="V198" s="16" t="str">
        <f t="shared" si="30"/>
        <v xml:space="preserve"> </v>
      </c>
      <c r="W198" s="16" t="str">
        <f t="shared" si="30"/>
        <v xml:space="preserve"> </v>
      </c>
      <c r="X198" s="16" t="str">
        <f t="shared" si="30"/>
        <v xml:space="preserve"> </v>
      </c>
      <c r="Y198" s="16" t="str">
        <f t="shared" si="30"/>
        <v xml:space="preserve"> </v>
      </c>
      <c r="Z198" s="16" t="str">
        <f t="shared" si="30"/>
        <v xml:space="preserve"> </v>
      </c>
      <c r="AA198" s="16" t="str">
        <f t="shared" si="30"/>
        <v xml:space="preserve"> </v>
      </c>
      <c r="AB198" s="16" t="str">
        <f t="shared" si="29"/>
        <v xml:space="preserve"> </v>
      </c>
      <c r="AC198" s="16" t="str">
        <f t="shared" si="29"/>
        <v xml:space="preserve"> </v>
      </c>
      <c r="AD198" s="16" t="str">
        <f t="shared" si="29"/>
        <v xml:space="preserve"> </v>
      </c>
      <c r="AE198" s="16" t="str">
        <f t="shared" si="29"/>
        <v xml:space="preserve"> </v>
      </c>
    </row>
    <row r="199" spans="1:33" ht="15" customHeight="1" thickBot="1" x14ac:dyDescent="0.35">
      <c r="A199"/>
      <c r="B199"/>
      <c r="C199"/>
      <c r="D199"/>
      <c r="E199"/>
      <c r="F199"/>
      <c r="G199" s="36" t="e">
        <f>VLOOKUP(F199,Results!$E$31:$F$50,2,FALSE)</f>
        <v>#N/A</v>
      </c>
      <c r="H199" s="40"/>
      <c r="I199" s="39"/>
      <c r="K199" s="3">
        <f t="shared" si="31"/>
        <v>0</v>
      </c>
      <c r="L199" s="16" t="str">
        <f t="shared" si="30"/>
        <v xml:space="preserve"> </v>
      </c>
      <c r="M199" s="16" t="str">
        <f t="shared" si="30"/>
        <v xml:space="preserve"> </v>
      </c>
      <c r="N199" s="16" t="str">
        <f t="shared" si="30"/>
        <v xml:space="preserve"> </v>
      </c>
      <c r="O199" s="16" t="str">
        <f t="shared" si="30"/>
        <v xml:space="preserve"> </v>
      </c>
      <c r="P199" s="16" t="str">
        <f t="shared" si="30"/>
        <v xml:space="preserve"> </v>
      </c>
      <c r="Q199" s="16" t="str">
        <f t="shared" si="30"/>
        <v xml:space="preserve"> </v>
      </c>
      <c r="R199" s="16" t="str">
        <f t="shared" si="30"/>
        <v xml:space="preserve"> </v>
      </c>
      <c r="S199" s="16" t="str">
        <f t="shared" si="30"/>
        <v xml:space="preserve"> </v>
      </c>
      <c r="T199" s="16" t="str">
        <f t="shared" si="30"/>
        <v xml:space="preserve"> </v>
      </c>
      <c r="U199" s="16" t="str">
        <f t="shared" si="30"/>
        <v xml:space="preserve"> </v>
      </c>
      <c r="V199" s="16" t="str">
        <f t="shared" si="30"/>
        <v xml:space="preserve"> </v>
      </c>
      <c r="W199" s="16" t="str">
        <f t="shared" si="30"/>
        <v xml:space="preserve"> </v>
      </c>
      <c r="X199" s="16" t="str">
        <f t="shared" si="30"/>
        <v xml:space="preserve"> </v>
      </c>
      <c r="Y199" s="16" t="str">
        <f t="shared" si="30"/>
        <v xml:space="preserve"> </v>
      </c>
      <c r="Z199" s="16" t="str">
        <f t="shared" si="30"/>
        <v xml:space="preserve"> </v>
      </c>
      <c r="AA199" s="16" t="str">
        <f t="shared" si="30"/>
        <v xml:space="preserve"> </v>
      </c>
      <c r="AB199" s="16" t="str">
        <f t="shared" si="29"/>
        <v xml:space="preserve"> </v>
      </c>
      <c r="AC199" s="16" t="str">
        <f t="shared" si="29"/>
        <v xml:space="preserve"> </v>
      </c>
      <c r="AD199" s="16" t="str">
        <f t="shared" si="29"/>
        <v xml:space="preserve"> </v>
      </c>
      <c r="AE199" s="16" t="str">
        <f t="shared" si="29"/>
        <v xml:space="preserve"> </v>
      </c>
    </row>
    <row r="200" spans="1:33" ht="15" customHeight="1" thickBot="1" x14ac:dyDescent="0.35">
      <c r="A200"/>
      <c r="B200"/>
      <c r="C200"/>
      <c r="D200"/>
      <c r="E200"/>
      <c r="F200"/>
      <c r="G200" s="36" t="e">
        <f>VLOOKUP(F200,Results!$E$31:$F$50,2,FALSE)</f>
        <v>#N/A</v>
      </c>
      <c r="H200" s="40"/>
      <c r="I200" s="39"/>
      <c r="K200" s="3">
        <f t="shared" si="31"/>
        <v>0</v>
      </c>
      <c r="L200" s="16" t="str">
        <f t="shared" si="30"/>
        <v xml:space="preserve"> </v>
      </c>
      <c r="M200" s="16" t="str">
        <f t="shared" si="30"/>
        <v xml:space="preserve"> </v>
      </c>
      <c r="N200" s="16" t="str">
        <f t="shared" si="30"/>
        <v xml:space="preserve"> </v>
      </c>
      <c r="O200" s="16" t="str">
        <f t="shared" si="30"/>
        <v xml:space="preserve"> </v>
      </c>
      <c r="P200" s="16" t="str">
        <f t="shared" si="30"/>
        <v xml:space="preserve"> </v>
      </c>
      <c r="Q200" s="16" t="str">
        <f t="shared" si="30"/>
        <v xml:space="preserve"> </v>
      </c>
      <c r="R200" s="16" t="str">
        <f t="shared" si="30"/>
        <v xml:space="preserve"> </v>
      </c>
      <c r="S200" s="16" t="str">
        <f t="shared" si="30"/>
        <v xml:space="preserve"> </v>
      </c>
      <c r="T200" s="16" t="str">
        <f t="shared" si="30"/>
        <v xml:space="preserve"> </v>
      </c>
      <c r="U200" s="16" t="str">
        <f t="shared" si="30"/>
        <v xml:space="preserve"> </v>
      </c>
      <c r="V200" s="16" t="str">
        <f t="shared" si="30"/>
        <v xml:space="preserve"> </v>
      </c>
      <c r="W200" s="16" t="str">
        <f t="shared" si="30"/>
        <v xml:space="preserve"> </v>
      </c>
      <c r="X200" s="16" t="str">
        <f t="shared" si="30"/>
        <v xml:space="preserve"> </v>
      </c>
      <c r="Y200" s="16" t="str">
        <f t="shared" si="30"/>
        <v xml:space="preserve"> </v>
      </c>
      <c r="Z200" s="16" t="str">
        <f t="shared" si="30"/>
        <v xml:space="preserve"> </v>
      </c>
      <c r="AA200" s="16" t="str">
        <f t="shared" si="30"/>
        <v xml:space="preserve"> </v>
      </c>
      <c r="AB200" s="16" t="str">
        <f t="shared" si="29"/>
        <v xml:space="preserve"> </v>
      </c>
      <c r="AC200" s="16" t="str">
        <f t="shared" si="29"/>
        <v xml:space="preserve"> </v>
      </c>
      <c r="AD200" s="16" t="str">
        <f t="shared" si="29"/>
        <v xml:space="preserve"> </v>
      </c>
      <c r="AE200" s="16" t="str">
        <f t="shared" si="29"/>
        <v xml:space="preserve"> </v>
      </c>
    </row>
    <row r="201" spans="1:33" ht="15" customHeight="1" thickBot="1" x14ac:dyDescent="0.35">
      <c r="A201"/>
      <c r="B201"/>
      <c r="C201"/>
      <c r="D201"/>
      <c r="E201"/>
      <c r="F201"/>
      <c r="G201" s="36" t="e">
        <f>VLOOKUP(F201,Results!$E$31:$F$50,2,FALSE)</f>
        <v>#N/A</v>
      </c>
      <c r="H201" s="40"/>
      <c r="I201" s="39"/>
      <c r="K201" s="3">
        <f t="shared" si="31"/>
        <v>0</v>
      </c>
      <c r="L201" s="16" t="str">
        <f t="shared" si="30"/>
        <v xml:space="preserve"> </v>
      </c>
      <c r="M201" s="16" t="str">
        <f t="shared" si="30"/>
        <v xml:space="preserve"> </v>
      </c>
      <c r="N201" s="16" t="str">
        <f t="shared" si="30"/>
        <v xml:space="preserve"> </v>
      </c>
      <c r="O201" s="16" t="str">
        <f t="shared" si="30"/>
        <v xml:space="preserve"> </v>
      </c>
      <c r="P201" s="16" t="str">
        <f t="shared" si="30"/>
        <v xml:space="preserve"> </v>
      </c>
      <c r="Q201" s="16" t="str">
        <f t="shared" si="30"/>
        <v xml:space="preserve"> </v>
      </c>
      <c r="R201" s="16" t="str">
        <f t="shared" si="30"/>
        <v xml:space="preserve"> </v>
      </c>
      <c r="S201" s="16" t="str">
        <f t="shared" si="30"/>
        <v xml:space="preserve"> </v>
      </c>
      <c r="T201" s="16" t="str">
        <f t="shared" si="30"/>
        <v xml:space="preserve"> </v>
      </c>
      <c r="U201" s="16" t="str">
        <f t="shared" si="30"/>
        <v xml:space="preserve"> </v>
      </c>
      <c r="V201" s="16" t="str">
        <f t="shared" si="30"/>
        <v xml:space="preserve"> </v>
      </c>
      <c r="W201" s="16" t="str">
        <f t="shared" si="30"/>
        <v xml:space="preserve"> </v>
      </c>
      <c r="X201" s="16" t="str">
        <f t="shared" si="30"/>
        <v xml:space="preserve"> </v>
      </c>
      <c r="Y201" s="16" t="str">
        <f t="shared" si="30"/>
        <v xml:space="preserve"> </v>
      </c>
      <c r="Z201" s="16" t="str">
        <f t="shared" si="30"/>
        <v xml:space="preserve"> </v>
      </c>
      <c r="AA201" s="16" t="str">
        <f t="shared" si="30"/>
        <v xml:space="preserve"> </v>
      </c>
      <c r="AB201" s="16" t="str">
        <f t="shared" si="29"/>
        <v xml:space="preserve"> </v>
      </c>
      <c r="AC201" s="16" t="str">
        <f t="shared" si="29"/>
        <v xml:space="preserve"> </v>
      </c>
      <c r="AD201" s="16" t="str">
        <f t="shared" si="29"/>
        <v xml:space="preserve"> </v>
      </c>
      <c r="AE201" s="16" t="str">
        <f t="shared" si="29"/>
        <v xml:space="preserve"> </v>
      </c>
    </row>
    <row r="202" spans="1:33" ht="15" customHeight="1" thickBot="1" x14ac:dyDescent="0.35">
      <c r="A202"/>
      <c r="B202"/>
      <c r="C202"/>
      <c r="D202"/>
      <c r="E202"/>
      <c r="F202"/>
      <c r="G202" s="36" t="e">
        <f>VLOOKUP(F202,Results!$E$31:$F$50,2,FALSE)</f>
        <v>#N/A</v>
      </c>
      <c r="H202" s="40"/>
      <c r="I202" s="39"/>
      <c r="K202" s="3">
        <f t="shared" si="31"/>
        <v>0</v>
      </c>
      <c r="L202" s="16" t="str">
        <f t="shared" si="30"/>
        <v xml:space="preserve"> </v>
      </c>
      <c r="M202" s="16" t="str">
        <f t="shared" si="30"/>
        <v xml:space="preserve"> </v>
      </c>
      <c r="N202" s="16" t="str">
        <f t="shared" si="30"/>
        <v xml:space="preserve"> </v>
      </c>
      <c r="O202" s="16" t="str">
        <f t="shared" si="30"/>
        <v xml:space="preserve"> </v>
      </c>
      <c r="P202" s="16" t="str">
        <f t="shared" si="30"/>
        <v xml:space="preserve"> </v>
      </c>
      <c r="Q202" s="16" t="str">
        <f t="shared" si="30"/>
        <v xml:space="preserve"> </v>
      </c>
      <c r="R202" s="16" t="str">
        <f t="shared" si="30"/>
        <v xml:space="preserve"> </v>
      </c>
      <c r="S202" s="16" t="str">
        <f t="shared" si="30"/>
        <v xml:space="preserve"> </v>
      </c>
      <c r="T202" s="16" t="str">
        <f t="shared" si="30"/>
        <v xml:space="preserve"> </v>
      </c>
      <c r="U202" s="16" t="str">
        <f t="shared" si="30"/>
        <v xml:space="preserve"> </v>
      </c>
      <c r="V202" s="16" t="str">
        <f t="shared" si="30"/>
        <v xml:space="preserve"> </v>
      </c>
      <c r="W202" s="16" t="str">
        <f t="shared" si="30"/>
        <v xml:space="preserve"> </v>
      </c>
      <c r="X202" s="16" t="str">
        <f t="shared" si="30"/>
        <v xml:space="preserve"> </v>
      </c>
      <c r="Y202" s="16" t="str">
        <f t="shared" si="30"/>
        <v xml:space="preserve"> </v>
      </c>
      <c r="Z202" s="16" t="str">
        <f t="shared" si="30"/>
        <v xml:space="preserve"> </v>
      </c>
      <c r="AA202" s="16" t="str">
        <f t="shared" si="30"/>
        <v xml:space="preserve"> </v>
      </c>
      <c r="AB202" s="16" t="str">
        <f t="shared" si="29"/>
        <v xml:space="preserve"> </v>
      </c>
      <c r="AC202" s="16" t="str">
        <f t="shared" si="29"/>
        <v xml:space="preserve"> </v>
      </c>
      <c r="AD202" s="16" t="str">
        <f t="shared" si="29"/>
        <v xml:space="preserve"> </v>
      </c>
      <c r="AE202" s="16" t="str">
        <f t="shared" si="29"/>
        <v xml:space="preserve"> </v>
      </c>
    </row>
    <row r="203" spans="1:33" ht="15" customHeight="1" thickBot="1" x14ac:dyDescent="0.35">
      <c r="A203"/>
      <c r="B203"/>
      <c r="C203"/>
      <c r="D203"/>
      <c r="E203"/>
      <c r="F203"/>
      <c r="G203" s="36" t="e">
        <f>VLOOKUP(F203,Results!$E$31:$F$50,2,FALSE)</f>
        <v>#N/A</v>
      </c>
      <c r="H203" s="40"/>
      <c r="I203" s="39"/>
      <c r="K203" s="3">
        <f t="shared" si="31"/>
        <v>0</v>
      </c>
      <c r="L203" s="16" t="str">
        <f t="shared" si="30"/>
        <v xml:space="preserve"> </v>
      </c>
      <c r="M203" s="16" t="str">
        <f t="shared" si="30"/>
        <v xml:space="preserve"> </v>
      </c>
      <c r="N203" s="16" t="str">
        <f t="shared" si="30"/>
        <v xml:space="preserve"> </v>
      </c>
      <c r="O203" s="16" t="str">
        <f t="shared" si="30"/>
        <v xml:space="preserve"> </v>
      </c>
      <c r="P203" s="16" t="str">
        <f t="shared" si="30"/>
        <v xml:space="preserve"> </v>
      </c>
      <c r="Q203" s="16" t="str">
        <f t="shared" si="30"/>
        <v xml:space="preserve"> </v>
      </c>
      <c r="R203" s="16" t="str">
        <f t="shared" si="30"/>
        <v xml:space="preserve"> </v>
      </c>
      <c r="S203" s="16" t="str">
        <f t="shared" si="30"/>
        <v xml:space="preserve"> </v>
      </c>
      <c r="T203" s="16" t="str">
        <f t="shared" si="30"/>
        <v xml:space="preserve"> </v>
      </c>
      <c r="U203" s="16" t="str">
        <f t="shared" si="30"/>
        <v xml:space="preserve"> </v>
      </c>
      <c r="V203" s="16" t="str">
        <f t="shared" si="30"/>
        <v xml:space="preserve"> </v>
      </c>
      <c r="W203" s="16" t="str">
        <f t="shared" si="30"/>
        <v xml:space="preserve"> </v>
      </c>
      <c r="X203" s="16" t="str">
        <f t="shared" si="30"/>
        <v xml:space="preserve"> </v>
      </c>
      <c r="Y203" s="16" t="str">
        <f t="shared" si="30"/>
        <v xml:space="preserve"> </v>
      </c>
      <c r="Z203" s="16" t="str">
        <f t="shared" si="30"/>
        <v xml:space="preserve"> </v>
      </c>
      <c r="AA203" s="16" t="str">
        <f t="shared" si="30"/>
        <v xml:space="preserve"> </v>
      </c>
      <c r="AB203" s="16" t="str">
        <f t="shared" si="29"/>
        <v xml:space="preserve"> </v>
      </c>
      <c r="AC203" s="16" t="str">
        <f t="shared" si="29"/>
        <v xml:space="preserve"> </v>
      </c>
      <c r="AD203" s="16" t="str">
        <f t="shared" si="29"/>
        <v xml:space="preserve"> </v>
      </c>
      <c r="AE203" s="16" t="str">
        <f t="shared" si="29"/>
        <v xml:space="preserve"> </v>
      </c>
    </row>
    <row r="204" spans="1:33" ht="15" customHeight="1" thickBot="1" x14ac:dyDescent="0.35">
      <c r="A204"/>
      <c r="B204"/>
      <c r="C204"/>
      <c r="D204"/>
      <c r="E204"/>
      <c r="F204"/>
      <c r="G204" s="36" t="e">
        <f>VLOOKUP(F204,Results!$E$31:$F$50,2,FALSE)</f>
        <v>#N/A</v>
      </c>
      <c r="H204" s="40"/>
      <c r="I204" s="39"/>
      <c r="K204" s="3">
        <f t="shared" si="31"/>
        <v>0</v>
      </c>
      <c r="L204" s="16" t="str">
        <f t="shared" si="30"/>
        <v xml:space="preserve"> </v>
      </c>
      <c r="M204" s="16" t="str">
        <f t="shared" si="30"/>
        <v xml:space="preserve"> </v>
      </c>
      <c r="N204" s="16" t="str">
        <f t="shared" si="30"/>
        <v xml:space="preserve"> </v>
      </c>
      <c r="O204" s="16" t="str">
        <f t="shared" si="30"/>
        <v xml:space="preserve"> </v>
      </c>
      <c r="P204" s="16" t="str">
        <f t="shared" si="30"/>
        <v xml:space="preserve"> </v>
      </c>
      <c r="Q204" s="16" t="str">
        <f t="shared" si="30"/>
        <v xml:space="preserve"> </v>
      </c>
      <c r="R204" s="16" t="str">
        <f t="shared" si="30"/>
        <v xml:space="preserve"> </v>
      </c>
      <c r="S204" s="16" t="str">
        <f t="shared" si="30"/>
        <v xml:space="preserve"> </v>
      </c>
      <c r="T204" s="16" t="str">
        <f t="shared" si="30"/>
        <v xml:space="preserve"> </v>
      </c>
      <c r="U204" s="16" t="str">
        <f t="shared" si="30"/>
        <v xml:space="preserve"> </v>
      </c>
      <c r="V204" s="16" t="str">
        <f t="shared" si="30"/>
        <v xml:space="preserve"> </v>
      </c>
      <c r="W204" s="16" t="str">
        <f t="shared" si="30"/>
        <v xml:space="preserve"> </v>
      </c>
      <c r="X204" s="16" t="str">
        <f t="shared" si="30"/>
        <v xml:space="preserve"> </v>
      </c>
      <c r="Y204" s="16" t="str">
        <f t="shared" si="30"/>
        <v xml:space="preserve"> </v>
      </c>
      <c r="Z204" s="16" t="str">
        <f t="shared" si="30"/>
        <v xml:space="preserve"> </v>
      </c>
      <c r="AA204" s="16" t="str">
        <f t="shared" si="30"/>
        <v xml:space="preserve"> </v>
      </c>
      <c r="AB204" s="16" t="str">
        <f t="shared" si="29"/>
        <v xml:space="preserve"> </v>
      </c>
      <c r="AC204" s="16" t="str">
        <f t="shared" si="29"/>
        <v xml:space="preserve"> </v>
      </c>
      <c r="AD204" s="16" t="str">
        <f t="shared" si="29"/>
        <v xml:space="preserve"> </v>
      </c>
      <c r="AE204" s="16" t="str">
        <f t="shared" si="29"/>
        <v xml:space="preserve"> </v>
      </c>
    </row>
    <row r="205" spans="1:33" ht="15" customHeight="1" thickTop="1" x14ac:dyDescent="0.3">
      <c r="A205" s="48"/>
      <c r="B205" s="48"/>
      <c r="C205" s="48"/>
      <c r="D205" s="48"/>
      <c r="E205" s="48"/>
      <c r="F205" s="60"/>
      <c r="G205" s="49"/>
      <c r="H205" s="49"/>
      <c r="I205" s="50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  <c r="AA205" s="14"/>
      <c r="AB205" s="14"/>
      <c r="AC205" s="14"/>
      <c r="AD205" s="14"/>
      <c r="AE205" s="14"/>
      <c r="AF205" s="15"/>
      <c r="AG205" s="15"/>
    </row>
    <row r="206" spans="1:33" ht="15" customHeight="1" x14ac:dyDescent="0.3">
      <c r="A206" s="36"/>
      <c r="B206" s="36"/>
      <c r="C206" s="36"/>
      <c r="D206" s="36"/>
      <c r="E206" s="36"/>
      <c r="F206" s="61"/>
      <c r="G206" s="41"/>
      <c r="H206" s="41"/>
      <c r="I206" s="42"/>
      <c r="L206" s="15"/>
      <c r="M206" s="15"/>
      <c r="N206" s="15"/>
      <c r="O206" s="15"/>
      <c r="P206" s="15"/>
      <c r="Q206" s="15"/>
      <c r="R206" s="15"/>
      <c r="S206" s="6"/>
      <c r="T206" s="6"/>
      <c r="U206" s="6"/>
      <c r="V206" s="6"/>
      <c r="W206" s="6"/>
      <c r="X206" s="6"/>
      <c r="Y206" s="6"/>
      <c r="Z206" s="15"/>
      <c r="AA206" s="15"/>
      <c r="AB206" s="15"/>
      <c r="AC206" s="15"/>
      <c r="AD206" s="15"/>
      <c r="AE206" s="15"/>
      <c r="AF206" s="15"/>
      <c r="AG206" s="15"/>
    </row>
    <row r="207" spans="1:33" ht="15" customHeight="1" x14ac:dyDescent="0.3">
      <c r="A207" s="36"/>
      <c r="B207" s="36"/>
      <c r="C207" s="36"/>
      <c r="D207" s="36"/>
      <c r="E207" s="36"/>
      <c r="F207" s="61"/>
      <c r="G207" s="41"/>
      <c r="H207" s="41"/>
      <c r="I207" s="42"/>
      <c r="L207" s="15"/>
      <c r="M207" s="15"/>
      <c r="N207" s="15"/>
      <c r="O207" s="15"/>
      <c r="P207" s="15"/>
      <c r="Q207" s="15"/>
      <c r="R207" s="15"/>
      <c r="S207" s="6"/>
      <c r="T207" s="6"/>
      <c r="U207" s="6"/>
      <c r="V207" s="6"/>
      <c r="W207" s="6"/>
      <c r="X207" s="6"/>
      <c r="Y207" s="6"/>
      <c r="Z207" s="15"/>
      <c r="AA207" s="15"/>
      <c r="AB207" s="15"/>
      <c r="AC207" s="15"/>
      <c r="AD207" s="15"/>
      <c r="AE207" s="15"/>
      <c r="AF207" s="15"/>
      <c r="AG207" s="15"/>
    </row>
    <row r="208" spans="1:33" ht="15" customHeight="1" x14ac:dyDescent="0.3">
      <c r="A208" s="36"/>
      <c r="B208" s="36"/>
      <c r="C208" s="36"/>
      <c r="D208" s="36"/>
      <c r="E208" s="36"/>
      <c r="F208" s="61"/>
      <c r="G208" s="41"/>
      <c r="H208" s="41"/>
      <c r="I208" s="42"/>
      <c r="L208" s="15"/>
      <c r="M208" s="15"/>
      <c r="N208" s="15"/>
      <c r="O208" s="15"/>
      <c r="P208" s="15"/>
      <c r="Q208" s="15"/>
      <c r="R208" s="15"/>
      <c r="S208" s="6"/>
      <c r="T208" s="6"/>
      <c r="U208" s="6"/>
      <c r="V208" s="6"/>
      <c r="W208" s="6"/>
      <c r="X208" s="6"/>
      <c r="Y208" s="6"/>
      <c r="Z208" s="15"/>
      <c r="AA208" s="15"/>
      <c r="AB208" s="15"/>
      <c r="AC208" s="15"/>
      <c r="AD208" s="15"/>
      <c r="AE208" s="15"/>
      <c r="AF208" s="15"/>
      <c r="AG208" s="15"/>
    </row>
    <row r="209" spans="1:9" ht="15" customHeight="1" x14ac:dyDescent="0.3">
      <c r="A209" s="36"/>
      <c r="B209" s="36"/>
      <c r="C209" s="36"/>
      <c r="D209" s="36"/>
      <c r="E209" s="36"/>
      <c r="F209" s="61"/>
      <c r="G209" s="41"/>
      <c r="H209" s="41"/>
      <c r="I209" s="42"/>
    </row>
    <row r="210" spans="1:9" ht="15" customHeight="1" x14ac:dyDescent="0.3">
      <c r="A210" s="36"/>
      <c r="B210" s="36"/>
      <c r="C210" s="36"/>
      <c r="D210" s="36"/>
      <c r="E210" s="36"/>
      <c r="F210" s="61"/>
      <c r="G210" s="41"/>
      <c r="H210" s="41"/>
      <c r="I210" s="42"/>
    </row>
    <row r="211" spans="1:9" ht="15" customHeight="1" x14ac:dyDescent="0.3">
      <c r="A211" s="36"/>
      <c r="B211" s="36"/>
      <c r="C211" s="36"/>
      <c r="D211" s="36"/>
      <c r="E211" s="36"/>
      <c r="F211" s="61"/>
      <c r="G211" s="41"/>
      <c r="H211" s="41"/>
      <c r="I211" s="42"/>
    </row>
    <row r="212" spans="1:9" ht="15" customHeight="1" x14ac:dyDescent="0.3">
      <c r="A212" s="36"/>
      <c r="B212" s="36"/>
      <c r="C212" s="36"/>
      <c r="D212" s="36"/>
      <c r="E212" s="36"/>
      <c r="F212" s="61"/>
      <c r="G212" s="41"/>
      <c r="H212" s="41"/>
      <c r="I212" s="42"/>
    </row>
    <row r="213" spans="1:9" ht="15" customHeight="1" x14ac:dyDescent="0.3">
      <c r="A213" s="36"/>
      <c r="B213" s="36"/>
      <c r="C213" s="36"/>
      <c r="D213" s="36"/>
      <c r="E213" s="36"/>
      <c r="F213" s="61"/>
      <c r="G213" s="41"/>
      <c r="H213" s="41"/>
      <c r="I213" s="42"/>
    </row>
    <row r="214" spans="1:9" ht="15" customHeight="1" x14ac:dyDescent="0.3">
      <c r="A214" s="36"/>
      <c r="B214" s="36"/>
      <c r="C214" s="36"/>
      <c r="D214" s="36"/>
      <c r="E214" s="36"/>
      <c r="F214" s="61"/>
      <c r="G214" s="41"/>
      <c r="H214" s="41"/>
      <c r="I214" s="42"/>
    </row>
    <row r="215" spans="1:9" ht="15" customHeight="1" x14ac:dyDescent="0.3">
      <c r="A215" s="36"/>
      <c r="B215" s="36"/>
      <c r="C215" s="36"/>
      <c r="D215" s="36"/>
      <c r="E215" s="36"/>
      <c r="F215" s="61"/>
      <c r="G215" s="41"/>
      <c r="H215" s="41"/>
      <c r="I215" s="42"/>
    </row>
    <row r="216" spans="1:9" ht="15" customHeight="1" x14ac:dyDescent="0.3">
      <c r="A216"/>
      <c r="B216"/>
      <c r="C216"/>
      <c r="D216"/>
      <c r="E216"/>
    </row>
    <row r="217" spans="1:9" ht="15" customHeight="1" x14ac:dyDescent="0.3">
      <c r="D217"/>
      <c r="E217" s="7" t="s">
        <v>19</v>
      </c>
      <c r="F217" s="57"/>
    </row>
    <row r="218" spans="1:9" ht="15" customHeight="1" x14ac:dyDescent="0.3">
      <c r="D218"/>
      <c r="E218">
        <v>1</v>
      </c>
      <c r="F218" s="57"/>
    </row>
    <row r="219" spans="1:9" ht="15" customHeight="1" x14ac:dyDescent="0.3">
      <c r="D219"/>
      <c r="E219">
        <v>2</v>
      </c>
      <c r="F219" s="57"/>
    </row>
    <row r="220" spans="1:9" ht="15" customHeight="1" x14ac:dyDescent="0.3">
      <c r="D220"/>
      <c r="E220">
        <v>3</v>
      </c>
      <c r="F220" s="57"/>
    </row>
    <row r="221" spans="1:9" ht="15" customHeight="1" x14ac:dyDescent="0.3">
      <c r="D221"/>
      <c r="E221">
        <v>4</v>
      </c>
      <c r="F221" s="57"/>
    </row>
    <row r="222" spans="1:9" ht="15" customHeight="1" x14ac:dyDescent="0.3">
      <c r="D222"/>
      <c r="E222">
        <v>5</v>
      </c>
      <c r="F222" s="57"/>
    </row>
    <row r="223" spans="1:9" ht="15" customHeight="1" x14ac:dyDescent="0.3">
      <c r="D223"/>
      <c r="E223">
        <v>6</v>
      </c>
      <c r="F223" s="57"/>
    </row>
    <row r="224" spans="1:9" ht="15" customHeight="1" x14ac:dyDescent="0.3">
      <c r="D224"/>
      <c r="E224">
        <v>7</v>
      </c>
      <c r="F224" s="57"/>
    </row>
    <row r="225" spans="1:6" ht="15" customHeight="1" x14ac:dyDescent="0.3">
      <c r="D225"/>
      <c r="E225">
        <v>8</v>
      </c>
      <c r="F225" s="57"/>
    </row>
    <row r="226" spans="1:6" ht="15" customHeight="1" x14ac:dyDescent="0.3">
      <c r="E226">
        <v>9</v>
      </c>
      <c r="F226" s="57"/>
    </row>
    <row r="227" spans="1:6" ht="15" customHeight="1" x14ac:dyDescent="0.3">
      <c r="E227">
        <v>10</v>
      </c>
      <c r="F227" s="57"/>
    </row>
    <row r="228" spans="1:6" ht="15" customHeight="1" x14ac:dyDescent="0.3">
      <c r="D228"/>
      <c r="E228">
        <v>11</v>
      </c>
      <c r="F228" s="57"/>
    </row>
    <row r="229" spans="1:6" ht="15" customHeight="1" x14ac:dyDescent="0.3">
      <c r="D229"/>
      <c r="E229">
        <v>12</v>
      </c>
      <c r="F229" s="57"/>
    </row>
    <row r="230" spans="1:6" ht="15" customHeight="1" x14ac:dyDescent="0.3">
      <c r="D230"/>
      <c r="E230"/>
    </row>
    <row r="231" spans="1:6" ht="15" customHeight="1" x14ac:dyDescent="0.3">
      <c r="D231"/>
      <c r="E231"/>
    </row>
    <row r="232" spans="1:6" ht="15" customHeight="1" x14ac:dyDescent="0.3">
      <c r="D232"/>
      <c r="E232"/>
    </row>
    <row r="233" spans="1:6" ht="15" customHeight="1" x14ac:dyDescent="0.3">
      <c r="D233"/>
      <c r="E233"/>
    </row>
    <row r="234" spans="1:6" ht="15" customHeight="1" x14ac:dyDescent="0.3">
      <c r="D234"/>
      <c r="E234"/>
    </row>
    <row r="235" spans="1:6" ht="15" customHeight="1" x14ac:dyDescent="0.3">
      <c r="D235"/>
      <c r="E235"/>
    </row>
    <row r="236" spans="1:6" ht="15" customHeight="1" x14ac:dyDescent="0.3">
      <c r="D236"/>
      <c r="E236"/>
    </row>
    <row r="237" spans="1:6" ht="15" customHeight="1" x14ac:dyDescent="0.3">
      <c r="D237"/>
      <c r="E237"/>
    </row>
    <row r="238" spans="1:6" ht="15" customHeight="1" x14ac:dyDescent="0.3">
      <c r="A238" s="9"/>
      <c r="D238"/>
      <c r="E238"/>
    </row>
    <row r="239" spans="1:6" ht="15" customHeight="1" x14ac:dyDescent="0.3">
      <c r="A239"/>
      <c r="D239"/>
      <c r="E239"/>
    </row>
    <row r="240" spans="1:6" ht="15" customHeight="1" x14ac:dyDescent="0.3">
      <c r="A240"/>
      <c r="D240"/>
      <c r="E240"/>
    </row>
    <row r="241" spans="1:5" ht="15" customHeight="1" x14ac:dyDescent="0.3">
      <c r="A241"/>
      <c r="D241"/>
      <c r="E241"/>
    </row>
    <row r="242" spans="1:5" ht="15" customHeight="1" x14ac:dyDescent="0.3">
      <c r="A242"/>
      <c r="D242"/>
      <c r="E242"/>
    </row>
    <row r="243" spans="1:5" ht="15" customHeight="1" x14ac:dyDescent="0.3">
      <c r="A243"/>
      <c r="B243"/>
      <c r="C243"/>
      <c r="D243"/>
      <c r="E243"/>
    </row>
    <row r="244" spans="1:5" ht="15" customHeight="1" x14ac:dyDescent="0.3">
      <c r="A244"/>
      <c r="B244"/>
      <c r="C244"/>
      <c r="D244"/>
      <c r="E244"/>
    </row>
    <row r="245" spans="1:5" ht="15" customHeight="1" x14ac:dyDescent="0.3">
      <c r="A245"/>
      <c r="B245"/>
      <c r="C245"/>
      <c r="D245"/>
      <c r="E245"/>
    </row>
    <row r="246" spans="1:5" ht="15" customHeight="1" x14ac:dyDescent="0.3">
      <c r="A246"/>
      <c r="B246"/>
      <c r="C246"/>
      <c r="D246"/>
      <c r="E246"/>
    </row>
    <row r="247" spans="1:5" ht="15" customHeight="1" x14ac:dyDescent="0.3">
      <c r="A247"/>
      <c r="B247"/>
      <c r="C247"/>
      <c r="D247"/>
      <c r="E247"/>
    </row>
    <row r="248" spans="1:5" ht="15" customHeight="1" x14ac:dyDescent="0.3">
      <c r="A248"/>
      <c r="B248"/>
      <c r="C248"/>
      <c r="D248"/>
      <c r="E248"/>
    </row>
    <row r="249" spans="1:5" ht="15" customHeight="1" x14ac:dyDescent="0.3">
      <c r="A249"/>
      <c r="B249"/>
      <c r="C249"/>
      <c r="D249"/>
      <c r="E249"/>
    </row>
    <row r="250" spans="1:5" ht="15" customHeight="1" x14ac:dyDescent="0.3">
      <c r="A250"/>
      <c r="B250" s="6"/>
      <c r="C250"/>
      <c r="D250"/>
      <c r="E250"/>
    </row>
    <row r="251" spans="1:5" ht="15" customHeight="1" x14ac:dyDescent="0.3">
      <c r="A251"/>
      <c r="B251"/>
      <c r="C251"/>
      <c r="D251"/>
      <c r="E251"/>
    </row>
    <row r="252" spans="1:5" ht="15" customHeight="1" x14ac:dyDescent="0.3">
      <c r="A252"/>
      <c r="B252"/>
      <c r="C252"/>
      <c r="D252"/>
      <c r="E252"/>
    </row>
    <row r="253" spans="1:5" ht="15" customHeight="1" x14ac:dyDescent="0.3">
      <c r="A253"/>
      <c r="B253"/>
      <c r="C253"/>
      <c r="D253"/>
      <c r="E253"/>
    </row>
    <row r="254" spans="1:5" ht="15" customHeight="1" x14ac:dyDescent="0.3">
      <c r="A254"/>
      <c r="B254"/>
      <c r="C254"/>
      <c r="D254"/>
      <c r="E254"/>
    </row>
    <row r="255" spans="1:5" ht="15" customHeight="1" x14ac:dyDescent="0.3">
      <c r="A255"/>
      <c r="B255"/>
      <c r="C255"/>
      <c r="D255"/>
      <c r="E255"/>
    </row>
    <row r="256" spans="1:5" ht="15" customHeight="1" x14ac:dyDescent="0.3">
      <c r="A256"/>
      <c r="B256"/>
      <c r="C256"/>
      <c r="D256"/>
      <c r="E256"/>
    </row>
    <row r="258" spans="1:5" ht="15" customHeight="1" x14ac:dyDescent="0.3">
      <c r="A258"/>
      <c r="B258"/>
      <c r="C258"/>
      <c r="D258"/>
      <c r="E258"/>
    </row>
    <row r="260" spans="1:5" ht="15" customHeight="1" x14ac:dyDescent="0.3">
      <c r="A260"/>
      <c r="B260"/>
      <c r="C260"/>
      <c r="D260"/>
      <c r="E260"/>
    </row>
  </sheetData>
  <conditionalFormatting sqref="A1:A4 A205:A1048576">
    <cfRule type="duplicateValues" dxfId="4" priority="4"/>
  </conditionalFormatting>
  <conditionalFormatting sqref="A1:A4 A205:A1048576">
    <cfRule type="duplicateValues" dxfId="3" priority="3"/>
  </conditionalFormatting>
  <conditionalFormatting sqref="D1:D4 D205:D1048576">
    <cfRule type="duplicateValues" dxfId="2" priority="1"/>
  </conditionalFormatting>
  <pageMargins left="0.75" right="0.75" top="1" bottom="1" header="0.5" footer="0.5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V568"/>
  <sheetViews>
    <sheetView topLeftCell="A89" workbookViewId="0">
      <selection activeCell="A3" sqref="A3:E126"/>
    </sheetView>
  </sheetViews>
  <sheetFormatPr defaultRowHeight="14.4" x14ac:dyDescent="0.3"/>
  <cols>
    <col min="1" max="1" width="55" style="36" customWidth="1"/>
    <col min="2" max="2" width="71.109375" style="36" bestFit="1" customWidth="1"/>
    <col min="3" max="4" width="22.33203125" style="36" bestFit="1" customWidth="1"/>
    <col min="5" max="5" width="12" style="63" bestFit="1" customWidth="1"/>
    <col min="6" max="6" width="12" customWidth="1"/>
    <col min="7" max="7" width="22.5546875" customWidth="1"/>
    <col min="8" max="8" width="14.109375" bestFit="1" customWidth="1"/>
    <col min="10" max="10" width="19.88671875" bestFit="1" customWidth="1"/>
    <col min="16" max="16" width="14.44140625" bestFit="1" customWidth="1"/>
    <col min="17" max="17" width="12.33203125" bestFit="1" customWidth="1"/>
    <col min="18" max="18" width="12.44140625" bestFit="1" customWidth="1"/>
    <col min="19" max="19" width="14" bestFit="1" customWidth="1"/>
    <col min="20" max="20" width="13.109375" bestFit="1" customWidth="1"/>
    <col min="21" max="21" width="10.44140625" bestFit="1" customWidth="1"/>
    <col min="22" max="22" width="14.44140625" bestFit="1" customWidth="1"/>
  </cols>
  <sheetData>
    <row r="1" spans="1:22" ht="15" customHeight="1" x14ac:dyDescent="0.3">
      <c r="A1" s="33" t="s">
        <v>0</v>
      </c>
      <c r="B1" s="34" t="s">
        <v>1</v>
      </c>
      <c r="C1" s="34" t="s">
        <v>2</v>
      </c>
      <c r="D1" s="34" t="s">
        <v>3</v>
      </c>
      <c r="E1" s="35" t="s">
        <v>4</v>
      </c>
      <c r="F1" s="64" t="s">
        <v>14</v>
      </c>
      <c r="G1" s="64" t="s">
        <v>5</v>
      </c>
      <c r="H1" s="64" t="s">
        <v>6</v>
      </c>
      <c r="I1" s="64" t="s">
        <v>21</v>
      </c>
      <c r="J1" s="65" t="s">
        <v>26</v>
      </c>
      <c r="P1" s="8" t="s">
        <v>22</v>
      </c>
    </row>
    <row r="2" spans="1:22" ht="15.6" x14ac:dyDescent="0.3">
      <c r="A2"/>
      <c r="B2"/>
      <c r="C2"/>
      <c r="D2"/>
      <c r="E2"/>
      <c r="F2" s="66" t="e">
        <f>IF('Dupe Controller'!A2="Dupe", 'Account Dump'!F1, VLOOKUP(B2, Distribution!B:F, 5, FALSE))</f>
        <v>#N/A</v>
      </c>
      <c r="G2" s="67" t="e">
        <f>VLOOKUP(F2,Results!$E$31:$F$50,2,FALSE)</f>
        <v>#N/A</v>
      </c>
      <c r="H2" s="68">
        <v>43278</v>
      </c>
      <c r="I2" s="69">
        <f t="shared" ref="I2:I33" si="0">IF(D2=D1,1, 0)</f>
        <v>0</v>
      </c>
      <c r="J2" s="67" t="e">
        <f>VLOOKUP(G2,Results!$F$31:$G$38,2,FALSE)</f>
        <v>#N/A</v>
      </c>
      <c r="P2" s="2" t="e">
        <f>Results!#REF!</f>
        <v>#REF!</v>
      </c>
      <c r="Q2" s="2" t="str">
        <f>Results!F32</f>
        <v>Chase Rodgers</v>
      </c>
      <c r="R2" s="2" t="str">
        <f>Results!F33</f>
        <v>Eric Heringer</v>
      </c>
      <c r="S2" s="2" t="str">
        <f>Results!F34</f>
        <v>John Jones</v>
      </c>
      <c r="T2" s="2" t="str">
        <f>Results!F35</f>
        <v>Jackson Bailey</v>
      </c>
      <c r="U2" s="2" t="str">
        <f>Results!F36</f>
        <v>Kyle Ostrow</v>
      </c>
      <c r="V2" s="2" t="str">
        <f>Results!F37</f>
        <v>Ryan Holligan</v>
      </c>
    </row>
    <row r="3" spans="1:22" x14ac:dyDescent="0.3">
      <c r="A3"/>
      <c r="B3"/>
      <c r="C3"/>
      <c r="D3"/>
      <c r="E3"/>
      <c r="F3" s="66" t="e">
        <f>IF('Dupe Controller'!A3="Dupe", 'Account Dump'!F2, VLOOKUP(B3, Distribution!B:F, 5, FALSE))</f>
        <v>#N/A</v>
      </c>
      <c r="G3" s="67" t="e">
        <f>VLOOKUP(F3,Results!$E$31:$F$50,2,FALSE)</f>
        <v>#N/A</v>
      </c>
      <c r="H3" s="68">
        <v>43278</v>
      </c>
      <c r="I3" s="69">
        <f t="shared" si="0"/>
        <v>1</v>
      </c>
      <c r="J3" s="67" t="e">
        <f>VLOOKUP(G3,Results!$F$31:$G$38,2,FALSE)</f>
        <v>#N/A</v>
      </c>
    </row>
    <row r="4" spans="1:22" x14ac:dyDescent="0.3">
      <c r="A4"/>
      <c r="B4"/>
      <c r="C4"/>
      <c r="D4"/>
      <c r="E4"/>
      <c r="F4" s="66" t="e">
        <f>IF('Dupe Controller'!A4="Dupe", 'Account Dump'!F3, VLOOKUP(B4, Distribution!B:F, 5, FALSE))</f>
        <v>#N/A</v>
      </c>
      <c r="G4" s="67" t="e">
        <f>VLOOKUP(F4,Results!$E$31:$F$50,2,FALSE)</f>
        <v>#N/A</v>
      </c>
      <c r="H4" s="68">
        <v>43278</v>
      </c>
      <c r="I4" s="69">
        <f t="shared" si="0"/>
        <v>1</v>
      </c>
      <c r="J4" s="67" t="e">
        <f>VLOOKUP(G4,Results!$F$31:$G$38,2,FALSE)</f>
        <v>#N/A</v>
      </c>
    </row>
    <row r="5" spans="1:22" x14ac:dyDescent="0.3">
      <c r="A5"/>
      <c r="B5"/>
      <c r="C5"/>
      <c r="D5"/>
      <c r="E5"/>
      <c r="F5" s="66" t="e">
        <f>IF('Dupe Controller'!A5="Dupe", 'Account Dump'!F4, VLOOKUP(B5, Distribution!B:F, 5, FALSE))</f>
        <v>#N/A</v>
      </c>
      <c r="G5" s="67" t="e">
        <f>VLOOKUP(F5,Results!$E$31:$F$50,2,FALSE)</f>
        <v>#N/A</v>
      </c>
      <c r="H5" s="68">
        <v>43278</v>
      </c>
      <c r="I5" s="69">
        <f t="shared" si="0"/>
        <v>1</v>
      </c>
      <c r="J5" s="67" t="e">
        <f>VLOOKUP(G5,Results!$F$31:$G$38,2,FALSE)</f>
        <v>#N/A</v>
      </c>
    </row>
    <row r="6" spans="1:22" x14ac:dyDescent="0.3">
      <c r="A6"/>
      <c r="B6"/>
      <c r="C6"/>
      <c r="D6"/>
      <c r="E6"/>
      <c r="F6" s="66" t="e">
        <f>IF('Dupe Controller'!A6="Dupe", 'Account Dump'!F5, VLOOKUP(B6, Distribution!B:F, 5, FALSE))</f>
        <v>#N/A</v>
      </c>
      <c r="G6" s="67" t="e">
        <f>VLOOKUP(F6,Results!$E$31:$F$50,2,FALSE)</f>
        <v>#N/A</v>
      </c>
      <c r="H6" s="68">
        <v>43278</v>
      </c>
      <c r="I6" s="69">
        <f t="shared" si="0"/>
        <v>1</v>
      </c>
      <c r="J6" s="67" t="e">
        <f>VLOOKUP(G6,Results!$F$31:$G$38,2,FALSE)</f>
        <v>#N/A</v>
      </c>
    </row>
    <row r="7" spans="1:22" x14ac:dyDescent="0.3">
      <c r="A7"/>
      <c r="B7"/>
      <c r="C7"/>
      <c r="D7"/>
      <c r="E7"/>
      <c r="F7" s="66" t="e">
        <f>IF('Dupe Controller'!A7="Dupe", 'Account Dump'!F6, VLOOKUP(B7, Distribution!B:F, 5, FALSE))</f>
        <v>#N/A</v>
      </c>
      <c r="G7" s="67" t="e">
        <f>VLOOKUP(F7,Results!$E$31:$F$50,2,FALSE)</f>
        <v>#N/A</v>
      </c>
      <c r="H7" s="68">
        <v>43278</v>
      </c>
      <c r="I7" s="69">
        <f t="shared" si="0"/>
        <v>1</v>
      </c>
      <c r="J7" s="67" t="e">
        <f>VLOOKUP(G7,Results!$F$31:$G$38,2,FALSE)</f>
        <v>#N/A</v>
      </c>
    </row>
    <row r="8" spans="1:22" x14ac:dyDescent="0.3">
      <c r="A8"/>
      <c r="B8"/>
      <c r="C8"/>
      <c r="D8"/>
      <c r="E8"/>
      <c r="F8" s="66" t="e">
        <f>IF('Dupe Controller'!A8="Dupe", 'Account Dump'!F7, VLOOKUP(B8, Distribution!B:F, 5, FALSE))</f>
        <v>#N/A</v>
      </c>
      <c r="G8" s="67" t="e">
        <f>VLOOKUP(F8,Results!$E$31:$F$50,2,FALSE)</f>
        <v>#N/A</v>
      </c>
      <c r="H8" s="68">
        <v>43278</v>
      </c>
      <c r="I8" s="69">
        <f t="shared" si="0"/>
        <v>1</v>
      </c>
      <c r="J8" s="67" t="e">
        <f>VLOOKUP(G8,Results!$F$31:$G$38,2,FALSE)</f>
        <v>#N/A</v>
      </c>
    </row>
    <row r="9" spans="1:22" x14ac:dyDescent="0.3">
      <c r="A9"/>
      <c r="B9"/>
      <c r="C9"/>
      <c r="D9"/>
      <c r="E9"/>
      <c r="F9" s="66" t="e">
        <f>IF('Dupe Controller'!A9="Dupe", 'Account Dump'!F8, VLOOKUP(B9, Distribution!B:F, 5, FALSE))</f>
        <v>#N/A</v>
      </c>
      <c r="G9" s="67" t="e">
        <f>VLOOKUP(F9,Results!$E$31:$F$50,2,FALSE)</f>
        <v>#N/A</v>
      </c>
      <c r="H9" s="68">
        <v>43278</v>
      </c>
      <c r="I9" s="69">
        <f t="shared" si="0"/>
        <v>1</v>
      </c>
      <c r="J9" s="67" t="e">
        <f>VLOOKUP(G9,Results!$F$31:$G$38,2,FALSE)</f>
        <v>#N/A</v>
      </c>
    </row>
    <row r="10" spans="1:22" x14ac:dyDescent="0.3">
      <c r="A10"/>
      <c r="B10"/>
      <c r="C10"/>
      <c r="D10"/>
      <c r="E10"/>
      <c r="F10" s="66" t="e">
        <f>IF('Dupe Controller'!A10="Dupe", 'Account Dump'!F9, VLOOKUP(B10, Distribution!B:F, 5, FALSE))</f>
        <v>#N/A</v>
      </c>
      <c r="G10" s="67" t="e">
        <f>VLOOKUP(F10,Results!$E$31:$F$50,2,FALSE)</f>
        <v>#N/A</v>
      </c>
      <c r="H10" s="68">
        <v>43278</v>
      </c>
      <c r="I10" s="69">
        <f t="shared" si="0"/>
        <v>1</v>
      </c>
      <c r="J10" s="67" t="e">
        <f>VLOOKUP(G10,Results!$F$31:$G$38,2,FALSE)</f>
        <v>#N/A</v>
      </c>
    </row>
    <row r="11" spans="1:22" x14ac:dyDescent="0.3">
      <c r="A11"/>
      <c r="B11"/>
      <c r="C11"/>
      <c r="D11"/>
      <c r="E11"/>
      <c r="F11" s="66" t="e">
        <f>IF('Dupe Controller'!A11="Dupe", 'Account Dump'!F10, VLOOKUP(B11, Distribution!B:F, 5, FALSE))</f>
        <v>#N/A</v>
      </c>
      <c r="G11" s="67" t="e">
        <f>VLOOKUP(F11,Results!$E$31:$F$50,2,FALSE)</f>
        <v>#N/A</v>
      </c>
      <c r="H11" s="68">
        <v>43278</v>
      </c>
      <c r="I11" s="69">
        <f t="shared" si="0"/>
        <v>1</v>
      </c>
      <c r="J11" s="67" t="e">
        <f>VLOOKUP(G11,Results!$F$31:$G$38,2,FALSE)</f>
        <v>#N/A</v>
      </c>
    </row>
    <row r="12" spans="1:22" x14ac:dyDescent="0.3">
      <c r="A12"/>
      <c r="B12"/>
      <c r="C12"/>
      <c r="D12"/>
      <c r="E12"/>
      <c r="F12" s="66" t="e">
        <f>IF('Dupe Controller'!A12="Dupe", 'Account Dump'!F11, VLOOKUP(B12, Distribution!B:F, 5, FALSE))</f>
        <v>#N/A</v>
      </c>
      <c r="G12" s="67" t="e">
        <f>VLOOKUP(F12,Results!$E$31:$F$50,2,FALSE)</f>
        <v>#N/A</v>
      </c>
      <c r="H12" s="68">
        <v>43278</v>
      </c>
      <c r="I12" s="69">
        <f t="shared" si="0"/>
        <v>1</v>
      </c>
      <c r="J12" s="67" t="e">
        <f>VLOOKUP(G12,Results!$F$31:$G$38,2,FALSE)</f>
        <v>#N/A</v>
      </c>
    </row>
    <row r="13" spans="1:22" x14ac:dyDescent="0.3">
      <c r="A13"/>
      <c r="B13"/>
      <c r="C13"/>
      <c r="D13"/>
      <c r="E13"/>
      <c r="F13" s="66" t="e">
        <f>IF('Dupe Controller'!A13="Dupe", 'Account Dump'!F12, VLOOKUP(B13, Distribution!B:F, 5, FALSE))</f>
        <v>#N/A</v>
      </c>
      <c r="G13" s="67" t="e">
        <f>VLOOKUP(F13,Results!$E$31:$F$50,2,FALSE)</f>
        <v>#N/A</v>
      </c>
      <c r="H13" s="68">
        <v>43278</v>
      </c>
      <c r="I13" s="69">
        <f t="shared" si="0"/>
        <v>1</v>
      </c>
      <c r="J13" s="67" t="e">
        <f>VLOOKUP(G13,Results!$F$31:$G$38,2,FALSE)</f>
        <v>#N/A</v>
      </c>
    </row>
    <row r="14" spans="1:22" x14ac:dyDescent="0.3">
      <c r="A14"/>
      <c r="B14"/>
      <c r="C14"/>
      <c r="D14"/>
      <c r="E14"/>
      <c r="F14" s="66" t="e">
        <f>IF('Dupe Controller'!A14="Dupe", 'Account Dump'!F13, VLOOKUP(B14, Distribution!B:F, 5, FALSE))</f>
        <v>#N/A</v>
      </c>
      <c r="G14" s="67" t="e">
        <f>VLOOKUP(F14,Results!$E$31:$F$50,2,FALSE)</f>
        <v>#N/A</v>
      </c>
      <c r="H14" s="68">
        <v>43283</v>
      </c>
      <c r="I14" s="69">
        <f t="shared" si="0"/>
        <v>1</v>
      </c>
      <c r="J14" s="67" t="e">
        <f>VLOOKUP(G14,Results!$F$31:$G$38,2,FALSE)</f>
        <v>#N/A</v>
      </c>
    </row>
    <row r="15" spans="1:22" x14ac:dyDescent="0.3">
      <c r="A15"/>
      <c r="B15"/>
      <c r="C15"/>
      <c r="D15"/>
      <c r="E15"/>
      <c r="F15" s="66" t="e">
        <f>IF('Dupe Controller'!A15="Dupe", 'Account Dump'!F14, VLOOKUP(B15, Distribution!B:F, 5, FALSE))</f>
        <v>#N/A</v>
      </c>
      <c r="G15" s="67" t="e">
        <f>VLOOKUP(F15,Results!$E$31:$F$50,2,FALSE)</f>
        <v>#N/A</v>
      </c>
      <c r="H15" s="68">
        <v>43283</v>
      </c>
      <c r="I15" s="69">
        <f t="shared" si="0"/>
        <v>1</v>
      </c>
      <c r="J15" s="67" t="e">
        <f>VLOOKUP(G15,Results!$F$31:$G$38,2,FALSE)</f>
        <v>#N/A</v>
      </c>
    </row>
    <row r="16" spans="1:22" x14ac:dyDescent="0.3">
      <c r="A16"/>
      <c r="B16"/>
      <c r="C16"/>
      <c r="D16"/>
      <c r="E16"/>
      <c r="F16" s="66" t="e">
        <f>IF('Dupe Controller'!A16="Dupe", 'Account Dump'!F15, VLOOKUP(B16, Distribution!B:F, 5, FALSE))</f>
        <v>#N/A</v>
      </c>
      <c r="G16" s="67" t="e">
        <f>VLOOKUP(F16,Results!$E$31:$F$50,2,FALSE)</f>
        <v>#N/A</v>
      </c>
      <c r="H16" s="68">
        <v>43283</v>
      </c>
      <c r="I16" s="69">
        <f t="shared" si="0"/>
        <v>1</v>
      </c>
      <c r="J16" s="67" t="e">
        <f>VLOOKUP(G16,Results!$F$31:$G$38,2,FALSE)</f>
        <v>#N/A</v>
      </c>
    </row>
    <row r="17" spans="1:10" x14ac:dyDescent="0.3">
      <c r="A17"/>
      <c r="B17"/>
      <c r="C17"/>
      <c r="D17"/>
      <c r="E17"/>
      <c r="F17" s="66" t="e">
        <f>IF('Dupe Controller'!A17="Dupe", 'Account Dump'!F16, VLOOKUP(B17, Distribution!B:F, 5, FALSE))</f>
        <v>#N/A</v>
      </c>
      <c r="G17" s="67" t="e">
        <f>VLOOKUP(F17,Results!$E$31:$F$50,2,FALSE)</f>
        <v>#N/A</v>
      </c>
      <c r="H17" s="68">
        <v>43283</v>
      </c>
      <c r="I17" s="69">
        <f t="shared" si="0"/>
        <v>1</v>
      </c>
      <c r="J17" s="67" t="e">
        <f>VLOOKUP(G17,Results!$F$31:$G$38,2,FALSE)</f>
        <v>#N/A</v>
      </c>
    </row>
    <row r="18" spans="1:10" x14ac:dyDescent="0.3">
      <c r="A18"/>
      <c r="B18"/>
      <c r="C18"/>
      <c r="D18"/>
      <c r="E18"/>
      <c r="F18" s="66" t="e">
        <f>IF('Dupe Controller'!A18="Dupe", 'Account Dump'!F17, VLOOKUP(B18, Distribution!B:F, 5, FALSE))</f>
        <v>#N/A</v>
      </c>
      <c r="G18" s="67" t="e">
        <f>VLOOKUP(F18,Results!$E$31:$F$50,2,FALSE)</f>
        <v>#N/A</v>
      </c>
      <c r="H18" s="68">
        <v>43283</v>
      </c>
      <c r="I18" s="69">
        <f t="shared" si="0"/>
        <v>1</v>
      </c>
      <c r="J18" s="67" t="e">
        <f>VLOOKUP(G18,Results!$F$31:$G$38,2,FALSE)</f>
        <v>#N/A</v>
      </c>
    </row>
    <row r="19" spans="1:10" x14ac:dyDescent="0.3">
      <c r="A19"/>
      <c r="B19"/>
      <c r="C19"/>
      <c r="D19"/>
      <c r="E19"/>
      <c r="F19" s="66" t="e">
        <f>IF('Dupe Controller'!A19="Dupe", 'Account Dump'!F18, VLOOKUP(B19, Distribution!B:F, 5, FALSE))</f>
        <v>#N/A</v>
      </c>
      <c r="G19" s="67" t="e">
        <f>VLOOKUP(F19,Results!$E$31:$F$50,2,FALSE)</f>
        <v>#N/A</v>
      </c>
      <c r="H19" s="68">
        <v>43283</v>
      </c>
      <c r="I19" s="69">
        <f t="shared" si="0"/>
        <v>1</v>
      </c>
      <c r="J19" s="67" t="e">
        <f>VLOOKUP(G19,Results!$F$31:$G$38,2,FALSE)</f>
        <v>#N/A</v>
      </c>
    </row>
    <row r="20" spans="1:10" x14ac:dyDescent="0.3">
      <c r="A20"/>
      <c r="B20"/>
      <c r="C20"/>
      <c r="D20"/>
      <c r="E20"/>
      <c r="F20" s="66" t="e">
        <f>IF('Dupe Controller'!A20="Dupe", 'Account Dump'!F19, VLOOKUP(B20, Distribution!B:F, 5, FALSE))</f>
        <v>#N/A</v>
      </c>
      <c r="G20" s="67" t="e">
        <f>VLOOKUP(F20,Results!$E$31:$F$50,2,FALSE)</f>
        <v>#N/A</v>
      </c>
      <c r="H20" s="68">
        <v>43283</v>
      </c>
      <c r="I20" s="69">
        <f t="shared" si="0"/>
        <v>1</v>
      </c>
      <c r="J20" s="67" t="e">
        <f>VLOOKUP(G20,Results!$F$31:$G$38,2,FALSE)</f>
        <v>#N/A</v>
      </c>
    </row>
    <row r="21" spans="1:10" x14ac:dyDescent="0.3">
      <c r="A21"/>
      <c r="B21"/>
      <c r="C21"/>
      <c r="D21"/>
      <c r="E21"/>
      <c r="F21" s="66" t="e">
        <f>IF('Dupe Controller'!A21="Dupe", 'Account Dump'!F20, VLOOKUP(B21, Distribution!B:F, 5, FALSE))</f>
        <v>#N/A</v>
      </c>
      <c r="G21" s="67" t="e">
        <f>VLOOKUP(F21,Results!$E$31:$F$50,2,FALSE)</f>
        <v>#N/A</v>
      </c>
      <c r="H21" s="68">
        <v>43283</v>
      </c>
      <c r="I21" s="69">
        <f t="shared" si="0"/>
        <v>1</v>
      </c>
      <c r="J21" s="67" t="e">
        <f>VLOOKUP(G21,Results!$F$31:$G$38,2,FALSE)</f>
        <v>#N/A</v>
      </c>
    </row>
    <row r="22" spans="1:10" x14ac:dyDescent="0.3">
      <c r="A22"/>
      <c r="B22"/>
      <c r="C22"/>
      <c r="D22"/>
      <c r="E22"/>
      <c r="F22" s="66" t="e">
        <f>IF('Dupe Controller'!A22="Dupe", 'Account Dump'!F21, VLOOKUP(B22, Distribution!B:F, 5, FALSE))</f>
        <v>#N/A</v>
      </c>
      <c r="G22" s="67" t="e">
        <f>VLOOKUP(F22,Results!$E$31:$F$50,2,FALSE)</f>
        <v>#N/A</v>
      </c>
      <c r="H22" s="68">
        <v>43283</v>
      </c>
      <c r="I22" s="69">
        <f t="shared" si="0"/>
        <v>1</v>
      </c>
      <c r="J22" s="67" t="e">
        <f>VLOOKUP(G22,Results!$F$31:$G$38,2,FALSE)</f>
        <v>#N/A</v>
      </c>
    </row>
    <row r="23" spans="1:10" x14ac:dyDescent="0.3">
      <c r="A23"/>
      <c r="B23"/>
      <c r="C23"/>
      <c r="D23"/>
      <c r="E23"/>
      <c r="F23" s="66" t="e">
        <f>IF('Dupe Controller'!A23="Dupe", 'Account Dump'!F22, VLOOKUP(B23, Distribution!B:F, 5, FALSE))</f>
        <v>#N/A</v>
      </c>
      <c r="G23" s="67" t="e">
        <f>VLOOKUP(F23,Results!$E$31:$F$50,2,FALSE)</f>
        <v>#N/A</v>
      </c>
      <c r="H23" s="68">
        <v>43283</v>
      </c>
      <c r="I23" s="69">
        <f t="shared" si="0"/>
        <v>1</v>
      </c>
      <c r="J23" s="67" t="e">
        <f>VLOOKUP(G23,Results!$F$31:$G$38,2,FALSE)</f>
        <v>#N/A</v>
      </c>
    </row>
    <row r="24" spans="1:10" x14ac:dyDescent="0.3">
      <c r="A24"/>
      <c r="B24"/>
      <c r="C24"/>
      <c r="D24"/>
      <c r="E24"/>
      <c r="F24" s="66" t="e">
        <f>IF('Dupe Controller'!A24="Dupe", 'Account Dump'!F23, VLOOKUP(B24, Distribution!B:F, 5, FALSE))</f>
        <v>#N/A</v>
      </c>
      <c r="G24" s="67" t="e">
        <f>VLOOKUP(F24,Results!$E$31:$F$50,2,FALSE)</f>
        <v>#N/A</v>
      </c>
      <c r="H24" s="68">
        <v>43283</v>
      </c>
      <c r="I24" s="69">
        <f t="shared" si="0"/>
        <v>1</v>
      </c>
      <c r="J24" s="67" t="e">
        <f>VLOOKUP(G24,Results!$F$31:$G$38,2,FALSE)</f>
        <v>#N/A</v>
      </c>
    </row>
    <row r="25" spans="1:10" x14ac:dyDescent="0.3">
      <c r="A25"/>
      <c r="B25"/>
      <c r="C25"/>
      <c r="D25"/>
      <c r="E25"/>
      <c r="F25" s="66" t="e">
        <f>IF('Dupe Controller'!A25="Dupe", 'Account Dump'!F24, VLOOKUP(B25, Distribution!B:F, 5, FALSE))</f>
        <v>#N/A</v>
      </c>
      <c r="G25" s="67" t="e">
        <f>VLOOKUP(F25,Results!$E$31:$F$50,2,FALSE)</f>
        <v>#N/A</v>
      </c>
      <c r="H25" s="68">
        <v>43283</v>
      </c>
      <c r="I25" s="69">
        <f t="shared" si="0"/>
        <v>1</v>
      </c>
      <c r="J25" s="67" t="e">
        <f>VLOOKUP(G25,Results!$F$31:$G$38,2,FALSE)</f>
        <v>#N/A</v>
      </c>
    </row>
    <row r="26" spans="1:10" x14ac:dyDescent="0.3">
      <c r="A26"/>
      <c r="B26"/>
      <c r="C26"/>
      <c r="D26"/>
      <c r="E26"/>
      <c r="F26" s="66" t="e">
        <f>IF('Dupe Controller'!A26="Dupe", 'Account Dump'!F25, VLOOKUP(B26, Distribution!B:F, 5, FALSE))</f>
        <v>#N/A</v>
      </c>
      <c r="G26" s="67" t="e">
        <f>VLOOKUP(F26,Results!$E$31:$F$50,2,FALSE)</f>
        <v>#N/A</v>
      </c>
      <c r="H26" s="68">
        <v>43283</v>
      </c>
      <c r="I26" s="69">
        <f t="shared" si="0"/>
        <v>1</v>
      </c>
      <c r="J26" s="67" t="e">
        <f>VLOOKUP(G26,Results!$F$31:$G$38,2,FALSE)</f>
        <v>#N/A</v>
      </c>
    </row>
    <row r="27" spans="1:10" x14ac:dyDescent="0.3">
      <c r="A27"/>
      <c r="B27"/>
      <c r="C27"/>
      <c r="D27"/>
      <c r="E27"/>
      <c r="F27" s="66" t="e">
        <f>IF('Dupe Controller'!A27="Dupe", 'Account Dump'!F26, VLOOKUP(B27, Distribution!B:F, 5, FALSE))</f>
        <v>#N/A</v>
      </c>
      <c r="G27" s="67" t="e">
        <f>VLOOKUP(F27,Results!$E$31:$F$50,2,FALSE)</f>
        <v>#N/A</v>
      </c>
      <c r="H27" s="68">
        <v>43283</v>
      </c>
      <c r="I27" s="69">
        <f t="shared" si="0"/>
        <v>1</v>
      </c>
      <c r="J27" s="67" t="e">
        <f>VLOOKUP(G27,Results!$F$31:$G$38,2,FALSE)</f>
        <v>#N/A</v>
      </c>
    </row>
    <row r="28" spans="1:10" x14ac:dyDescent="0.3">
      <c r="A28"/>
      <c r="B28"/>
      <c r="C28"/>
      <c r="D28"/>
      <c r="E28"/>
      <c r="F28" s="66" t="e">
        <f>IF('Dupe Controller'!A28="Dupe", 'Account Dump'!F27, VLOOKUP(B28, Distribution!B:F, 5, FALSE))</f>
        <v>#N/A</v>
      </c>
      <c r="G28" s="67" t="e">
        <f>VLOOKUP(F28,Results!$E$31:$F$50,2,FALSE)</f>
        <v>#N/A</v>
      </c>
      <c r="H28" s="68">
        <v>43283</v>
      </c>
      <c r="I28" s="69">
        <f t="shared" si="0"/>
        <v>1</v>
      </c>
      <c r="J28" s="67" t="e">
        <f>VLOOKUP(G28,Results!$F$31:$G$38,2,FALSE)</f>
        <v>#N/A</v>
      </c>
    </row>
    <row r="29" spans="1:10" x14ac:dyDescent="0.3">
      <c r="A29"/>
      <c r="B29"/>
      <c r="C29"/>
      <c r="D29"/>
      <c r="E29"/>
      <c r="F29" s="66" t="e">
        <f>IF('Dupe Controller'!A29="Dupe", 'Account Dump'!F28, VLOOKUP(B29, Distribution!B:F, 5, FALSE))</f>
        <v>#N/A</v>
      </c>
      <c r="G29" s="67" t="e">
        <f>VLOOKUP(F29,Results!$E$31:$F$50,2,FALSE)</f>
        <v>#N/A</v>
      </c>
      <c r="H29" s="68">
        <v>43283</v>
      </c>
      <c r="I29" s="69">
        <f t="shared" si="0"/>
        <v>1</v>
      </c>
      <c r="J29" s="67" t="e">
        <f>VLOOKUP(G29,Results!$F$31:$G$38,2,FALSE)</f>
        <v>#N/A</v>
      </c>
    </row>
    <row r="30" spans="1:10" x14ac:dyDescent="0.3">
      <c r="A30"/>
      <c r="B30"/>
      <c r="C30"/>
      <c r="D30"/>
      <c r="E30"/>
      <c r="F30" s="66" t="e">
        <f>IF('Dupe Controller'!A30="Dupe", 'Account Dump'!F29, VLOOKUP(B30, Distribution!B:F, 5, FALSE))</f>
        <v>#N/A</v>
      </c>
      <c r="G30" s="67" t="e">
        <f>VLOOKUP(F30,Results!$E$31:$F$50,2,FALSE)</f>
        <v>#N/A</v>
      </c>
      <c r="H30" s="68">
        <v>43283</v>
      </c>
      <c r="I30" s="69">
        <f t="shared" si="0"/>
        <v>1</v>
      </c>
      <c r="J30" s="67" t="e">
        <f>VLOOKUP(G30,Results!$F$31:$G$38,2,FALSE)</f>
        <v>#N/A</v>
      </c>
    </row>
    <row r="31" spans="1:10" x14ac:dyDescent="0.3">
      <c r="A31"/>
      <c r="B31"/>
      <c r="C31"/>
      <c r="D31"/>
      <c r="E31"/>
      <c r="F31" s="66" t="e">
        <f>IF('Dupe Controller'!A31="Dupe", 'Account Dump'!F30, VLOOKUP(B31, Distribution!B:F, 5, FALSE))</f>
        <v>#N/A</v>
      </c>
      <c r="G31" s="67" t="e">
        <f>VLOOKUP(F31,Results!$E$31:$F$50,2,FALSE)</f>
        <v>#N/A</v>
      </c>
      <c r="H31" s="68">
        <v>43283</v>
      </c>
      <c r="I31" s="69">
        <f t="shared" si="0"/>
        <v>1</v>
      </c>
      <c r="J31" s="67" t="e">
        <f>VLOOKUP(G31,Results!$F$31:$G$38,2,FALSE)</f>
        <v>#N/A</v>
      </c>
    </row>
    <row r="32" spans="1:10" x14ac:dyDescent="0.3">
      <c r="A32"/>
      <c r="B32"/>
      <c r="C32"/>
      <c r="D32"/>
      <c r="E32"/>
      <c r="F32" s="66" t="e">
        <f>IF('Dupe Controller'!A32="Dupe", 'Account Dump'!F31, VLOOKUP(B32, Distribution!B:F, 5, FALSE))</f>
        <v>#N/A</v>
      </c>
      <c r="G32" s="67" t="e">
        <f>VLOOKUP(F32,Results!$E$31:$F$50,2,FALSE)</f>
        <v>#N/A</v>
      </c>
      <c r="H32" s="68">
        <v>43283</v>
      </c>
      <c r="I32" s="69">
        <f t="shared" si="0"/>
        <v>1</v>
      </c>
      <c r="J32" s="67" t="e">
        <f>VLOOKUP(G32,Results!$F$31:$G$38,2,FALSE)</f>
        <v>#N/A</v>
      </c>
    </row>
    <row r="33" spans="1:10" x14ac:dyDescent="0.3">
      <c r="A33"/>
      <c r="B33"/>
      <c r="C33"/>
      <c r="D33"/>
      <c r="E33"/>
      <c r="F33" s="66" t="e">
        <f>IF('Dupe Controller'!A33="Dupe", 'Account Dump'!F32, VLOOKUP(B33, Distribution!B:F, 5, FALSE))</f>
        <v>#N/A</v>
      </c>
      <c r="G33" s="67" t="e">
        <f>VLOOKUP(F33,Results!$E$31:$F$50,2,FALSE)</f>
        <v>#N/A</v>
      </c>
      <c r="H33" s="68">
        <v>43283</v>
      </c>
      <c r="I33" s="69">
        <f t="shared" si="0"/>
        <v>1</v>
      </c>
      <c r="J33" s="67" t="e">
        <f>VLOOKUP(G33,Results!$F$31:$G$38,2,FALSE)</f>
        <v>#N/A</v>
      </c>
    </row>
    <row r="34" spans="1:10" x14ac:dyDescent="0.3">
      <c r="A34"/>
      <c r="B34"/>
      <c r="C34"/>
      <c r="D34"/>
      <c r="E34"/>
      <c r="F34" s="66" t="e">
        <f>IF('Dupe Controller'!A34="Dupe", 'Account Dump'!F33, VLOOKUP(B34, Distribution!B:F, 5, FALSE))</f>
        <v>#N/A</v>
      </c>
      <c r="G34" s="67" t="e">
        <f>VLOOKUP(F34,Results!$E$31:$F$50,2,FALSE)</f>
        <v>#N/A</v>
      </c>
      <c r="H34" s="68">
        <v>43283</v>
      </c>
      <c r="I34" s="69">
        <f t="shared" ref="I34:I65" si="1">IF(D34=D33,1, 0)</f>
        <v>1</v>
      </c>
      <c r="J34" s="67" t="e">
        <f>VLOOKUP(G34,Results!$F$31:$G$38,2,FALSE)</f>
        <v>#N/A</v>
      </c>
    </row>
    <row r="35" spans="1:10" x14ac:dyDescent="0.3">
      <c r="A35"/>
      <c r="B35"/>
      <c r="C35"/>
      <c r="D35"/>
      <c r="E35"/>
      <c r="F35" s="66" t="e">
        <f>IF('Dupe Controller'!A35="Dupe", 'Account Dump'!F34, VLOOKUP(B35, Distribution!B:F, 5, FALSE))</f>
        <v>#N/A</v>
      </c>
      <c r="G35" s="67" t="e">
        <f>VLOOKUP(F35,Results!$E$31:$F$50,2,FALSE)</f>
        <v>#N/A</v>
      </c>
      <c r="H35" s="68">
        <v>43283</v>
      </c>
      <c r="I35" s="69">
        <f t="shared" si="1"/>
        <v>1</v>
      </c>
      <c r="J35" s="67" t="e">
        <f>VLOOKUP(G35,Results!$F$31:$G$38,2,FALSE)</f>
        <v>#N/A</v>
      </c>
    </row>
    <row r="36" spans="1:10" x14ac:dyDescent="0.3">
      <c r="A36"/>
      <c r="B36"/>
      <c r="C36"/>
      <c r="D36"/>
      <c r="E36"/>
      <c r="F36" s="66" t="e">
        <f>IF('Dupe Controller'!A36="Dupe", 'Account Dump'!F35, VLOOKUP(B36, Distribution!B:F, 5, FALSE))</f>
        <v>#N/A</v>
      </c>
      <c r="G36" s="67" t="e">
        <f>VLOOKUP(F36,Results!$E$31:$F$50,2,FALSE)</f>
        <v>#N/A</v>
      </c>
      <c r="H36" s="68">
        <v>43283</v>
      </c>
      <c r="I36" s="69">
        <f t="shared" si="1"/>
        <v>1</v>
      </c>
      <c r="J36" s="67" t="e">
        <f>VLOOKUP(G36,Results!$F$31:$G$38,2,FALSE)</f>
        <v>#N/A</v>
      </c>
    </row>
    <row r="37" spans="1:10" x14ac:dyDescent="0.3">
      <c r="A37"/>
      <c r="B37"/>
      <c r="C37"/>
      <c r="D37"/>
      <c r="E37"/>
      <c r="F37" s="66" t="e">
        <f>IF('Dupe Controller'!A37="Dupe", 'Account Dump'!F36, VLOOKUP(B37, Distribution!B:F, 5, FALSE))</f>
        <v>#N/A</v>
      </c>
      <c r="G37" s="67" t="e">
        <f>VLOOKUP(F37,Results!$E$31:$F$50,2,FALSE)</f>
        <v>#N/A</v>
      </c>
      <c r="H37" s="68">
        <v>43283</v>
      </c>
      <c r="I37" s="69">
        <f t="shared" si="1"/>
        <v>1</v>
      </c>
      <c r="J37" s="67" t="e">
        <f>VLOOKUP(G37,Results!$F$31:$G$38,2,FALSE)</f>
        <v>#N/A</v>
      </c>
    </row>
    <row r="38" spans="1:10" x14ac:dyDescent="0.3">
      <c r="A38"/>
      <c r="B38"/>
      <c r="C38"/>
      <c r="D38"/>
      <c r="E38"/>
      <c r="F38" s="66" t="e">
        <f>IF('Dupe Controller'!A38="Dupe", 'Account Dump'!F37, VLOOKUP(B38, Distribution!B:F, 5, FALSE))</f>
        <v>#N/A</v>
      </c>
      <c r="G38" s="67" t="e">
        <f>VLOOKUP(F38,Results!$E$31:$F$50,2,FALSE)</f>
        <v>#N/A</v>
      </c>
      <c r="H38" s="68">
        <v>43283</v>
      </c>
      <c r="I38" s="69">
        <f t="shared" si="1"/>
        <v>1</v>
      </c>
      <c r="J38" s="67" t="e">
        <f>VLOOKUP(G38,Results!$F$31:$G$38,2,FALSE)</f>
        <v>#N/A</v>
      </c>
    </row>
    <row r="39" spans="1:10" x14ac:dyDescent="0.3">
      <c r="A39"/>
      <c r="B39"/>
      <c r="C39"/>
      <c r="D39"/>
      <c r="E39"/>
      <c r="F39" s="66" t="e">
        <f>IF('Dupe Controller'!A39="Dupe", 'Account Dump'!F38, VLOOKUP(B39, Distribution!B:F, 5, FALSE))</f>
        <v>#N/A</v>
      </c>
      <c r="G39" s="67" t="e">
        <f>VLOOKUP(F39,Results!$E$31:$F$50,2,FALSE)</f>
        <v>#N/A</v>
      </c>
      <c r="H39" s="68">
        <v>43283</v>
      </c>
      <c r="I39" s="69">
        <f t="shared" si="1"/>
        <v>1</v>
      </c>
      <c r="J39" s="67" t="e">
        <f>VLOOKUP(G39,Results!$F$31:$G$38,2,FALSE)</f>
        <v>#N/A</v>
      </c>
    </row>
    <row r="40" spans="1:10" x14ac:dyDescent="0.3">
      <c r="A40"/>
      <c r="B40"/>
      <c r="C40"/>
      <c r="D40"/>
      <c r="E40"/>
      <c r="F40" s="66" t="e">
        <f>IF('Dupe Controller'!A40="Dupe", 'Account Dump'!F39, VLOOKUP(B40, Distribution!B:F, 5, FALSE))</f>
        <v>#N/A</v>
      </c>
      <c r="G40" s="67" t="e">
        <f>VLOOKUP(F40,Results!$E$31:$F$50,2,FALSE)</f>
        <v>#N/A</v>
      </c>
      <c r="H40" s="68">
        <v>43283</v>
      </c>
      <c r="I40" s="69">
        <f t="shared" si="1"/>
        <v>1</v>
      </c>
      <c r="J40" s="67" t="e">
        <f>VLOOKUP(G40,Results!$F$31:$G$38,2,FALSE)</f>
        <v>#N/A</v>
      </c>
    </row>
    <row r="41" spans="1:10" x14ac:dyDescent="0.3">
      <c r="A41"/>
      <c r="B41"/>
      <c r="C41"/>
      <c r="D41"/>
      <c r="E41"/>
      <c r="F41" s="66" t="e">
        <f>IF('Dupe Controller'!A41="Dupe", 'Account Dump'!F40, VLOOKUP(B41, Distribution!B:F, 5, FALSE))</f>
        <v>#N/A</v>
      </c>
      <c r="G41" s="67" t="e">
        <f>VLOOKUP(F41,Results!$E$31:$F$50,2,FALSE)</f>
        <v>#N/A</v>
      </c>
      <c r="H41" s="68">
        <v>43283</v>
      </c>
      <c r="I41" s="69">
        <f t="shared" si="1"/>
        <v>1</v>
      </c>
      <c r="J41" s="67" t="e">
        <f>VLOOKUP(G41,Results!$F$31:$G$38,2,FALSE)</f>
        <v>#N/A</v>
      </c>
    </row>
    <row r="42" spans="1:10" x14ac:dyDescent="0.3">
      <c r="A42"/>
      <c r="B42"/>
      <c r="C42"/>
      <c r="D42"/>
      <c r="E42"/>
      <c r="F42" s="66" t="e">
        <f>IF('Dupe Controller'!A42="Dupe", 'Account Dump'!F41, VLOOKUP(B42, Distribution!B:F, 5, FALSE))</f>
        <v>#N/A</v>
      </c>
      <c r="G42" s="67" t="e">
        <f>VLOOKUP(F42,Results!$E$31:$F$50,2,FALSE)</f>
        <v>#N/A</v>
      </c>
      <c r="H42" s="68">
        <v>43283</v>
      </c>
      <c r="I42" s="69">
        <f t="shared" si="1"/>
        <v>1</v>
      </c>
      <c r="J42" s="67" t="e">
        <f>VLOOKUP(G42,Results!$F$31:$G$38,2,FALSE)</f>
        <v>#N/A</v>
      </c>
    </row>
    <row r="43" spans="1:10" x14ac:dyDescent="0.3">
      <c r="A43"/>
      <c r="B43"/>
      <c r="C43"/>
      <c r="D43"/>
      <c r="E43"/>
      <c r="F43" s="66" t="e">
        <f>IF('Dupe Controller'!A43="Dupe", 'Account Dump'!F42, VLOOKUP(B43, Distribution!B:F, 5, FALSE))</f>
        <v>#N/A</v>
      </c>
      <c r="G43" s="67" t="e">
        <f>VLOOKUP(F43,Results!$E$31:$F$50,2,FALSE)</f>
        <v>#N/A</v>
      </c>
      <c r="H43" s="68">
        <v>43283</v>
      </c>
      <c r="I43" s="69">
        <f t="shared" si="1"/>
        <v>1</v>
      </c>
      <c r="J43" s="67" t="e">
        <f>VLOOKUP(G43,Results!$F$31:$G$38,2,FALSE)</f>
        <v>#N/A</v>
      </c>
    </row>
    <row r="44" spans="1:10" x14ac:dyDescent="0.3">
      <c r="A44"/>
      <c r="B44"/>
      <c r="C44"/>
      <c r="D44"/>
      <c r="E44"/>
      <c r="F44" s="66" t="e">
        <f>IF('Dupe Controller'!A44="Dupe", 'Account Dump'!F43, VLOOKUP(B44, Distribution!B:F, 5, FALSE))</f>
        <v>#N/A</v>
      </c>
      <c r="G44" s="67" t="e">
        <f>VLOOKUP(F44,Results!$E$31:$F$50,2,FALSE)</f>
        <v>#N/A</v>
      </c>
      <c r="H44" s="68">
        <v>43283</v>
      </c>
      <c r="I44" s="69">
        <f t="shared" si="1"/>
        <v>1</v>
      </c>
      <c r="J44" s="67" t="e">
        <f>VLOOKUP(G44,Results!$F$31:$G$38,2,FALSE)</f>
        <v>#N/A</v>
      </c>
    </row>
    <row r="45" spans="1:10" x14ac:dyDescent="0.3">
      <c r="A45"/>
      <c r="B45"/>
      <c r="C45"/>
      <c r="D45"/>
      <c r="E45"/>
      <c r="F45" s="66" t="e">
        <f>IF('Dupe Controller'!A45="Dupe", 'Account Dump'!F44, VLOOKUP(B45, Distribution!B:F, 5, FALSE))</f>
        <v>#N/A</v>
      </c>
      <c r="G45" s="67" t="e">
        <f>VLOOKUP(F45,Results!$E$31:$F$50,2,FALSE)</f>
        <v>#N/A</v>
      </c>
      <c r="H45" s="68">
        <v>43283</v>
      </c>
      <c r="I45" s="69">
        <f t="shared" si="1"/>
        <v>1</v>
      </c>
      <c r="J45" s="67" t="e">
        <f>VLOOKUP(G45,Results!$F$31:$G$38,2,FALSE)</f>
        <v>#N/A</v>
      </c>
    </row>
    <row r="46" spans="1:10" x14ac:dyDescent="0.3">
      <c r="A46"/>
      <c r="B46"/>
      <c r="C46"/>
      <c r="D46"/>
      <c r="E46"/>
      <c r="F46" s="66" t="e">
        <f>IF('Dupe Controller'!A46="Dupe", 'Account Dump'!F45, VLOOKUP(B46, Distribution!B:F, 5, FALSE))</f>
        <v>#N/A</v>
      </c>
      <c r="G46" s="67" t="e">
        <f>VLOOKUP(F46,Results!$E$31:$F$50,2,FALSE)</f>
        <v>#N/A</v>
      </c>
      <c r="H46" s="68">
        <v>43283</v>
      </c>
      <c r="I46" s="69">
        <f t="shared" si="1"/>
        <v>1</v>
      </c>
      <c r="J46" s="67" t="e">
        <f>VLOOKUP(G46,Results!$F$31:$G$38,2,FALSE)</f>
        <v>#N/A</v>
      </c>
    </row>
    <row r="47" spans="1:10" x14ac:dyDescent="0.3">
      <c r="A47"/>
      <c r="B47"/>
      <c r="C47"/>
      <c r="D47"/>
      <c r="E47"/>
      <c r="F47" s="66" t="e">
        <f>IF('Dupe Controller'!A47="Dupe", 'Account Dump'!F46, VLOOKUP(B47, Distribution!B:F, 5, FALSE))</f>
        <v>#N/A</v>
      </c>
      <c r="G47" s="67" t="e">
        <f>VLOOKUP(F47,Results!$E$31:$F$50,2,FALSE)</f>
        <v>#N/A</v>
      </c>
      <c r="H47" s="68">
        <v>43283</v>
      </c>
      <c r="I47" s="69">
        <f t="shared" si="1"/>
        <v>1</v>
      </c>
      <c r="J47" s="67" t="e">
        <f>VLOOKUP(G47,Results!$F$31:$G$38,2,FALSE)</f>
        <v>#N/A</v>
      </c>
    </row>
    <row r="48" spans="1:10" x14ac:dyDescent="0.3">
      <c r="A48"/>
      <c r="B48"/>
      <c r="C48"/>
      <c r="D48"/>
      <c r="E48"/>
      <c r="F48" s="66" t="e">
        <f>IF('Dupe Controller'!A48="Dupe", 'Account Dump'!F47, VLOOKUP(B48, Distribution!B:F, 5, FALSE))</f>
        <v>#N/A</v>
      </c>
      <c r="G48" s="67" t="e">
        <f>VLOOKUP(F48,Results!$E$31:$F$50,2,FALSE)</f>
        <v>#N/A</v>
      </c>
      <c r="H48" s="68">
        <v>43283</v>
      </c>
      <c r="I48" s="69">
        <f t="shared" si="1"/>
        <v>1</v>
      </c>
      <c r="J48" s="67" t="e">
        <f>VLOOKUP(G48,Results!$F$31:$G$38,2,FALSE)</f>
        <v>#N/A</v>
      </c>
    </row>
    <row r="49" spans="1:10" x14ac:dyDescent="0.3">
      <c r="A49"/>
      <c r="B49"/>
      <c r="C49"/>
      <c r="D49"/>
      <c r="E49"/>
      <c r="F49" s="66" t="e">
        <f>IF('Dupe Controller'!A49="Dupe", 'Account Dump'!F48, VLOOKUP(B49, Distribution!B:F, 5, FALSE))</f>
        <v>#N/A</v>
      </c>
      <c r="G49" s="67" t="e">
        <f>VLOOKUP(F49,Results!$E$31:$F$50,2,FALSE)</f>
        <v>#N/A</v>
      </c>
      <c r="H49" s="68">
        <v>43283</v>
      </c>
      <c r="I49" s="69">
        <f t="shared" si="1"/>
        <v>1</v>
      </c>
      <c r="J49" s="67" t="e">
        <f>VLOOKUP(G49,Results!$F$31:$G$38,2,FALSE)</f>
        <v>#N/A</v>
      </c>
    </row>
    <row r="50" spans="1:10" x14ac:dyDescent="0.3">
      <c r="A50"/>
      <c r="B50"/>
      <c r="C50"/>
      <c r="D50"/>
      <c r="E50"/>
      <c r="F50" s="66" t="e">
        <f>IF('Dupe Controller'!A50="Dupe", 'Account Dump'!F49, VLOOKUP(B50, Distribution!B:F, 5, FALSE))</f>
        <v>#N/A</v>
      </c>
      <c r="G50" s="67" t="e">
        <f>VLOOKUP(F50,Results!$E$31:$F$50,2,FALSE)</f>
        <v>#N/A</v>
      </c>
      <c r="H50" s="68">
        <v>43283</v>
      </c>
      <c r="I50" s="69">
        <f t="shared" si="1"/>
        <v>1</v>
      </c>
      <c r="J50" s="67" t="e">
        <f>VLOOKUP(G50,Results!$F$31:$G$38,2,FALSE)</f>
        <v>#N/A</v>
      </c>
    </row>
    <row r="51" spans="1:10" x14ac:dyDescent="0.3">
      <c r="A51"/>
      <c r="B51"/>
      <c r="C51"/>
      <c r="D51"/>
      <c r="E51"/>
      <c r="F51" s="66" t="e">
        <f>IF('Dupe Controller'!A51="Dupe", 'Account Dump'!F50, VLOOKUP(B51, Distribution!B:F, 5, FALSE))</f>
        <v>#N/A</v>
      </c>
      <c r="G51" s="67" t="e">
        <f>VLOOKUP(F51,Results!$E$31:$F$50,2,FALSE)</f>
        <v>#N/A</v>
      </c>
      <c r="H51" s="68">
        <v>43283</v>
      </c>
      <c r="I51" s="69">
        <f t="shared" si="1"/>
        <v>1</v>
      </c>
      <c r="J51" s="67" t="e">
        <f>VLOOKUP(G51,Results!$F$31:$G$38,2,FALSE)</f>
        <v>#N/A</v>
      </c>
    </row>
    <row r="52" spans="1:10" x14ac:dyDescent="0.3">
      <c r="A52"/>
      <c r="B52"/>
      <c r="C52"/>
      <c r="D52"/>
      <c r="E52"/>
      <c r="F52" s="66" t="e">
        <f>IF('Dupe Controller'!A52="Dupe", 'Account Dump'!F51, VLOOKUP(B52, Distribution!B:F, 5, FALSE))</f>
        <v>#N/A</v>
      </c>
      <c r="G52" s="67" t="e">
        <f>VLOOKUP(F52,Results!$E$31:$F$50,2,FALSE)</f>
        <v>#N/A</v>
      </c>
      <c r="H52" s="68">
        <v>43290</v>
      </c>
      <c r="I52" s="69">
        <f t="shared" si="1"/>
        <v>1</v>
      </c>
      <c r="J52" s="67" t="e">
        <f>VLOOKUP(G52,Results!$F$31:$G$38,2,FALSE)</f>
        <v>#N/A</v>
      </c>
    </row>
    <row r="53" spans="1:10" x14ac:dyDescent="0.3">
      <c r="A53"/>
      <c r="B53"/>
      <c r="C53"/>
      <c r="D53"/>
      <c r="E53"/>
      <c r="F53" s="66" t="e">
        <f>IF('Dupe Controller'!A53="Dupe", 'Account Dump'!F52, VLOOKUP(B53, Distribution!B:F, 5, FALSE))</f>
        <v>#N/A</v>
      </c>
      <c r="G53" s="67" t="e">
        <f>VLOOKUP(F53,Results!$E$31:$F$50,2,FALSE)</f>
        <v>#N/A</v>
      </c>
      <c r="H53" s="68">
        <v>43291</v>
      </c>
      <c r="I53" s="69">
        <f t="shared" si="1"/>
        <v>1</v>
      </c>
      <c r="J53" s="67" t="e">
        <f>VLOOKUP(G53,Results!$F$31:$G$38,2,FALSE)</f>
        <v>#N/A</v>
      </c>
    </row>
    <row r="54" spans="1:10" x14ac:dyDescent="0.3">
      <c r="A54"/>
      <c r="B54"/>
      <c r="C54"/>
      <c r="D54"/>
      <c r="E54"/>
      <c r="F54" s="66" t="e">
        <f>IF('Dupe Controller'!A54="Dupe", 'Account Dump'!F53, VLOOKUP(B54, Distribution!B:F, 5, FALSE))</f>
        <v>#N/A</v>
      </c>
      <c r="G54" s="67" t="e">
        <f>VLOOKUP(F54,Results!$E$31:$F$50,2,FALSE)</f>
        <v>#N/A</v>
      </c>
      <c r="H54" s="68">
        <v>43291</v>
      </c>
      <c r="I54" s="69">
        <f t="shared" si="1"/>
        <v>1</v>
      </c>
      <c r="J54" s="67" t="e">
        <f>VLOOKUP(G54,Results!$F$31:$G$38,2,FALSE)</f>
        <v>#N/A</v>
      </c>
    </row>
    <row r="55" spans="1:10" x14ac:dyDescent="0.3">
      <c r="A55"/>
      <c r="B55"/>
      <c r="C55"/>
      <c r="D55"/>
      <c r="E55"/>
      <c r="F55" s="66" t="e">
        <f>IF('Dupe Controller'!A55="Dupe", 'Account Dump'!F54, VLOOKUP(B55, Distribution!B:F, 5, FALSE))</f>
        <v>#N/A</v>
      </c>
      <c r="G55" s="67" t="e">
        <f>VLOOKUP(F55,Results!$E$31:$F$50,2,FALSE)</f>
        <v>#N/A</v>
      </c>
      <c r="H55" s="68">
        <v>43291</v>
      </c>
      <c r="I55" s="69">
        <f t="shared" si="1"/>
        <v>1</v>
      </c>
      <c r="J55" s="67" t="e">
        <f>VLOOKUP(G55,Results!$F$31:$G$38,2,FALSE)</f>
        <v>#N/A</v>
      </c>
    </row>
    <row r="56" spans="1:10" x14ac:dyDescent="0.3">
      <c r="A56"/>
      <c r="B56"/>
      <c r="C56"/>
      <c r="D56"/>
      <c r="E56"/>
      <c r="F56" s="66" t="e">
        <f>IF('Dupe Controller'!A56="Dupe", 'Account Dump'!F55, VLOOKUP(B56, Distribution!B:F, 5, FALSE))</f>
        <v>#N/A</v>
      </c>
      <c r="G56" s="67" t="e">
        <f>VLOOKUP(F56,Results!$E$31:$F$50,2,FALSE)</f>
        <v>#N/A</v>
      </c>
      <c r="H56" s="68">
        <v>43291</v>
      </c>
      <c r="I56" s="69">
        <f t="shared" si="1"/>
        <v>1</v>
      </c>
      <c r="J56" s="67" t="e">
        <f>VLOOKUP(G56,Results!$F$31:$G$38,2,FALSE)</f>
        <v>#N/A</v>
      </c>
    </row>
    <row r="57" spans="1:10" x14ac:dyDescent="0.3">
      <c r="A57"/>
      <c r="B57"/>
      <c r="C57"/>
      <c r="D57"/>
      <c r="E57"/>
      <c r="F57" s="66" t="e">
        <f>IF('Dupe Controller'!A57="Dupe", 'Account Dump'!F56, VLOOKUP(B57, Distribution!B:F, 5, FALSE))</f>
        <v>#N/A</v>
      </c>
      <c r="G57" s="67" t="e">
        <f>VLOOKUP(F57,Results!$E$31:$F$50,2,FALSE)</f>
        <v>#N/A</v>
      </c>
      <c r="H57" s="68">
        <v>43291</v>
      </c>
      <c r="I57" s="69">
        <f t="shared" si="1"/>
        <v>1</v>
      </c>
      <c r="J57" s="67" t="e">
        <f>VLOOKUP(G57,Results!$F$31:$G$38,2,FALSE)</f>
        <v>#N/A</v>
      </c>
    </row>
    <row r="58" spans="1:10" x14ac:dyDescent="0.3">
      <c r="A58"/>
      <c r="B58"/>
      <c r="C58"/>
      <c r="D58"/>
      <c r="E58"/>
      <c r="F58" s="66" t="e">
        <f>IF('Dupe Controller'!A58="Dupe", 'Account Dump'!F57, VLOOKUP(B58, Distribution!B:F, 5, FALSE))</f>
        <v>#N/A</v>
      </c>
      <c r="G58" s="67" t="e">
        <f>VLOOKUP(F58,Results!$E$31:$F$50,2,FALSE)</f>
        <v>#N/A</v>
      </c>
      <c r="H58" s="68">
        <v>43291</v>
      </c>
      <c r="I58" s="69">
        <f t="shared" si="1"/>
        <v>1</v>
      </c>
      <c r="J58" s="67" t="e">
        <f>VLOOKUP(G58,Results!$F$31:$G$38,2,FALSE)</f>
        <v>#N/A</v>
      </c>
    </row>
    <row r="59" spans="1:10" x14ac:dyDescent="0.3">
      <c r="A59"/>
      <c r="B59"/>
      <c r="C59"/>
      <c r="D59"/>
      <c r="E59"/>
      <c r="F59" s="66" t="e">
        <f>IF('Dupe Controller'!A59="Dupe", 'Account Dump'!F58, VLOOKUP(B59, Distribution!B:F, 5, FALSE))</f>
        <v>#N/A</v>
      </c>
      <c r="G59" s="67" t="e">
        <f>VLOOKUP(F59,Results!$E$31:$F$50,2,FALSE)</f>
        <v>#N/A</v>
      </c>
      <c r="H59" s="68">
        <v>43291</v>
      </c>
      <c r="I59" s="69">
        <f t="shared" si="1"/>
        <v>1</v>
      </c>
      <c r="J59" s="67" t="e">
        <f>VLOOKUP(G59,Results!$F$31:$G$38,2,FALSE)</f>
        <v>#N/A</v>
      </c>
    </row>
    <row r="60" spans="1:10" x14ac:dyDescent="0.3">
      <c r="A60"/>
      <c r="B60"/>
      <c r="C60"/>
      <c r="D60"/>
      <c r="E60"/>
      <c r="F60" s="66" t="e">
        <f>IF('Dupe Controller'!A60="Dupe", 'Account Dump'!F59, VLOOKUP(B60, Distribution!B:F, 5, FALSE))</f>
        <v>#N/A</v>
      </c>
      <c r="G60" s="67" t="e">
        <f>VLOOKUP(F60,Results!$E$31:$F$50,2,FALSE)</f>
        <v>#N/A</v>
      </c>
      <c r="H60" s="68">
        <v>43291</v>
      </c>
      <c r="I60" s="69">
        <f t="shared" si="1"/>
        <v>1</v>
      </c>
      <c r="J60" s="67" t="e">
        <f>VLOOKUP(G60,Results!$F$31:$G$38,2,FALSE)</f>
        <v>#N/A</v>
      </c>
    </row>
    <row r="61" spans="1:10" x14ac:dyDescent="0.3">
      <c r="A61"/>
      <c r="B61"/>
      <c r="C61"/>
      <c r="D61"/>
      <c r="E61"/>
      <c r="F61" s="66" t="e">
        <f>IF('Dupe Controller'!A61="Dupe", 'Account Dump'!F60, VLOOKUP(B61, Distribution!B:F, 5, FALSE))</f>
        <v>#N/A</v>
      </c>
      <c r="G61" s="67" t="e">
        <f>VLOOKUP(F61,Results!$E$31:$F$50,2,FALSE)</f>
        <v>#N/A</v>
      </c>
      <c r="H61" s="68">
        <v>43291</v>
      </c>
      <c r="I61" s="69">
        <f t="shared" si="1"/>
        <v>1</v>
      </c>
      <c r="J61" s="67" t="e">
        <f>VLOOKUP(G61,Results!$F$31:$G$38,2,FALSE)</f>
        <v>#N/A</v>
      </c>
    </row>
    <row r="62" spans="1:10" x14ac:dyDescent="0.3">
      <c r="A62"/>
      <c r="B62"/>
      <c r="C62"/>
      <c r="D62"/>
      <c r="E62"/>
      <c r="F62" s="66" t="e">
        <f>IF('Dupe Controller'!A62="Dupe", 'Account Dump'!F61, VLOOKUP(B62, Distribution!B:F, 5, FALSE))</f>
        <v>#N/A</v>
      </c>
      <c r="G62" s="67" t="e">
        <f>VLOOKUP(F62,Results!$E$31:$F$50,2,FALSE)</f>
        <v>#N/A</v>
      </c>
      <c r="H62" s="68">
        <v>43291</v>
      </c>
      <c r="I62" s="69">
        <f t="shared" si="1"/>
        <v>1</v>
      </c>
      <c r="J62" s="67" t="e">
        <f>VLOOKUP(G62,Results!$F$31:$G$38,2,FALSE)</f>
        <v>#N/A</v>
      </c>
    </row>
    <row r="63" spans="1:10" x14ac:dyDescent="0.3">
      <c r="A63"/>
      <c r="B63"/>
      <c r="C63"/>
      <c r="D63"/>
      <c r="E63"/>
      <c r="F63" s="66" t="e">
        <f>IF('Dupe Controller'!A63="Dupe", 'Account Dump'!F62, VLOOKUP(B63, Distribution!B:F, 5, FALSE))</f>
        <v>#N/A</v>
      </c>
      <c r="G63" s="67" t="e">
        <f>VLOOKUP(F63,Results!$E$31:$F$50,2,FALSE)</f>
        <v>#N/A</v>
      </c>
      <c r="H63" s="68">
        <v>43291</v>
      </c>
      <c r="I63" s="69">
        <f t="shared" si="1"/>
        <v>1</v>
      </c>
      <c r="J63" s="67" t="e">
        <f>VLOOKUP(G63,Results!$F$31:$G$38,2,FALSE)</f>
        <v>#N/A</v>
      </c>
    </row>
    <row r="64" spans="1:10" x14ac:dyDescent="0.3">
      <c r="A64"/>
      <c r="B64"/>
      <c r="C64"/>
      <c r="D64"/>
      <c r="E64"/>
      <c r="F64" s="66" t="e">
        <f>IF('Dupe Controller'!A64="Dupe", 'Account Dump'!F63, VLOOKUP(B64, Distribution!B:F, 5, FALSE))</f>
        <v>#N/A</v>
      </c>
      <c r="G64" s="67" t="e">
        <f>VLOOKUP(F64,Results!$E$31:$F$50,2,FALSE)</f>
        <v>#N/A</v>
      </c>
      <c r="H64" s="68">
        <v>43291</v>
      </c>
      <c r="I64" s="69">
        <f t="shared" si="1"/>
        <v>1</v>
      </c>
      <c r="J64" s="67" t="e">
        <f>VLOOKUP(G64,Results!$F$31:$G$38,2,FALSE)</f>
        <v>#N/A</v>
      </c>
    </row>
    <row r="65" spans="1:10" x14ac:dyDescent="0.3">
      <c r="A65"/>
      <c r="B65"/>
      <c r="C65"/>
      <c r="D65"/>
      <c r="E65"/>
      <c r="F65" s="66" t="e">
        <f>IF('Dupe Controller'!A65="Dupe", 'Account Dump'!F64, VLOOKUP(B65, Distribution!B:F, 5, FALSE))</f>
        <v>#N/A</v>
      </c>
      <c r="G65" s="67" t="e">
        <f>VLOOKUP(F65,Results!$E$31:$F$50,2,FALSE)</f>
        <v>#N/A</v>
      </c>
      <c r="H65" s="68">
        <v>43291</v>
      </c>
      <c r="I65" s="69">
        <f t="shared" si="1"/>
        <v>1</v>
      </c>
      <c r="J65" s="67" t="e">
        <f>VLOOKUP(G65,Results!$F$31:$G$38,2,FALSE)</f>
        <v>#N/A</v>
      </c>
    </row>
    <row r="66" spans="1:10" x14ac:dyDescent="0.3">
      <c r="A66"/>
      <c r="B66"/>
      <c r="C66"/>
      <c r="D66"/>
      <c r="E66"/>
      <c r="F66" s="66" t="e">
        <f>IF('Dupe Controller'!A66="Dupe", 'Account Dump'!F65, VLOOKUP(B66, Distribution!B:F, 5, FALSE))</f>
        <v>#N/A</v>
      </c>
      <c r="G66" s="67" t="e">
        <f>VLOOKUP(F66,Results!$E$31:$F$50,2,FALSE)</f>
        <v>#N/A</v>
      </c>
      <c r="H66" s="68">
        <v>43291</v>
      </c>
      <c r="I66" s="69">
        <f t="shared" ref="I66:I97" si="2">IF(D66=D65,1, 0)</f>
        <v>1</v>
      </c>
      <c r="J66" s="67" t="e">
        <f>VLOOKUP(G66,Results!$F$31:$G$38,2,FALSE)</f>
        <v>#N/A</v>
      </c>
    </row>
    <row r="67" spans="1:10" x14ac:dyDescent="0.3">
      <c r="A67"/>
      <c r="B67"/>
      <c r="C67"/>
      <c r="D67"/>
      <c r="E67"/>
      <c r="F67" s="66" t="e">
        <f>IF('Dupe Controller'!A67="Dupe", 'Account Dump'!F66, VLOOKUP(B67, Distribution!B:F, 5, FALSE))</f>
        <v>#N/A</v>
      </c>
      <c r="G67" s="67" t="e">
        <f>VLOOKUP(F67,Results!$E$31:$F$50,2,FALSE)</f>
        <v>#N/A</v>
      </c>
      <c r="H67" s="68">
        <v>43291</v>
      </c>
      <c r="I67" s="69">
        <f t="shared" si="2"/>
        <v>1</v>
      </c>
      <c r="J67" s="67" t="e">
        <f>VLOOKUP(G67,Results!$F$31:$G$38,2,FALSE)</f>
        <v>#N/A</v>
      </c>
    </row>
    <row r="68" spans="1:10" x14ac:dyDescent="0.3">
      <c r="A68"/>
      <c r="B68"/>
      <c r="C68"/>
      <c r="D68"/>
      <c r="E68"/>
      <c r="F68" s="66" t="e">
        <f>IF('Dupe Controller'!A68="Dupe", 'Account Dump'!F67, VLOOKUP(B68, Distribution!B:F, 5, FALSE))</f>
        <v>#N/A</v>
      </c>
      <c r="G68" s="67" t="e">
        <f>VLOOKUP(F68,Results!$E$31:$F$50,2,FALSE)</f>
        <v>#N/A</v>
      </c>
      <c r="H68" s="68">
        <v>43291</v>
      </c>
      <c r="I68" s="69">
        <f t="shared" si="2"/>
        <v>1</v>
      </c>
      <c r="J68" s="67" t="e">
        <f>VLOOKUP(G68,Results!$F$31:$G$38,2,FALSE)</f>
        <v>#N/A</v>
      </c>
    </row>
    <row r="69" spans="1:10" x14ac:dyDescent="0.3">
      <c r="A69"/>
      <c r="B69"/>
      <c r="C69"/>
      <c r="D69"/>
      <c r="E69"/>
      <c r="F69" s="66" t="e">
        <f>IF('Dupe Controller'!A69="Dupe", 'Account Dump'!F68, VLOOKUP(B69, Distribution!B:F, 5, FALSE))</f>
        <v>#N/A</v>
      </c>
      <c r="G69" s="67" t="e">
        <f>VLOOKUP(F69,Results!$E$31:$F$50,2,FALSE)</f>
        <v>#N/A</v>
      </c>
      <c r="H69" s="68">
        <v>43291</v>
      </c>
      <c r="I69" s="69">
        <f t="shared" si="2"/>
        <v>1</v>
      </c>
      <c r="J69" s="67" t="e">
        <f>VLOOKUP(G69,Results!$F$31:$G$38,2,FALSE)</f>
        <v>#N/A</v>
      </c>
    </row>
    <row r="70" spans="1:10" x14ac:dyDescent="0.3">
      <c r="A70"/>
      <c r="B70"/>
      <c r="C70"/>
      <c r="D70"/>
      <c r="E70"/>
      <c r="F70" s="66" t="e">
        <f>IF('Dupe Controller'!A70="Dupe", 'Account Dump'!F69, VLOOKUP(B70, Distribution!B:F, 5, FALSE))</f>
        <v>#N/A</v>
      </c>
      <c r="G70" s="67" t="e">
        <f>VLOOKUP(F70,Results!$E$31:$F$50,2,FALSE)</f>
        <v>#N/A</v>
      </c>
      <c r="H70" s="68">
        <v>43291</v>
      </c>
      <c r="I70" s="69">
        <f t="shared" si="2"/>
        <v>1</v>
      </c>
      <c r="J70" s="67" t="e">
        <f>VLOOKUP(G70,Results!$F$31:$G$38,2,FALSE)</f>
        <v>#N/A</v>
      </c>
    </row>
    <row r="71" spans="1:10" x14ac:dyDescent="0.3">
      <c r="A71"/>
      <c r="B71"/>
      <c r="C71"/>
      <c r="D71"/>
      <c r="E71"/>
      <c r="F71" s="66" t="e">
        <f>IF('Dupe Controller'!A71="Dupe", 'Account Dump'!F70, VLOOKUP(B71, Distribution!B:F, 5, FALSE))</f>
        <v>#N/A</v>
      </c>
      <c r="G71" s="67" t="e">
        <f>VLOOKUP(F71,Results!$E$31:$F$50,2,FALSE)</f>
        <v>#N/A</v>
      </c>
      <c r="H71" s="68">
        <v>43291</v>
      </c>
      <c r="I71" s="69">
        <f t="shared" si="2"/>
        <v>1</v>
      </c>
      <c r="J71" s="67" t="e">
        <f>VLOOKUP(G71,Results!$F$31:$G$38,2,FALSE)</f>
        <v>#N/A</v>
      </c>
    </row>
    <row r="72" spans="1:10" x14ac:dyDescent="0.3">
      <c r="A72"/>
      <c r="B72"/>
      <c r="C72"/>
      <c r="D72"/>
      <c r="E72"/>
      <c r="F72" s="66" t="e">
        <f>IF('Dupe Controller'!A72="Dupe", 'Account Dump'!F71, VLOOKUP(B72, Distribution!B:F, 5, FALSE))</f>
        <v>#N/A</v>
      </c>
      <c r="G72" s="67" t="e">
        <f>VLOOKUP(F72,Results!$E$31:$F$50,2,FALSE)</f>
        <v>#N/A</v>
      </c>
      <c r="H72" s="68">
        <v>43291</v>
      </c>
      <c r="I72" s="69">
        <f t="shared" si="2"/>
        <v>1</v>
      </c>
      <c r="J72" s="67" t="e">
        <f>VLOOKUP(G72,Results!$F$31:$G$38,2,FALSE)</f>
        <v>#N/A</v>
      </c>
    </row>
    <row r="73" spans="1:10" x14ac:dyDescent="0.3">
      <c r="A73"/>
      <c r="B73"/>
      <c r="C73"/>
      <c r="D73"/>
      <c r="E73"/>
      <c r="F73" s="66" t="e">
        <f>IF('Dupe Controller'!A73="Dupe", 'Account Dump'!F72, VLOOKUP(B73, Distribution!B:F, 5, FALSE))</f>
        <v>#N/A</v>
      </c>
      <c r="G73" s="67" t="e">
        <f>VLOOKUP(F73,Results!$E$31:$F$50,2,FALSE)</f>
        <v>#N/A</v>
      </c>
      <c r="H73" s="68">
        <v>43291</v>
      </c>
      <c r="I73" s="69">
        <f t="shared" si="2"/>
        <v>1</v>
      </c>
      <c r="J73" s="67" t="e">
        <f>VLOOKUP(G73,Results!$F$31:$G$38,2,FALSE)</f>
        <v>#N/A</v>
      </c>
    </row>
    <row r="74" spans="1:10" x14ac:dyDescent="0.3">
      <c r="A74"/>
      <c r="B74"/>
      <c r="C74"/>
      <c r="D74"/>
      <c r="E74"/>
      <c r="F74" s="66" t="e">
        <f>IF('Dupe Controller'!A74="Dupe", 'Account Dump'!F73, VLOOKUP(B74, Distribution!B:F, 5, FALSE))</f>
        <v>#N/A</v>
      </c>
      <c r="G74" s="67" t="e">
        <f>VLOOKUP(F74,Results!$E$31:$F$50,2,FALSE)</f>
        <v>#N/A</v>
      </c>
      <c r="H74" s="68">
        <v>43291</v>
      </c>
      <c r="I74" s="69">
        <f t="shared" si="2"/>
        <v>1</v>
      </c>
      <c r="J74" s="67" t="e">
        <f>VLOOKUP(G74,Results!$F$31:$G$38,2,FALSE)</f>
        <v>#N/A</v>
      </c>
    </row>
    <row r="75" spans="1:10" x14ac:dyDescent="0.3">
      <c r="A75"/>
      <c r="B75"/>
      <c r="C75"/>
      <c r="D75"/>
      <c r="E75"/>
      <c r="F75" s="66" t="e">
        <f>IF('Dupe Controller'!A75="Dupe", 'Account Dump'!F74, VLOOKUP(B75, Distribution!B:F, 5, FALSE))</f>
        <v>#N/A</v>
      </c>
      <c r="G75" s="67" t="e">
        <f>VLOOKUP(F75,Results!$E$31:$F$50,2,FALSE)</f>
        <v>#N/A</v>
      </c>
      <c r="H75" s="68">
        <v>43291</v>
      </c>
      <c r="I75" s="69">
        <f t="shared" si="2"/>
        <v>1</v>
      </c>
      <c r="J75" s="67" t="e">
        <f>VLOOKUP(G75,Results!$F$31:$G$38,2,FALSE)</f>
        <v>#N/A</v>
      </c>
    </row>
    <row r="76" spans="1:10" x14ac:dyDescent="0.3">
      <c r="A76"/>
      <c r="B76"/>
      <c r="C76"/>
      <c r="D76"/>
      <c r="E76"/>
      <c r="F76" s="66" t="e">
        <f>IF('Dupe Controller'!A76="Dupe", 'Account Dump'!F75, VLOOKUP(B76, Distribution!B:F, 5, FALSE))</f>
        <v>#N/A</v>
      </c>
      <c r="G76" s="67" t="e">
        <f>VLOOKUP(F76,Results!$E$31:$F$50,2,FALSE)</f>
        <v>#N/A</v>
      </c>
      <c r="H76" s="68">
        <v>43291</v>
      </c>
      <c r="I76" s="69">
        <f t="shared" si="2"/>
        <v>1</v>
      </c>
      <c r="J76" s="67" t="e">
        <f>VLOOKUP(G76,Results!$F$31:$G$38,2,FALSE)</f>
        <v>#N/A</v>
      </c>
    </row>
    <row r="77" spans="1:10" x14ac:dyDescent="0.3">
      <c r="A77"/>
      <c r="B77"/>
      <c r="C77"/>
      <c r="D77"/>
      <c r="E77"/>
      <c r="F77" s="66" t="e">
        <f>IF('Dupe Controller'!A77="Dupe", 'Account Dump'!F76, VLOOKUP(B77, Distribution!B:F, 5, FALSE))</f>
        <v>#N/A</v>
      </c>
      <c r="G77" s="67" t="e">
        <f>VLOOKUP(F77,Results!$E$31:$F$50,2,FALSE)</f>
        <v>#N/A</v>
      </c>
      <c r="H77" s="68">
        <v>43291</v>
      </c>
      <c r="I77" s="69">
        <f t="shared" si="2"/>
        <v>1</v>
      </c>
      <c r="J77" s="67" t="e">
        <f>VLOOKUP(G77,Results!$F$31:$G$38,2,FALSE)</f>
        <v>#N/A</v>
      </c>
    </row>
    <row r="78" spans="1:10" x14ac:dyDescent="0.3">
      <c r="A78"/>
      <c r="B78"/>
      <c r="C78"/>
      <c r="D78"/>
      <c r="E78"/>
      <c r="F78" s="66" t="e">
        <f>IF('Dupe Controller'!A78="Dupe", 'Account Dump'!F77, VLOOKUP(B78, Distribution!B:F, 5, FALSE))</f>
        <v>#N/A</v>
      </c>
      <c r="G78" s="67" t="e">
        <f>VLOOKUP(F78,Results!$E$31:$F$50,2,FALSE)</f>
        <v>#N/A</v>
      </c>
      <c r="H78" s="68">
        <v>43291</v>
      </c>
      <c r="I78" s="69">
        <f t="shared" si="2"/>
        <v>1</v>
      </c>
      <c r="J78" s="67" t="e">
        <f>VLOOKUP(G78,Results!$F$31:$G$38,2,FALSE)</f>
        <v>#N/A</v>
      </c>
    </row>
    <row r="79" spans="1:10" x14ac:dyDescent="0.3">
      <c r="A79"/>
      <c r="B79"/>
      <c r="C79"/>
      <c r="D79"/>
      <c r="E79"/>
      <c r="F79" s="66" t="e">
        <f>IF('Dupe Controller'!A79="Dupe", 'Account Dump'!F78, VLOOKUP(B79, Distribution!B:F, 5, FALSE))</f>
        <v>#N/A</v>
      </c>
      <c r="G79" s="67" t="e">
        <f>VLOOKUP(F79,Results!$E$31:$F$50,2,FALSE)</f>
        <v>#N/A</v>
      </c>
      <c r="H79" s="68">
        <v>43291</v>
      </c>
      <c r="I79" s="69">
        <f t="shared" si="2"/>
        <v>1</v>
      </c>
      <c r="J79" s="67" t="e">
        <f>VLOOKUP(G79,Results!$F$31:$G$38,2,FALSE)</f>
        <v>#N/A</v>
      </c>
    </row>
    <row r="80" spans="1:10" x14ac:dyDescent="0.3">
      <c r="A80"/>
      <c r="B80"/>
      <c r="C80"/>
      <c r="D80"/>
      <c r="E80"/>
      <c r="F80" s="66" t="e">
        <f>IF('Dupe Controller'!A80="Dupe", 'Account Dump'!F79, VLOOKUP(B80, Distribution!B:F, 5, FALSE))</f>
        <v>#N/A</v>
      </c>
      <c r="G80" s="67" t="e">
        <f>VLOOKUP(F80,Results!$E$31:$F$50,2,FALSE)</f>
        <v>#N/A</v>
      </c>
      <c r="H80" s="68">
        <v>43291</v>
      </c>
      <c r="I80" s="69">
        <f t="shared" si="2"/>
        <v>1</v>
      </c>
      <c r="J80" s="67" t="e">
        <f>VLOOKUP(G80,Results!$F$31:$G$38,2,FALSE)</f>
        <v>#N/A</v>
      </c>
    </row>
    <row r="81" spans="1:10" x14ac:dyDescent="0.3">
      <c r="A81"/>
      <c r="B81"/>
      <c r="C81"/>
      <c r="D81"/>
      <c r="E81"/>
      <c r="F81" s="66" t="e">
        <f>IF('Dupe Controller'!A81="Dupe", 'Account Dump'!F80, VLOOKUP(B81, Distribution!B:F, 5, FALSE))</f>
        <v>#N/A</v>
      </c>
      <c r="G81" s="67" t="e">
        <f>VLOOKUP(F81,Results!$E$31:$F$50,2,FALSE)</f>
        <v>#N/A</v>
      </c>
      <c r="H81" s="68">
        <v>43291</v>
      </c>
      <c r="I81" s="69">
        <f t="shared" si="2"/>
        <v>1</v>
      </c>
      <c r="J81" s="67" t="e">
        <f>VLOOKUP(G81,Results!$F$31:$G$38,2,FALSE)</f>
        <v>#N/A</v>
      </c>
    </row>
    <row r="82" spans="1:10" x14ac:dyDescent="0.3">
      <c r="A82"/>
      <c r="B82"/>
      <c r="C82"/>
      <c r="D82"/>
      <c r="E82"/>
      <c r="F82" s="66" t="e">
        <f>IF('Dupe Controller'!A82="Dupe", 'Account Dump'!F81, VLOOKUP(B82, Distribution!B:F, 5, FALSE))</f>
        <v>#N/A</v>
      </c>
      <c r="G82" s="67" t="e">
        <f>VLOOKUP(F82,Results!$E$31:$F$50,2,FALSE)</f>
        <v>#N/A</v>
      </c>
      <c r="H82" s="68">
        <v>43291</v>
      </c>
      <c r="I82" s="69">
        <f t="shared" si="2"/>
        <v>1</v>
      </c>
      <c r="J82" s="67" t="e">
        <f>VLOOKUP(G82,Results!$F$31:$G$38,2,FALSE)</f>
        <v>#N/A</v>
      </c>
    </row>
    <row r="83" spans="1:10" x14ac:dyDescent="0.3">
      <c r="A83"/>
      <c r="B83"/>
      <c r="C83"/>
      <c r="D83"/>
      <c r="E83"/>
      <c r="F83" s="66" t="e">
        <f>IF('Dupe Controller'!A83="Dupe", 'Account Dump'!F82, VLOOKUP(B83, Distribution!B:F, 5, FALSE))</f>
        <v>#N/A</v>
      </c>
      <c r="G83" s="67" t="e">
        <f>VLOOKUP(F83,Results!$E$31:$F$50,2,FALSE)</f>
        <v>#N/A</v>
      </c>
      <c r="H83" s="68">
        <v>43291</v>
      </c>
      <c r="I83" s="69">
        <f t="shared" si="2"/>
        <v>1</v>
      </c>
      <c r="J83" s="67" t="e">
        <f>VLOOKUP(G83,Results!$F$31:$G$38,2,FALSE)</f>
        <v>#N/A</v>
      </c>
    </row>
    <row r="84" spans="1:10" x14ac:dyDescent="0.3">
      <c r="A84"/>
      <c r="B84"/>
      <c r="C84"/>
      <c r="D84"/>
      <c r="E84"/>
      <c r="F84" s="66" t="e">
        <f>IF('Dupe Controller'!A84="Dupe", 'Account Dump'!F83, VLOOKUP(B84, Distribution!B:F, 5, FALSE))</f>
        <v>#N/A</v>
      </c>
      <c r="G84" s="67" t="e">
        <f>VLOOKUP(F84,Results!$E$31:$F$50,2,FALSE)</f>
        <v>#N/A</v>
      </c>
      <c r="H84" s="68">
        <v>43291</v>
      </c>
      <c r="I84" s="69">
        <f t="shared" si="2"/>
        <v>1</v>
      </c>
      <c r="J84" s="67" t="e">
        <f>VLOOKUP(G84,Results!$F$31:$G$38,2,FALSE)</f>
        <v>#N/A</v>
      </c>
    </row>
    <row r="85" spans="1:10" x14ac:dyDescent="0.3">
      <c r="A85"/>
      <c r="B85"/>
      <c r="C85"/>
      <c r="D85"/>
      <c r="E85"/>
      <c r="F85" s="66" t="e">
        <f>IF('Dupe Controller'!A85="Dupe", 'Account Dump'!F84, VLOOKUP(B85, Distribution!B:F, 5, FALSE))</f>
        <v>#N/A</v>
      </c>
      <c r="G85" s="67" t="e">
        <f>VLOOKUP(F85,Results!$E$31:$F$50,2,FALSE)</f>
        <v>#N/A</v>
      </c>
      <c r="H85" s="68">
        <v>43291</v>
      </c>
      <c r="I85" s="69">
        <f t="shared" si="2"/>
        <v>1</v>
      </c>
      <c r="J85" s="67" t="e">
        <f>VLOOKUP(G85,Results!$F$31:$G$38,2,FALSE)</f>
        <v>#N/A</v>
      </c>
    </row>
    <row r="86" spans="1:10" x14ac:dyDescent="0.3">
      <c r="A86"/>
      <c r="B86"/>
      <c r="C86"/>
      <c r="D86"/>
      <c r="E86"/>
      <c r="F86" s="66" t="e">
        <f>IF('Dupe Controller'!A86="Dupe", 'Account Dump'!F85, VLOOKUP(B86, Distribution!B:F, 5, FALSE))</f>
        <v>#N/A</v>
      </c>
      <c r="G86" s="67" t="e">
        <f>VLOOKUP(F86,Results!$E$31:$F$50,2,FALSE)</f>
        <v>#N/A</v>
      </c>
      <c r="H86" s="68">
        <v>43291</v>
      </c>
      <c r="I86" s="69">
        <f t="shared" si="2"/>
        <v>1</v>
      </c>
      <c r="J86" s="67" t="e">
        <f>VLOOKUP(G86,Results!$F$31:$G$38,2,FALSE)</f>
        <v>#N/A</v>
      </c>
    </row>
    <row r="87" spans="1:10" x14ac:dyDescent="0.3">
      <c r="A87"/>
      <c r="B87"/>
      <c r="C87"/>
      <c r="D87"/>
      <c r="E87"/>
      <c r="F87" s="66" t="e">
        <f>IF('Dupe Controller'!A87="Dupe", 'Account Dump'!F86, VLOOKUP(B87, Distribution!B:F, 5, FALSE))</f>
        <v>#N/A</v>
      </c>
      <c r="G87" s="67" t="e">
        <f>VLOOKUP(F87,Results!$E$31:$F$50,2,FALSE)</f>
        <v>#N/A</v>
      </c>
      <c r="H87" s="68">
        <v>43291</v>
      </c>
      <c r="I87" s="69">
        <f t="shared" si="2"/>
        <v>1</v>
      </c>
      <c r="J87" s="67" t="e">
        <f>VLOOKUP(G87,Results!$F$31:$G$38,2,FALSE)</f>
        <v>#N/A</v>
      </c>
    </row>
    <row r="88" spans="1:10" x14ac:dyDescent="0.3">
      <c r="A88"/>
      <c r="B88"/>
      <c r="C88"/>
      <c r="D88"/>
      <c r="E88"/>
      <c r="F88" s="66" t="e">
        <f>IF('Dupe Controller'!A88="Dupe", 'Account Dump'!F87, VLOOKUP(B88, Distribution!B:F, 5, FALSE))</f>
        <v>#N/A</v>
      </c>
      <c r="G88" s="67" t="e">
        <f>VLOOKUP(F88,Results!$E$31:$F$50,2,FALSE)</f>
        <v>#N/A</v>
      </c>
      <c r="H88" s="68">
        <v>43291</v>
      </c>
      <c r="I88" s="69">
        <f t="shared" si="2"/>
        <v>1</v>
      </c>
      <c r="J88" s="67" t="e">
        <f>VLOOKUP(G88,Results!$F$31:$G$38,2,FALSE)</f>
        <v>#N/A</v>
      </c>
    </row>
    <row r="89" spans="1:10" x14ac:dyDescent="0.3">
      <c r="A89"/>
      <c r="B89"/>
      <c r="C89"/>
      <c r="D89"/>
      <c r="E89"/>
      <c r="F89" s="66" t="e">
        <f>IF('Dupe Controller'!A89="Dupe", 'Account Dump'!F88, VLOOKUP(B89, Distribution!B:F, 5, FALSE))</f>
        <v>#N/A</v>
      </c>
      <c r="G89" s="67" t="e">
        <f>VLOOKUP(F89,Results!$E$31:$F$50,2,FALSE)</f>
        <v>#N/A</v>
      </c>
      <c r="H89" s="68">
        <v>43291</v>
      </c>
      <c r="I89" s="69">
        <f t="shared" si="2"/>
        <v>1</v>
      </c>
      <c r="J89" s="67" t="e">
        <f>VLOOKUP(G89,Results!$F$31:$G$38,2,FALSE)</f>
        <v>#N/A</v>
      </c>
    </row>
    <row r="90" spans="1:10" x14ac:dyDescent="0.3">
      <c r="A90"/>
      <c r="B90"/>
      <c r="C90"/>
      <c r="D90"/>
      <c r="E90"/>
      <c r="F90" s="66" t="e">
        <f>IF('Dupe Controller'!A90="Dupe", 'Account Dump'!F89, VLOOKUP(B90, Distribution!B:F, 5, FALSE))</f>
        <v>#N/A</v>
      </c>
      <c r="G90" s="67" t="e">
        <f>VLOOKUP(F90,Results!$E$31:$F$50,2,FALSE)</f>
        <v>#N/A</v>
      </c>
      <c r="H90" s="68">
        <v>43291</v>
      </c>
      <c r="I90" s="69">
        <f t="shared" si="2"/>
        <v>1</v>
      </c>
      <c r="J90" s="67" t="e">
        <f>VLOOKUP(G90,Results!$F$31:$G$38,2,FALSE)</f>
        <v>#N/A</v>
      </c>
    </row>
    <row r="91" spans="1:10" x14ac:dyDescent="0.3">
      <c r="A91"/>
      <c r="B91"/>
      <c r="C91"/>
      <c r="D91"/>
      <c r="E91"/>
      <c r="F91" s="66" t="e">
        <f>IF('Dupe Controller'!A91="Dupe", 'Account Dump'!F90, VLOOKUP(B91, Distribution!B:F, 5, FALSE))</f>
        <v>#N/A</v>
      </c>
      <c r="G91" s="67" t="e">
        <f>VLOOKUP(F91,Results!$E$31:$F$50,2,FALSE)</f>
        <v>#N/A</v>
      </c>
      <c r="H91" s="68">
        <v>43291</v>
      </c>
      <c r="I91" s="69">
        <f t="shared" si="2"/>
        <v>1</v>
      </c>
      <c r="J91" s="67" t="e">
        <f>VLOOKUP(G91,Results!$F$31:$G$38,2,FALSE)</f>
        <v>#N/A</v>
      </c>
    </row>
    <row r="92" spans="1:10" x14ac:dyDescent="0.3">
      <c r="A92"/>
      <c r="B92"/>
      <c r="C92"/>
      <c r="D92"/>
      <c r="E92"/>
      <c r="F92" s="66" t="e">
        <f>IF('Dupe Controller'!A92="Dupe", 'Account Dump'!F91, VLOOKUP(B92, Distribution!B:F, 5, FALSE))</f>
        <v>#N/A</v>
      </c>
      <c r="G92" s="67" t="e">
        <f>VLOOKUP(F92,Results!$E$31:$F$50,2,FALSE)</f>
        <v>#N/A</v>
      </c>
      <c r="H92" s="68">
        <v>43291</v>
      </c>
      <c r="I92" s="69">
        <f t="shared" si="2"/>
        <v>1</v>
      </c>
      <c r="J92" s="67" t="e">
        <f>VLOOKUP(G92,Results!$F$31:$G$38,2,FALSE)</f>
        <v>#N/A</v>
      </c>
    </row>
    <row r="93" spans="1:10" x14ac:dyDescent="0.3">
      <c r="A93"/>
      <c r="B93"/>
      <c r="C93"/>
      <c r="D93"/>
      <c r="E93"/>
      <c r="F93" s="66" t="e">
        <f>IF('Dupe Controller'!A93="Dupe", 'Account Dump'!F92, VLOOKUP(B93, Distribution!B:F, 5, FALSE))</f>
        <v>#N/A</v>
      </c>
      <c r="G93" s="67" t="e">
        <f>VLOOKUP(F93,Results!$E$31:$F$50,2,FALSE)</f>
        <v>#N/A</v>
      </c>
      <c r="H93" s="68">
        <v>43291</v>
      </c>
      <c r="I93" s="69">
        <f t="shared" si="2"/>
        <v>1</v>
      </c>
      <c r="J93" s="67" t="e">
        <f>VLOOKUP(G93,Results!$F$31:$G$38,2,FALSE)</f>
        <v>#N/A</v>
      </c>
    </row>
    <row r="94" spans="1:10" x14ac:dyDescent="0.3">
      <c r="A94"/>
      <c r="B94"/>
      <c r="C94"/>
      <c r="D94"/>
      <c r="E94"/>
      <c r="F94" s="66" t="e">
        <f>IF('Dupe Controller'!A94="Dupe", 'Account Dump'!F93, VLOOKUP(B94, Distribution!B:F, 5, FALSE))</f>
        <v>#N/A</v>
      </c>
      <c r="G94" s="67" t="e">
        <f>VLOOKUP(F94,Results!$E$31:$F$50,2,FALSE)</f>
        <v>#N/A</v>
      </c>
      <c r="H94" s="68">
        <v>43291</v>
      </c>
      <c r="I94" s="69">
        <f t="shared" si="2"/>
        <v>1</v>
      </c>
      <c r="J94" s="67" t="e">
        <f>VLOOKUP(G94,Results!$F$31:$G$38,2,FALSE)</f>
        <v>#N/A</v>
      </c>
    </row>
    <row r="95" spans="1:10" x14ac:dyDescent="0.3">
      <c r="A95"/>
      <c r="B95"/>
      <c r="C95"/>
      <c r="D95"/>
      <c r="E95"/>
      <c r="F95" s="66" t="e">
        <f>IF('Dupe Controller'!A95="Dupe", 'Account Dump'!F94, VLOOKUP(B95, Distribution!B:F, 5, FALSE))</f>
        <v>#N/A</v>
      </c>
      <c r="G95" s="67" t="e">
        <f>VLOOKUP(F95,Results!$E$31:$F$50,2,FALSE)</f>
        <v>#N/A</v>
      </c>
      <c r="H95" s="68">
        <v>43291</v>
      </c>
      <c r="I95" s="69">
        <f t="shared" si="2"/>
        <v>1</v>
      </c>
      <c r="J95" s="67" t="e">
        <f>VLOOKUP(G95,Results!$F$31:$G$38,2,FALSE)</f>
        <v>#N/A</v>
      </c>
    </row>
    <row r="96" spans="1:10" x14ac:dyDescent="0.3">
      <c r="A96"/>
      <c r="B96"/>
      <c r="C96"/>
      <c r="D96"/>
      <c r="E96"/>
      <c r="F96" s="66" t="e">
        <f>IF('Dupe Controller'!A96="Dupe", 'Account Dump'!F95, VLOOKUP(B96, Distribution!B:F, 5, FALSE))</f>
        <v>#N/A</v>
      </c>
      <c r="G96" s="67" t="e">
        <f>VLOOKUP(F96,Results!$E$31:$F$50,2,FALSE)</f>
        <v>#N/A</v>
      </c>
      <c r="H96" s="68">
        <v>43291</v>
      </c>
      <c r="I96" s="69">
        <f t="shared" si="2"/>
        <v>1</v>
      </c>
      <c r="J96" s="67" t="e">
        <f>VLOOKUP(G96,Results!$F$31:$G$38,2,FALSE)</f>
        <v>#N/A</v>
      </c>
    </row>
    <row r="97" spans="1:10" x14ac:dyDescent="0.3">
      <c r="A97"/>
      <c r="B97"/>
      <c r="C97"/>
      <c r="D97"/>
      <c r="E97"/>
      <c r="F97" s="66" t="e">
        <f>IF('Dupe Controller'!A97="Dupe", 'Account Dump'!F96, VLOOKUP(B97, Distribution!B:F, 5, FALSE))</f>
        <v>#N/A</v>
      </c>
      <c r="G97" s="67" t="e">
        <f>VLOOKUP(F97,Results!$E$31:$F$50,2,FALSE)</f>
        <v>#N/A</v>
      </c>
      <c r="H97" s="68">
        <v>43291</v>
      </c>
      <c r="I97" s="69">
        <f t="shared" si="2"/>
        <v>1</v>
      </c>
      <c r="J97" s="67" t="e">
        <f>VLOOKUP(G97,Results!$F$31:$G$38,2,FALSE)</f>
        <v>#N/A</v>
      </c>
    </row>
    <row r="98" spans="1:10" x14ac:dyDescent="0.3">
      <c r="A98"/>
      <c r="B98"/>
      <c r="C98"/>
      <c r="D98"/>
      <c r="E98"/>
      <c r="F98" s="66" t="e">
        <f>IF('Dupe Controller'!A98="Dupe", 'Account Dump'!F97, VLOOKUP(B98, Distribution!B:F, 5, FALSE))</f>
        <v>#N/A</v>
      </c>
      <c r="G98" s="67" t="e">
        <f>VLOOKUP(F98,Results!$E$31:$F$50,2,FALSE)</f>
        <v>#N/A</v>
      </c>
      <c r="H98" s="68">
        <v>43291</v>
      </c>
      <c r="I98" s="69">
        <f t="shared" ref="I98:I131" si="3">IF(D98=D97,1, 0)</f>
        <v>1</v>
      </c>
      <c r="J98" s="67" t="e">
        <f>VLOOKUP(G98,Results!$F$31:$G$38,2,FALSE)</f>
        <v>#N/A</v>
      </c>
    </row>
    <row r="99" spans="1:10" x14ac:dyDescent="0.3">
      <c r="A99"/>
      <c r="B99"/>
      <c r="C99"/>
      <c r="D99"/>
      <c r="E99"/>
      <c r="F99" s="66" t="e">
        <f>IF('Dupe Controller'!A99="Dupe", 'Account Dump'!F98, VLOOKUP(B99, Distribution!B:F, 5, FALSE))</f>
        <v>#N/A</v>
      </c>
      <c r="G99" s="67" t="e">
        <f>VLOOKUP(F99,Results!$E$31:$F$50,2,FALSE)</f>
        <v>#N/A</v>
      </c>
      <c r="H99" s="68">
        <v>43291</v>
      </c>
      <c r="I99" s="69">
        <f t="shared" si="3"/>
        <v>1</v>
      </c>
      <c r="J99" s="67" t="e">
        <f>VLOOKUP(G99,Results!$F$31:$G$38,2,FALSE)</f>
        <v>#N/A</v>
      </c>
    </row>
    <row r="100" spans="1:10" x14ac:dyDescent="0.3">
      <c r="A100"/>
      <c r="B100"/>
      <c r="C100"/>
      <c r="D100"/>
      <c r="E100"/>
      <c r="F100" s="66" t="e">
        <f>IF('Dupe Controller'!A100="Dupe", 'Account Dump'!F99, VLOOKUP(B100, Distribution!B:F, 5, FALSE))</f>
        <v>#N/A</v>
      </c>
      <c r="G100" s="67" t="e">
        <f>VLOOKUP(F100,Results!$E$31:$F$50,2,FALSE)</f>
        <v>#N/A</v>
      </c>
      <c r="H100" s="68">
        <v>43291</v>
      </c>
      <c r="I100" s="69">
        <f t="shared" si="3"/>
        <v>1</v>
      </c>
      <c r="J100" s="67" t="e">
        <f>VLOOKUP(G100,Results!$F$31:$G$38,2,FALSE)</f>
        <v>#N/A</v>
      </c>
    </row>
    <row r="101" spans="1:10" x14ac:dyDescent="0.3">
      <c r="A101"/>
      <c r="B101"/>
      <c r="C101"/>
      <c r="D101"/>
      <c r="E101"/>
      <c r="F101" s="66" t="e">
        <f>IF('Dupe Controller'!A101="Dupe", 'Account Dump'!F100, VLOOKUP(B101, Distribution!B:F, 5, FALSE))</f>
        <v>#N/A</v>
      </c>
      <c r="G101" s="67" t="e">
        <f>VLOOKUP(F101,Results!$E$31:$F$50,2,FALSE)</f>
        <v>#N/A</v>
      </c>
      <c r="H101" s="68">
        <v>43291</v>
      </c>
      <c r="I101" s="69">
        <f t="shared" si="3"/>
        <v>1</v>
      </c>
      <c r="J101" s="67" t="e">
        <f>VLOOKUP(G101,Results!$F$31:$G$38,2,FALSE)</f>
        <v>#N/A</v>
      </c>
    </row>
    <row r="102" spans="1:10" x14ac:dyDescent="0.3">
      <c r="A102"/>
      <c r="B102"/>
      <c r="C102"/>
      <c r="D102"/>
      <c r="E102"/>
      <c r="F102" s="66" t="e">
        <f>IF('Dupe Controller'!A102="Dupe", 'Account Dump'!F101, VLOOKUP(B102, Distribution!B:F, 5, FALSE))</f>
        <v>#N/A</v>
      </c>
      <c r="G102" s="67" t="e">
        <f>VLOOKUP(F102,Results!$E$31:$F$50,2,FALSE)</f>
        <v>#N/A</v>
      </c>
      <c r="H102" s="68">
        <v>43291</v>
      </c>
      <c r="I102" s="69">
        <f t="shared" si="3"/>
        <v>1</v>
      </c>
      <c r="J102" s="67" t="e">
        <f>VLOOKUP(G102,Results!$F$31:$G$38,2,FALSE)</f>
        <v>#N/A</v>
      </c>
    </row>
    <row r="103" spans="1:10" x14ac:dyDescent="0.3">
      <c r="A103"/>
      <c r="B103"/>
      <c r="C103"/>
      <c r="D103"/>
      <c r="E103"/>
      <c r="F103" s="66" t="e">
        <f>IF('Dupe Controller'!A103="Dupe", 'Account Dump'!F102, VLOOKUP(B103, Distribution!B:F, 5, FALSE))</f>
        <v>#N/A</v>
      </c>
      <c r="G103" s="67" t="e">
        <f>VLOOKUP(F103,Results!$E$31:$F$50,2,FALSE)</f>
        <v>#N/A</v>
      </c>
      <c r="H103" s="68">
        <v>43291</v>
      </c>
      <c r="I103" s="69">
        <f t="shared" si="3"/>
        <v>1</v>
      </c>
      <c r="J103" s="67" t="e">
        <f>VLOOKUP(G103,Results!$F$31:$G$38,2,FALSE)</f>
        <v>#N/A</v>
      </c>
    </row>
    <row r="104" spans="1:10" x14ac:dyDescent="0.3">
      <c r="A104"/>
      <c r="B104"/>
      <c r="C104"/>
      <c r="D104"/>
      <c r="E104"/>
      <c r="F104" s="66" t="e">
        <f>IF('Dupe Controller'!A104="Dupe", 'Account Dump'!F103, VLOOKUP(B104, Distribution!B:F, 5, FALSE))</f>
        <v>#N/A</v>
      </c>
      <c r="G104" s="67" t="e">
        <f>VLOOKUP(F104,Results!$E$31:$F$50,2,FALSE)</f>
        <v>#N/A</v>
      </c>
      <c r="H104" s="68">
        <v>43291</v>
      </c>
      <c r="I104" s="69">
        <f t="shared" si="3"/>
        <v>1</v>
      </c>
      <c r="J104" s="67" t="e">
        <f>VLOOKUP(G104,Results!$F$31:$G$38,2,FALSE)</f>
        <v>#N/A</v>
      </c>
    </row>
    <row r="105" spans="1:10" x14ac:dyDescent="0.3">
      <c r="A105"/>
      <c r="B105"/>
      <c r="C105"/>
      <c r="D105"/>
      <c r="E105"/>
      <c r="F105" s="66" t="e">
        <f>IF('Dupe Controller'!A105="Dupe", 'Account Dump'!F104, VLOOKUP(B105, Distribution!B:F, 5, FALSE))</f>
        <v>#N/A</v>
      </c>
      <c r="G105" s="67" t="e">
        <f>VLOOKUP(F105,Results!$E$31:$F$50,2,FALSE)</f>
        <v>#N/A</v>
      </c>
      <c r="H105" s="68">
        <v>43291</v>
      </c>
      <c r="I105" s="69">
        <f t="shared" si="3"/>
        <v>1</v>
      </c>
      <c r="J105" s="67" t="e">
        <f>VLOOKUP(G105,Results!$F$31:$G$38,2,FALSE)</f>
        <v>#N/A</v>
      </c>
    </row>
    <row r="106" spans="1:10" x14ac:dyDescent="0.3">
      <c r="A106"/>
      <c r="B106"/>
      <c r="C106"/>
      <c r="D106"/>
      <c r="E106"/>
      <c r="F106" s="66" t="e">
        <f>IF('Dupe Controller'!A106="Dupe", 'Account Dump'!F105, VLOOKUP(B106, Distribution!B:F, 5, FALSE))</f>
        <v>#N/A</v>
      </c>
      <c r="G106" s="67" t="e">
        <f>VLOOKUP(F106,Results!$E$31:$F$50,2,FALSE)</f>
        <v>#N/A</v>
      </c>
      <c r="H106" s="68">
        <v>43291</v>
      </c>
      <c r="I106" s="69">
        <f t="shared" si="3"/>
        <v>1</v>
      </c>
      <c r="J106" s="67" t="e">
        <f>VLOOKUP(G106,Results!$F$31:$G$38,2,FALSE)</f>
        <v>#N/A</v>
      </c>
    </row>
    <row r="107" spans="1:10" x14ac:dyDescent="0.3">
      <c r="A107"/>
      <c r="B107"/>
      <c r="C107"/>
      <c r="D107"/>
      <c r="E107"/>
      <c r="F107" s="66" t="e">
        <f>IF('Dupe Controller'!A107="Dupe", 'Account Dump'!F106, VLOOKUP(B107, Distribution!B:F, 5, FALSE))</f>
        <v>#N/A</v>
      </c>
      <c r="G107" s="67" t="e">
        <f>VLOOKUP(F107,Results!$E$31:$F$50,2,FALSE)</f>
        <v>#N/A</v>
      </c>
      <c r="H107" s="68">
        <v>43291</v>
      </c>
      <c r="I107" s="69">
        <f t="shared" si="3"/>
        <v>1</v>
      </c>
      <c r="J107" s="67" t="e">
        <f>VLOOKUP(G107,Results!$F$31:$G$38,2,FALSE)</f>
        <v>#N/A</v>
      </c>
    </row>
    <row r="108" spans="1:10" x14ac:dyDescent="0.3">
      <c r="A108"/>
      <c r="B108"/>
      <c r="C108"/>
      <c r="D108"/>
      <c r="E108"/>
      <c r="F108" s="66" t="e">
        <f>IF('Dupe Controller'!A108="Dupe", 'Account Dump'!F107, VLOOKUP(B108, Distribution!B:F, 5, FALSE))</f>
        <v>#N/A</v>
      </c>
      <c r="G108" s="67" t="e">
        <f>VLOOKUP(F108,Results!$E$31:$F$50,2,FALSE)</f>
        <v>#N/A</v>
      </c>
      <c r="H108" s="68">
        <v>43291</v>
      </c>
      <c r="I108" s="69">
        <f t="shared" si="3"/>
        <v>1</v>
      </c>
      <c r="J108" s="67" t="e">
        <f>VLOOKUP(G108,Results!$F$31:$G$38,2,FALSE)</f>
        <v>#N/A</v>
      </c>
    </row>
    <row r="109" spans="1:10" x14ac:dyDescent="0.3">
      <c r="A109"/>
      <c r="B109"/>
      <c r="C109"/>
      <c r="D109"/>
      <c r="E109"/>
      <c r="F109" s="66" t="e">
        <f>IF('Dupe Controller'!A109="Dupe", 'Account Dump'!F108, VLOOKUP(B109, Distribution!B:F, 5, FALSE))</f>
        <v>#N/A</v>
      </c>
      <c r="G109" s="67" t="e">
        <f>VLOOKUP(F109,Results!$E$31:$F$50,2,FALSE)</f>
        <v>#N/A</v>
      </c>
      <c r="H109" s="68">
        <v>43291</v>
      </c>
      <c r="I109" s="69">
        <f t="shared" si="3"/>
        <v>1</v>
      </c>
      <c r="J109" s="67" t="e">
        <f>VLOOKUP(G109,Results!$F$31:$G$38,2,FALSE)</f>
        <v>#N/A</v>
      </c>
    </row>
    <row r="110" spans="1:10" x14ac:dyDescent="0.3">
      <c r="A110"/>
      <c r="B110"/>
      <c r="C110"/>
      <c r="D110"/>
      <c r="E110"/>
      <c r="F110" s="66" t="e">
        <f>IF('Dupe Controller'!A110="Dupe", 'Account Dump'!F109, VLOOKUP(B110, Distribution!B:F, 5, FALSE))</f>
        <v>#N/A</v>
      </c>
      <c r="G110" s="67" t="e">
        <f>VLOOKUP(F110,Results!$E$31:$F$50,2,FALSE)</f>
        <v>#N/A</v>
      </c>
      <c r="H110" s="68">
        <v>43291</v>
      </c>
      <c r="I110" s="69">
        <f t="shared" si="3"/>
        <v>1</v>
      </c>
      <c r="J110" s="67" t="e">
        <f>VLOOKUP(G110,Results!$F$31:$G$38,2,FALSE)</f>
        <v>#N/A</v>
      </c>
    </row>
    <row r="111" spans="1:10" x14ac:dyDescent="0.3">
      <c r="A111"/>
      <c r="B111"/>
      <c r="C111"/>
      <c r="D111"/>
      <c r="E111"/>
      <c r="F111" s="66" t="e">
        <f>IF('Dupe Controller'!A111="Dupe", 'Account Dump'!F110, VLOOKUP(B111, Distribution!B:F, 5, FALSE))</f>
        <v>#N/A</v>
      </c>
      <c r="G111" s="67" t="e">
        <f>VLOOKUP(F111,Results!$E$31:$F$50,2,FALSE)</f>
        <v>#N/A</v>
      </c>
      <c r="H111" s="68">
        <v>43291</v>
      </c>
      <c r="I111" s="69">
        <f t="shared" si="3"/>
        <v>1</v>
      </c>
      <c r="J111" s="67" t="e">
        <f>VLOOKUP(G111,Results!$F$31:$G$38,2,FALSE)</f>
        <v>#N/A</v>
      </c>
    </row>
    <row r="112" spans="1:10" x14ac:dyDescent="0.3">
      <c r="A112"/>
      <c r="B112"/>
      <c r="C112"/>
      <c r="D112"/>
      <c r="E112"/>
      <c r="F112" s="66" t="e">
        <f>IF('Dupe Controller'!A112="Dupe", 'Account Dump'!F111, VLOOKUP(B112, Distribution!B:F, 5, FALSE))</f>
        <v>#N/A</v>
      </c>
      <c r="G112" s="67" t="e">
        <f>VLOOKUP(F112,Results!$E$31:$F$50,2,FALSE)</f>
        <v>#N/A</v>
      </c>
      <c r="H112" s="68">
        <v>43291</v>
      </c>
      <c r="I112" s="69">
        <f t="shared" si="3"/>
        <v>1</v>
      </c>
      <c r="J112" s="67" t="e">
        <f>VLOOKUP(G112,Results!$F$31:$G$38,2,FALSE)</f>
        <v>#N/A</v>
      </c>
    </row>
    <row r="113" spans="1:10" x14ac:dyDescent="0.3">
      <c r="A113"/>
      <c r="B113"/>
      <c r="C113"/>
      <c r="D113"/>
      <c r="E113"/>
      <c r="F113" s="66" t="e">
        <f>IF('Dupe Controller'!A113="Dupe", 'Account Dump'!F112, VLOOKUP(B113, Distribution!B:F, 5, FALSE))</f>
        <v>#N/A</v>
      </c>
      <c r="G113" s="67" t="e">
        <f>VLOOKUP(F113,Results!$E$31:$F$50,2,FALSE)</f>
        <v>#N/A</v>
      </c>
      <c r="H113" s="68">
        <v>43291</v>
      </c>
      <c r="I113" s="69">
        <f t="shared" si="3"/>
        <v>1</v>
      </c>
      <c r="J113" s="67" t="e">
        <f>VLOOKUP(G113,Results!$F$31:$G$38,2,FALSE)</f>
        <v>#N/A</v>
      </c>
    </row>
    <row r="114" spans="1:10" x14ac:dyDescent="0.3">
      <c r="A114"/>
      <c r="B114"/>
      <c r="C114"/>
      <c r="D114"/>
      <c r="E114"/>
      <c r="F114" s="66" t="e">
        <f>IF('Dupe Controller'!A114="Dupe", 'Account Dump'!F113, VLOOKUP(B114, Distribution!B:F, 5, FALSE))</f>
        <v>#N/A</v>
      </c>
      <c r="G114" s="67" t="e">
        <f>VLOOKUP(F114,Results!$E$31:$F$50,2,FALSE)</f>
        <v>#N/A</v>
      </c>
      <c r="H114" s="68">
        <v>43291</v>
      </c>
      <c r="I114" s="69">
        <f t="shared" si="3"/>
        <v>1</v>
      </c>
      <c r="J114" s="67" t="e">
        <f>VLOOKUP(G114,Results!$F$31:$G$38,2,FALSE)</f>
        <v>#N/A</v>
      </c>
    </row>
    <row r="115" spans="1:10" x14ac:dyDescent="0.3">
      <c r="A115"/>
      <c r="B115"/>
      <c r="C115"/>
      <c r="D115"/>
      <c r="E115"/>
      <c r="F115" s="66" t="e">
        <f>IF('Dupe Controller'!A115="Dupe", 'Account Dump'!F114, VLOOKUP(B115, Distribution!B:F, 5, FALSE))</f>
        <v>#N/A</v>
      </c>
      <c r="G115" s="67" t="e">
        <f>VLOOKUP(F115,Results!$E$31:$F$50,2,FALSE)</f>
        <v>#N/A</v>
      </c>
      <c r="H115" s="68">
        <v>43291</v>
      </c>
      <c r="I115" s="69">
        <f t="shared" si="3"/>
        <v>1</v>
      </c>
      <c r="J115" s="67" t="e">
        <f>VLOOKUP(G115,Results!$F$31:$G$38,2,FALSE)</f>
        <v>#N/A</v>
      </c>
    </row>
    <row r="116" spans="1:10" x14ac:dyDescent="0.3">
      <c r="A116"/>
      <c r="B116"/>
      <c r="C116"/>
      <c r="D116"/>
      <c r="E116"/>
      <c r="F116" s="66" t="e">
        <f>IF('Dupe Controller'!A116="Dupe", 'Account Dump'!F115, VLOOKUP(B116, Distribution!B:F, 5, FALSE))</f>
        <v>#N/A</v>
      </c>
      <c r="G116" s="67" t="e">
        <f>VLOOKUP(F116,Results!$E$31:$F$50,2,FALSE)</f>
        <v>#N/A</v>
      </c>
      <c r="H116" s="68">
        <v>43291</v>
      </c>
      <c r="I116" s="69">
        <f t="shared" si="3"/>
        <v>1</v>
      </c>
      <c r="J116" s="67" t="e">
        <f>VLOOKUP(G116,Results!$F$31:$G$38,2,FALSE)</f>
        <v>#N/A</v>
      </c>
    </row>
    <row r="117" spans="1:10" x14ac:dyDescent="0.3">
      <c r="A117"/>
      <c r="B117"/>
      <c r="C117"/>
      <c r="D117"/>
      <c r="E117"/>
      <c r="F117" s="66" t="e">
        <f>IF('Dupe Controller'!A117="Dupe", 'Account Dump'!F116, VLOOKUP(B117, Distribution!B:F, 5, FALSE))</f>
        <v>#N/A</v>
      </c>
      <c r="G117" s="67" t="e">
        <f>VLOOKUP(F117,Results!$E$31:$F$50,2,FALSE)</f>
        <v>#N/A</v>
      </c>
      <c r="H117" s="68">
        <v>43291</v>
      </c>
      <c r="I117" s="69">
        <f t="shared" si="3"/>
        <v>1</v>
      </c>
      <c r="J117" s="67" t="e">
        <f>VLOOKUP(G117,Results!$F$31:$G$38,2,FALSE)</f>
        <v>#N/A</v>
      </c>
    </row>
    <row r="118" spans="1:10" x14ac:dyDescent="0.3">
      <c r="A118"/>
      <c r="B118"/>
      <c r="C118"/>
      <c r="D118"/>
      <c r="E118"/>
      <c r="F118" s="66" t="e">
        <f>IF('Dupe Controller'!A118="Dupe", 'Account Dump'!F117, VLOOKUP(B118, Distribution!B:F, 5, FALSE))</f>
        <v>#N/A</v>
      </c>
      <c r="G118" s="67" t="e">
        <f>VLOOKUP(F118,Results!$E$31:$F$50,2,FALSE)</f>
        <v>#N/A</v>
      </c>
      <c r="H118" s="68">
        <v>43291</v>
      </c>
      <c r="I118" s="69">
        <f t="shared" si="3"/>
        <v>1</v>
      </c>
      <c r="J118" s="67" t="e">
        <f>VLOOKUP(G118,Results!$F$31:$G$38,2,FALSE)</f>
        <v>#N/A</v>
      </c>
    </row>
    <row r="119" spans="1:10" x14ac:dyDescent="0.3">
      <c r="A119"/>
      <c r="B119"/>
      <c r="C119"/>
      <c r="D119"/>
      <c r="E119"/>
      <c r="F119" s="66" t="e">
        <f>IF('Dupe Controller'!A119="Dupe", 'Account Dump'!F118, VLOOKUP(B119, Distribution!B:F, 5, FALSE))</f>
        <v>#N/A</v>
      </c>
      <c r="G119" s="67" t="e">
        <f>VLOOKUP(F119,Results!$E$31:$F$50,2,FALSE)</f>
        <v>#N/A</v>
      </c>
      <c r="H119" s="68">
        <v>43291</v>
      </c>
      <c r="I119" s="69">
        <f t="shared" si="3"/>
        <v>1</v>
      </c>
      <c r="J119" s="67" t="e">
        <f>VLOOKUP(G119,Results!$F$31:$G$38,2,FALSE)</f>
        <v>#N/A</v>
      </c>
    </row>
    <row r="120" spans="1:10" x14ac:dyDescent="0.3">
      <c r="A120"/>
      <c r="B120"/>
      <c r="C120"/>
      <c r="D120"/>
      <c r="E120"/>
      <c r="F120" s="66" t="e">
        <f>IF('Dupe Controller'!A120="Dupe", 'Account Dump'!F119, VLOOKUP(B120, Distribution!B:F, 5, FALSE))</f>
        <v>#N/A</v>
      </c>
      <c r="G120" s="67" t="e">
        <f>VLOOKUP(F120,Results!$E$31:$F$50,2,FALSE)</f>
        <v>#N/A</v>
      </c>
      <c r="H120" s="68">
        <v>43291</v>
      </c>
      <c r="I120" s="69">
        <f t="shared" si="3"/>
        <v>1</v>
      </c>
      <c r="J120" s="67" t="e">
        <f>VLOOKUP(G120,Results!$F$31:$G$38,2,FALSE)</f>
        <v>#N/A</v>
      </c>
    </row>
    <row r="121" spans="1:10" x14ac:dyDescent="0.3">
      <c r="A121"/>
      <c r="B121"/>
      <c r="C121"/>
      <c r="D121"/>
      <c r="E121"/>
      <c r="F121" s="66" t="e">
        <f>IF('Dupe Controller'!A121="Dupe", 'Account Dump'!F120, VLOOKUP(B121, Distribution!B:F, 5, FALSE))</f>
        <v>#N/A</v>
      </c>
      <c r="G121" s="67" t="e">
        <f>VLOOKUP(F121,Results!$E$31:$F$50,2,FALSE)</f>
        <v>#N/A</v>
      </c>
      <c r="H121" s="68">
        <v>43291</v>
      </c>
      <c r="I121" s="69">
        <f t="shared" si="3"/>
        <v>1</v>
      </c>
      <c r="J121" s="67" t="e">
        <f>VLOOKUP(G121,Results!$F$31:$G$38,2,FALSE)</f>
        <v>#N/A</v>
      </c>
    </row>
    <row r="122" spans="1:10" x14ac:dyDescent="0.3">
      <c r="A122"/>
      <c r="B122"/>
      <c r="C122"/>
      <c r="D122"/>
      <c r="E122"/>
      <c r="F122" s="66" t="e">
        <f>IF('Dupe Controller'!A122="Dupe", 'Account Dump'!F121, VLOOKUP(B122, Distribution!B:F, 5, FALSE))</f>
        <v>#N/A</v>
      </c>
      <c r="G122" s="67" t="e">
        <f>VLOOKUP(F122,Results!$E$31:$F$50,2,FALSE)</f>
        <v>#N/A</v>
      </c>
      <c r="H122" s="68">
        <v>43291</v>
      </c>
      <c r="I122" s="69">
        <f t="shared" si="3"/>
        <v>1</v>
      </c>
      <c r="J122" s="67" t="e">
        <f>VLOOKUP(G122,Results!$F$31:$G$38,2,FALSE)</f>
        <v>#N/A</v>
      </c>
    </row>
    <row r="123" spans="1:10" x14ac:dyDescent="0.3">
      <c r="A123"/>
      <c r="B123"/>
      <c r="C123"/>
      <c r="D123"/>
      <c r="E123"/>
      <c r="F123" s="66" t="e">
        <f>IF('Dupe Controller'!A123="Dupe", 'Account Dump'!F122, VLOOKUP(B123, Distribution!B:F, 5, FALSE))</f>
        <v>#N/A</v>
      </c>
      <c r="G123" s="67" t="e">
        <f>VLOOKUP(F123,Results!$E$31:$F$50,2,FALSE)</f>
        <v>#N/A</v>
      </c>
      <c r="H123" s="68">
        <v>43291</v>
      </c>
      <c r="I123" s="69">
        <f t="shared" si="3"/>
        <v>1</v>
      </c>
      <c r="J123" s="67" t="e">
        <f>VLOOKUP(G123,Results!$F$31:$G$38,2,FALSE)</f>
        <v>#N/A</v>
      </c>
    </row>
    <row r="124" spans="1:10" x14ac:dyDescent="0.3">
      <c r="A124"/>
      <c r="B124"/>
      <c r="C124"/>
      <c r="D124"/>
      <c r="E124"/>
      <c r="F124" s="66" t="e">
        <f>IF('Dupe Controller'!A124="Dupe", 'Account Dump'!F123, VLOOKUP(B124, Distribution!B:F, 5, FALSE))</f>
        <v>#N/A</v>
      </c>
      <c r="G124" s="67" t="e">
        <f>VLOOKUP(F124,Results!$E$31:$F$50,2,FALSE)</f>
        <v>#N/A</v>
      </c>
      <c r="H124" s="68">
        <v>43291</v>
      </c>
      <c r="I124" s="69">
        <f t="shared" si="3"/>
        <v>1</v>
      </c>
      <c r="J124" s="67" t="e">
        <f>VLOOKUP(G124,Results!$F$31:$G$38,2,FALSE)</f>
        <v>#N/A</v>
      </c>
    </row>
    <row r="125" spans="1:10" x14ac:dyDescent="0.3">
      <c r="A125"/>
      <c r="B125"/>
      <c r="C125"/>
      <c r="D125"/>
      <c r="E125"/>
      <c r="F125" s="66" t="e">
        <f>IF('Dupe Controller'!A125="Dupe", 'Account Dump'!F124, VLOOKUP(B125, Distribution!B:F, 5, FALSE))</f>
        <v>#N/A</v>
      </c>
      <c r="G125" s="67" t="e">
        <f>VLOOKUP(F125,Results!$E$31:$F$50,2,FALSE)</f>
        <v>#N/A</v>
      </c>
      <c r="H125" s="68">
        <v>43291</v>
      </c>
      <c r="I125" s="69">
        <f t="shared" si="3"/>
        <v>1</v>
      </c>
      <c r="J125" s="67" t="e">
        <f>VLOOKUP(G125,Results!$F$31:$G$38,2,FALSE)</f>
        <v>#N/A</v>
      </c>
    </row>
    <row r="126" spans="1:10" x14ac:dyDescent="0.3">
      <c r="A126"/>
      <c r="B126"/>
      <c r="C126"/>
      <c r="D126"/>
      <c r="E126"/>
      <c r="F126" s="66" t="e">
        <f>IF('Dupe Controller'!A126="Dupe", 'Account Dump'!F125, VLOOKUP(B126, Distribution!B:F, 5, FALSE))</f>
        <v>#N/A</v>
      </c>
      <c r="G126" s="67" t="e">
        <f>VLOOKUP(F126,Results!$E$31:$F$50,2,FALSE)</f>
        <v>#N/A</v>
      </c>
      <c r="H126" s="68">
        <v>43291</v>
      </c>
      <c r="I126" s="69">
        <f t="shared" si="3"/>
        <v>1</v>
      </c>
      <c r="J126" s="67" t="e">
        <f>VLOOKUP(G126,Results!$F$31:$G$38,2,FALSE)</f>
        <v>#N/A</v>
      </c>
    </row>
    <row r="127" spans="1:10" x14ac:dyDescent="0.3">
      <c r="A127"/>
      <c r="B127"/>
      <c r="C127"/>
      <c r="D127"/>
      <c r="E127"/>
      <c r="F127" s="66" t="e">
        <f>IF('Dupe Controller'!A127="Dupe", 'Account Dump'!F126, VLOOKUP(B127, Distribution!B:F, 5, FALSE))</f>
        <v>#N/A</v>
      </c>
      <c r="G127" s="67" t="e">
        <f>VLOOKUP(F127,Results!$E$31:$F$50,2,FALSE)</f>
        <v>#N/A</v>
      </c>
      <c r="H127" s="68">
        <v>43291</v>
      </c>
      <c r="I127" s="69">
        <f t="shared" si="3"/>
        <v>1</v>
      </c>
      <c r="J127" s="67" t="e">
        <f>VLOOKUP(G127,Results!$F$31:$G$38,2,FALSE)</f>
        <v>#N/A</v>
      </c>
    </row>
    <row r="128" spans="1:10" x14ac:dyDescent="0.3">
      <c r="A128"/>
      <c r="B128"/>
      <c r="C128"/>
      <c r="D128"/>
      <c r="E128"/>
      <c r="F128" s="66" t="e">
        <f>IF('Dupe Controller'!A128="Dupe", 'Account Dump'!F127, VLOOKUP(B128, Distribution!B:F, 5, FALSE))</f>
        <v>#N/A</v>
      </c>
      <c r="G128" s="67" t="e">
        <f>VLOOKUP(F128,Results!$E$31:$F$50,2,FALSE)</f>
        <v>#N/A</v>
      </c>
      <c r="H128" s="68">
        <v>43291</v>
      </c>
      <c r="I128" s="69">
        <f t="shared" si="3"/>
        <v>1</v>
      </c>
      <c r="J128" s="67" t="e">
        <f>VLOOKUP(G128,Results!$F$31:$G$38,2,FALSE)</f>
        <v>#N/A</v>
      </c>
    </row>
    <row r="129" spans="1:10" x14ac:dyDescent="0.3">
      <c r="A129"/>
      <c r="B129"/>
      <c r="C129"/>
      <c r="D129"/>
      <c r="E129"/>
      <c r="F129" s="66" t="e">
        <f>IF('Dupe Controller'!A129="Dupe", 'Account Dump'!F128, VLOOKUP(B129, Distribution!B:F, 5, FALSE))</f>
        <v>#N/A</v>
      </c>
      <c r="G129" s="67" t="e">
        <f>VLOOKUP(F129,Results!$E$31:$F$50,2,FALSE)</f>
        <v>#N/A</v>
      </c>
      <c r="H129" s="68">
        <v>43291</v>
      </c>
      <c r="I129" s="69">
        <f t="shared" si="3"/>
        <v>1</v>
      </c>
      <c r="J129" s="67" t="e">
        <f>VLOOKUP(G129,Results!$F$31:$G$38,2,FALSE)</f>
        <v>#N/A</v>
      </c>
    </row>
    <row r="130" spans="1:10" x14ac:dyDescent="0.3">
      <c r="A130"/>
      <c r="B130"/>
      <c r="C130"/>
      <c r="D130"/>
      <c r="E130"/>
      <c r="F130" s="66" t="e">
        <f>IF('Dupe Controller'!A130="Dupe", 'Account Dump'!F129, VLOOKUP(B130, Distribution!B:F, 5, FALSE))</f>
        <v>#N/A</v>
      </c>
      <c r="G130" s="67" t="e">
        <f>VLOOKUP(F130,Results!$E$31:$F$50,2,FALSE)</f>
        <v>#N/A</v>
      </c>
      <c r="H130" s="68">
        <v>43291</v>
      </c>
      <c r="I130" s="69">
        <f t="shared" si="3"/>
        <v>1</v>
      </c>
      <c r="J130" s="67" t="e">
        <f>VLOOKUP(G130,Results!$F$31:$G$38,2,FALSE)</f>
        <v>#N/A</v>
      </c>
    </row>
    <row r="131" spans="1:10" x14ac:dyDescent="0.3">
      <c r="A131"/>
      <c r="B131"/>
      <c r="C131"/>
      <c r="D131"/>
      <c r="E131"/>
      <c r="F131" s="66" t="e">
        <f>IF('Dupe Controller'!A131="Dupe", 'Account Dump'!F130, VLOOKUP(B131, Distribution!B:F, 5, FALSE))</f>
        <v>#N/A</v>
      </c>
      <c r="G131" s="67" t="e">
        <f>VLOOKUP(F131,Results!$E$31:$F$50,2,FALSE)</f>
        <v>#N/A</v>
      </c>
      <c r="H131" s="68">
        <v>43292</v>
      </c>
      <c r="I131" s="69">
        <f t="shared" si="3"/>
        <v>1</v>
      </c>
      <c r="J131" s="67" t="e">
        <f>VLOOKUP(G131,Results!$F$31:$G$38,2,FALSE)</f>
        <v>#N/A</v>
      </c>
    </row>
    <row r="132" spans="1:10" x14ac:dyDescent="0.3">
      <c r="A132"/>
      <c r="B132"/>
      <c r="C132"/>
      <c r="D132"/>
      <c r="E132"/>
      <c r="F132" s="66" t="e">
        <f>IF('Dupe Controller'!A132="Dupe", 'Account Dump'!F131, VLOOKUP(B132, Distribution!B:F, 5, FALSE))</f>
        <v>#N/A</v>
      </c>
      <c r="G132" s="67" t="e">
        <f>VLOOKUP(F132,Results!$E$31:$F$50,2,FALSE)</f>
        <v>#N/A</v>
      </c>
      <c r="H132" s="68">
        <v>43293</v>
      </c>
      <c r="I132" s="69">
        <f t="shared" ref="I132:I195" si="4">IF(D132=D131,1, 0)</f>
        <v>1</v>
      </c>
      <c r="J132" s="67" t="e">
        <f>VLOOKUP(G132,Results!$F$31:$G$38,2,FALSE)</f>
        <v>#N/A</v>
      </c>
    </row>
    <row r="133" spans="1:10" x14ac:dyDescent="0.3">
      <c r="A133"/>
      <c r="B133"/>
      <c r="C133"/>
      <c r="D133"/>
      <c r="E133"/>
      <c r="F133" s="66" t="e">
        <f>IF('Dupe Controller'!A133="Dupe", 'Account Dump'!F132, VLOOKUP(B133, Distribution!B:F, 5, FALSE))</f>
        <v>#N/A</v>
      </c>
      <c r="G133" s="67" t="e">
        <f>VLOOKUP(F133,Results!$E$31:$F$50,2,FALSE)</f>
        <v>#N/A</v>
      </c>
      <c r="H133" s="68">
        <v>43294</v>
      </c>
      <c r="I133" s="69">
        <f t="shared" si="4"/>
        <v>1</v>
      </c>
      <c r="J133" s="67" t="e">
        <f>VLOOKUP(G133,Results!$F$31:$G$38,2,FALSE)</f>
        <v>#N/A</v>
      </c>
    </row>
    <row r="134" spans="1:10" x14ac:dyDescent="0.3">
      <c r="A134"/>
      <c r="B134"/>
      <c r="C134"/>
      <c r="D134"/>
      <c r="E134"/>
      <c r="F134" s="66" t="e">
        <f>IF('Dupe Controller'!A134="Dupe", 'Account Dump'!F133, VLOOKUP(B134, Distribution!B:F, 5, FALSE))</f>
        <v>#N/A</v>
      </c>
      <c r="G134" s="67" t="e">
        <f>VLOOKUP(F134,Results!$E$31:$F$50,2,FALSE)</f>
        <v>#N/A</v>
      </c>
      <c r="H134" s="68">
        <v>43295</v>
      </c>
      <c r="I134" s="69">
        <f t="shared" si="4"/>
        <v>1</v>
      </c>
      <c r="J134" s="67" t="e">
        <f>VLOOKUP(G134,Results!$F$31:$G$38,2,FALSE)</f>
        <v>#N/A</v>
      </c>
    </row>
    <row r="135" spans="1:10" x14ac:dyDescent="0.3">
      <c r="A135"/>
      <c r="B135"/>
      <c r="C135"/>
      <c r="D135"/>
      <c r="E135"/>
      <c r="F135" s="66" t="e">
        <f>IF('Dupe Controller'!A135="Dupe", 'Account Dump'!F134, VLOOKUP(B135, Distribution!B:F, 5, FALSE))</f>
        <v>#N/A</v>
      </c>
      <c r="G135" s="67" t="e">
        <f>VLOOKUP(F135,Results!$E$31:$F$50,2,FALSE)</f>
        <v>#N/A</v>
      </c>
      <c r="H135" s="68">
        <v>43296</v>
      </c>
      <c r="I135" s="69">
        <f t="shared" si="4"/>
        <v>1</v>
      </c>
      <c r="J135" s="67" t="e">
        <f>VLOOKUP(G135,Results!$F$31:$G$38,2,FALSE)</f>
        <v>#N/A</v>
      </c>
    </row>
    <row r="136" spans="1:10" x14ac:dyDescent="0.3">
      <c r="A136"/>
      <c r="B136"/>
      <c r="C136"/>
      <c r="D136"/>
      <c r="E136"/>
      <c r="F136" s="66" t="e">
        <f>IF('Dupe Controller'!A136="Dupe", 'Account Dump'!F135, VLOOKUP(B136, Distribution!B:F, 5, FALSE))</f>
        <v>#N/A</v>
      </c>
      <c r="G136" s="67" t="e">
        <f>VLOOKUP(F136,Results!$E$31:$F$50,2,FALSE)</f>
        <v>#N/A</v>
      </c>
      <c r="H136" s="68">
        <v>43297</v>
      </c>
      <c r="I136" s="69">
        <f t="shared" si="4"/>
        <v>1</v>
      </c>
      <c r="J136" s="67" t="e">
        <f>VLOOKUP(G136,Results!$F$31:$G$38,2,FALSE)</f>
        <v>#N/A</v>
      </c>
    </row>
    <row r="137" spans="1:10" x14ac:dyDescent="0.3">
      <c r="A137"/>
      <c r="B137"/>
      <c r="C137"/>
      <c r="D137"/>
      <c r="E137"/>
      <c r="F137" s="66" t="e">
        <f>IF('Dupe Controller'!A137="Dupe", 'Account Dump'!F136, VLOOKUP(B137, Distribution!B:F, 5, FALSE))</f>
        <v>#N/A</v>
      </c>
      <c r="G137" s="67" t="e">
        <f>VLOOKUP(F137,Results!$E$31:$F$50,2,FALSE)</f>
        <v>#N/A</v>
      </c>
      <c r="H137" s="68">
        <v>43298</v>
      </c>
      <c r="I137" s="69">
        <f t="shared" si="4"/>
        <v>1</v>
      </c>
      <c r="J137" s="67" t="e">
        <f>VLOOKUP(G137,Results!$F$31:$G$38,2,FALSE)</f>
        <v>#N/A</v>
      </c>
    </row>
    <row r="138" spans="1:10" x14ac:dyDescent="0.3">
      <c r="A138"/>
      <c r="B138"/>
      <c r="C138"/>
      <c r="D138"/>
      <c r="E138"/>
      <c r="F138" s="66" t="e">
        <f>IF('Dupe Controller'!A138="Dupe", 'Account Dump'!F137, VLOOKUP(B138, Distribution!B:F, 5, FALSE))</f>
        <v>#N/A</v>
      </c>
      <c r="G138" s="67" t="e">
        <f>VLOOKUP(F138,Results!$E$31:$F$50,2,FALSE)</f>
        <v>#N/A</v>
      </c>
      <c r="H138" s="68">
        <v>43299</v>
      </c>
      <c r="I138" s="69">
        <f t="shared" si="4"/>
        <v>1</v>
      </c>
      <c r="J138" s="67" t="e">
        <f>VLOOKUP(G138,Results!$F$31:$G$38,2,FALSE)</f>
        <v>#N/A</v>
      </c>
    </row>
    <row r="139" spans="1:10" x14ac:dyDescent="0.3">
      <c r="A139"/>
      <c r="B139"/>
      <c r="C139"/>
      <c r="D139"/>
      <c r="E139"/>
      <c r="F139" s="66" t="e">
        <f>IF('Dupe Controller'!A139="Dupe", 'Account Dump'!F138, VLOOKUP(B139, Distribution!B:F, 5, FALSE))</f>
        <v>#N/A</v>
      </c>
      <c r="G139" s="67" t="e">
        <f>VLOOKUP(F139,Results!$E$31:$F$50,2,FALSE)</f>
        <v>#N/A</v>
      </c>
      <c r="H139" s="68">
        <v>43300</v>
      </c>
      <c r="I139" s="69">
        <f t="shared" si="4"/>
        <v>1</v>
      </c>
      <c r="J139" s="67" t="e">
        <f>VLOOKUP(G139,Results!$F$31:$G$38,2,FALSE)</f>
        <v>#N/A</v>
      </c>
    </row>
    <row r="140" spans="1:10" x14ac:dyDescent="0.3">
      <c r="A140"/>
      <c r="B140"/>
      <c r="C140"/>
      <c r="D140"/>
      <c r="E140"/>
      <c r="F140" s="66" t="e">
        <f>IF('Dupe Controller'!A140="Dupe", 'Account Dump'!F139, VLOOKUP(B140, Distribution!B:F, 5, FALSE))</f>
        <v>#N/A</v>
      </c>
      <c r="G140" s="67" t="e">
        <f>VLOOKUP(F140,Results!$E$31:$F$50,2,FALSE)</f>
        <v>#N/A</v>
      </c>
      <c r="H140" s="68">
        <v>43301</v>
      </c>
      <c r="I140" s="69">
        <f t="shared" si="4"/>
        <v>1</v>
      </c>
      <c r="J140" s="67" t="e">
        <f>VLOOKUP(G140,Results!$F$31:$G$38,2,FALSE)</f>
        <v>#N/A</v>
      </c>
    </row>
    <row r="141" spans="1:10" x14ac:dyDescent="0.3">
      <c r="A141"/>
      <c r="B141"/>
      <c r="C141"/>
      <c r="D141"/>
      <c r="E141"/>
      <c r="F141" s="66" t="e">
        <f>IF('Dupe Controller'!A141="Dupe", 'Account Dump'!F140, VLOOKUP(B141, Distribution!B:F, 5, FALSE))</f>
        <v>#N/A</v>
      </c>
      <c r="G141" s="67" t="e">
        <f>VLOOKUP(F141,Results!$E$31:$F$50,2,FALSE)</f>
        <v>#N/A</v>
      </c>
      <c r="H141" s="68">
        <v>43302</v>
      </c>
      <c r="I141" s="69">
        <f t="shared" si="4"/>
        <v>1</v>
      </c>
      <c r="J141" s="67" t="e">
        <f>VLOOKUP(G141,Results!$F$31:$G$38,2,FALSE)</f>
        <v>#N/A</v>
      </c>
    </row>
    <row r="142" spans="1:10" x14ac:dyDescent="0.3">
      <c r="A142"/>
      <c r="B142"/>
      <c r="C142"/>
      <c r="D142"/>
      <c r="E142"/>
      <c r="F142" s="66" t="e">
        <f>IF('Dupe Controller'!A142="Dupe", 'Account Dump'!F141, VLOOKUP(B142, Distribution!B:F, 5, FALSE))</f>
        <v>#N/A</v>
      </c>
      <c r="G142" s="67" t="e">
        <f>VLOOKUP(F142,Results!$E$31:$F$50,2,FALSE)</f>
        <v>#N/A</v>
      </c>
      <c r="H142" s="68">
        <v>43303</v>
      </c>
      <c r="I142" s="69">
        <f t="shared" si="4"/>
        <v>1</v>
      </c>
      <c r="J142" s="67" t="e">
        <f>VLOOKUP(G142,Results!$F$31:$G$38,2,FALSE)</f>
        <v>#N/A</v>
      </c>
    </row>
    <row r="143" spans="1:10" x14ac:dyDescent="0.3">
      <c r="A143"/>
      <c r="B143"/>
      <c r="C143"/>
      <c r="D143"/>
      <c r="E143"/>
      <c r="F143" s="66" t="e">
        <f>IF('Dupe Controller'!A143="Dupe", 'Account Dump'!F142, VLOOKUP(B143, Distribution!B:F, 5, FALSE))</f>
        <v>#N/A</v>
      </c>
      <c r="G143" s="67" t="e">
        <f>VLOOKUP(F143,Results!$E$31:$F$50,2,FALSE)</f>
        <v>#N/A</v>
      </c>
      <c r="H143" s="68">
        <v>43304</v>
      </c>
      <c r="I143" s="69">
        <f t="shared" si="4"/>
        <v>1</v>
      </c>
      <c r="J143" s="67" t="e">
        <f>VLOOKUP(G143,Results!$F$31:$G$38,2,FALSE)</f>
        <v>#N/A</v>
      </c>
    </row>
    <row r="144" spans="1:10" x14ac:dyDescent="0.3">
      <c r="A144"/>
      <c r="B144"/>
      <c r="C144"/>
      <c r="D144"/>
      <c r="E144"/>
      <c r="F144" s="66" t="e">
        <f>IF('Dupe Controller'!A144="Dupe", 'Account Dump'!F143, VLOOKUP(B144, Distribution!B:F, 5, FALSE))</f>
        <v>#N/A</v>
      </c>
      <c r="G144" s="67" t="e">
        <f>VLOOKUP(F144,Results!$E$31:$F$50,2,FALSE)</f>
        <v>#N/A</v>
      </c>
      <c r="H144" s="68">
        <v>43305</v>
      </c>
      <c r="I144" s="69">
        <f t="shared" si="4"/>
        <v>1</v>
      </c>
      <c r="J144" s="67" t="e">
        <f>VLOOKUP(G144,Results!$F$31:$G$38,2,FALSE)</f>
        <v>#N/A</v>
      </c>
    </row>
    <row r="145" spans="1:10" x14ac:dyDescent="0.3">
      <c r="A145"/>
      <c r="B145"/>
      <c r="C145"/>
      <c r="D145"/>
      <c r="E145"/>
      <c r="F145" s="66" t="e">
        <f>IF('Dupe Controller'!A145="Dupe", 'Account Dump'!F144, VLOOKUP(B145, Distribution!B:F, 5, FALSE))</f>
        <v>#N/A</v>
      </c>
      <c r="G145" s="67" t="e">
        <f>VLOOKUP(F145,Results!$E$31:$F$50,2,FALSE)</f>
        <v>#N/A</v>
      </c>
      <c r="H145" s="68">
        <v>43306</v>
      </c>
      <c r="I145" s="69">
        <f t="shared" si="4"/>
        <v>1</v>
      </c>
      <c r="J145" s="67" t="e">
        <f>VLOOKUP(G145,Results!$F$31:$G$38,2,FALSE)</f>
        <v>#N/A</v>
      </c>
    </row>
    <row r="146" spans="1:10" x14ac:dyDescent="0.3">
      <c r="A146"/>
      <c r="B146"/>
      <c r="C146"/>
      <c r="D146"/>
      <c r="E146"/>
      <c r="F146" s="66" t="e">
        <f>IF('Dupe Controller'!A146="Dupe", 'Account Dump'!F145, VLOOKUP(B146, Distribution!B:F, 5, FALSE))</f>
        <v>#N/A</v>
      </c>
      <c r="G146" s="67" t="e">
        <f>VLOOKUP(F146,Results!$E$31:$F$50,2,FALSE)</f>
        <v>#N/A</v>
      </c>
      <c r="H146" s="68">
        <v>43307</v>
      </c>
      <c r="I146" s="69">
        <f t="shared" si="4"/>
        <v>1</v>
      </c>
      <c r="J146" s="67" t="e">
        <f>VLOOKUP(G146,Results!$F$31:$G$38,2,FALSE)</f>
        <v>#N/A</v>
      </c>
    </row>
    <row r="147" spans="1:10" x14ac:dyDescent="0.3">
      <c r="A147"/>
      <c r="B147"/>
      <c r="C147"/>
      <c r="D147"/>
      <c r="E147"/>
      <c r="F147" s="66" t="e">
        <f>IF('Dupe Controller'!A147="Dupe", 'Account Dump'!F146, VLOOKUP(B147, Distribution!B:F, 5, FALSE))</f>
        <v>#N/A</v>
      </c>
      <c r="G147" s="67" t="e">
        <f>VLOOKUP(F147,Results!$E$31:$F$50,2,FALSE)</f>
        <v>#N/A</v>
      </c>
      <c r="H147" s="68">
        <v>43308</v>
      </c>
      <c r="I147" s="69">
        <f t="shared" si="4"/>
        <v>1</v>
      </c>
      <c r="J147" s="67" t="e">
        <f>VLOOKUP(G147,Results!$F$31:$G$38,2,FALSE)</f>
        <v>#N/A</v>
      </c>
    </row>
    <row r="148" spans="1:10" x14ac:dyDescent="0.3">
      <c r="A148"/>
      <c r="B148"/>
      <c r="C148"/>
      <c r="D148"/>
      <c r="E148"/>
      <c r="F148" s="66" t="e">
        <f>IF('Dupe Controller'!A148="Dupe", 'Account Dump'!F147, VLOOKUP(B148, Distribution!B:F, 5, FALSE))</f>
        <v>#N/A</v>
      </c>
      <c r="G148" s="67" t="e">
        <f>VLOOKUP(F148,Results!$E$31:$F$50,2,FALSE)</f>
        <v>#N/A</v>
      </c>
      <c r="H148" s="68">
        <v>43309</v>
      </c>
      <c r="I148" s="69">
        <f t="shared" si="4"/>
        <v>1</v>
      </c>
      <c r="J148" s="67" t="e">
        <f>VLOOKUP(G148,Results!$F$31:$G$38,2,FALSE)</f>
        <v>#N/A</v>
      </c>
    </row>
    <row r="149" spans="1:10" x14ac:dyDescent="0.3">
      <c r="A149"/>
      <c r="B149"/>
      <c r="C149"/>
      <c r="D149"/>
      <c r="E149"/>
      <c r="F149" s="66" t="e">
        <f>IF('Dupe Controller'!A149="Dupe", 'Account Dump'!F148, VLOOKUP(B149, Distribution!B:F, 5, FALSE))</f>
        <v>#N/A</v>
      </c>
      <c r="G149" s="67" t="e">
        <f>VLOOKUP(F149,Results!$E$31:$F$50,2,FALSE)</f>
        <v>#N/A</v>
      </c>
      <c r="H149" s="68">
        <v>43310</v>
      </c>
      <c r="I149" s="69">
        <f t="shared" si="4"/>
        <v>1</v>
      </c>
      <c r="J149" s="67" t="e">
        <f>VLOOKUP(G149,Results!$F$31:$G$38,2,FALSE)</f>
        <v>#N/A</v>
      </c>
    </row>
    <row r="150" spans="1:10" x14ac:dyDescent="0.3">
      <c r="A150"/>
      <c r="B150"/>
      <c r="C150"/>
      <c r="D150"/>
      <c r="E150"/>
      <c r="F150" s="66" t="e">
        <f>IF('Dupe Controller'!A150="Dupe", 'Account Dump'!F149, VLOOKUP(B150, Distribution!B:F, 5, FALSE))</f>
        <v>#N/A</v>
      </c>
      <c r="G150" s="67" t="e">
        <f>VLOOKUP(F150,Results!$E$31:$F$50,2,FALSE)</f>
        <v>#N/A</v>
      </c>
      <c r="H150" s="68">
        <v>43311</v>
      </c>
      <c r="I150" s="69">
        <f t="shared" si="4"/>
        <v>1</v>
      </c>
      <c r="J150" s="67" t="e">
        <f>VLOOKUP(G150,Results!$F$31:$G$38,2,FALSE)</f>
        <v>#N/A</v>
      </c>
    </row>
    <row r="151" spans="1:10" x14ac:dyDescent="0.3">
      <c r="A151"/>
      <c r="B151"/>
      <c r="C151"/>
      <c r="D151"/>
      <c r="E151"/>
      <c r="F151" s="66" t="e">
        <f>IF('Dupe Controller'!A151="Dupe", 'Account Dump'!F150, VLOOKUP(B151, Distribution!B:F, 5, FALSE))</f>
        <v>#N/A</v>
      </c>
      <c r="G151" s="67" t="e">
        <f>VLOOKUP(F151,Results!$E$31:$F$50,2,FALSE)</f>
        <v>#N/A</v>
      </c>
      <c r="H151" s="68">
        <v>43312</v>
      </c>
      <c r="I151" s="69">
        <f t="shared" si="4"/>
        <v>1</v>
      </c>
      <c r="J151" s="67" t="e">
        <f>VLOOKUP(G151,Results!$F$31:$G$38,2,FALSE)</f>
        <v>#N/A</v>
      </c>
    </row>
    <row r="152" spans="1:10" x14ac:dyDescent="0.3">
      <c r="A152"/>
      <c r="B152"/>
      <c r="C152"/>
      <c r="D152"/>
      <c r="E152"/>
      <c r="F152" s="66" t="e">
        <f>IF('Dupe Controller'!A152="Dupe", 'Account Dump'!F151, VLOOKUP(B152, Distribution!B:F, 5, FALSE))</f>
        <v>#N/A</v>
      </c>
      <c r="G152" s="67" t="e">
        <f>VLOOKUP(F152,Results!$E$31:$F$50,2,FALSE)</f>
        <v>#N/A</v>
      </c>
      <c r="H152" s="68">
        <v>43313</v>
      </c>
      <c r="I152" s="69">
        <f t="shared" si="4"/>
        <v>1</v>
      </c>
      <c r="J152" s="67" t="e">
        <f>VLOOKUP(G152,Results!$F$31:$G$38,2,FALSE)</f>
        <v>#N/A</v>
      </c>
    </row>
    <row r="153" spans="1:10" x14ac:dyDescent="0.3">
      <c r="A153"/>
      <c r="B153"/>
      <c r="C153"/>
      <c r="D153"/>
      <c r="E153"/>
      <c r="F153" s="66" t="e">
        <f>IF('Dupe Controller'!A153="Dupe", 'Account Dump'!F152, VLOOKUP(B153, Distribution!B:F, 5, FALSE))</f>
        <v>#N/A</v>
      </c>
      <c r="G153" s="67" t="e">
        <f>VLOOKUP(F153,Results!$E$31:$F$50,2,FALSE)</f>
        <v>#N/A</v>
      </c>
      <c r="H153" s="68">
        <v>43314</v>
      </c>
      <c r="I153" s="69">
        <f t="shared" si="4"/>
        <v>1</v>
      </c>
      <c r="J153" s="67" t="e">
        <f>VLOOKUP(G153,Results!$F$31:$G$38,2,FALSE)</f>
        <v>#N/A</v>
      </c>
    </row>
    <row r="154" spans="1:10" x14ac:dyDescent="0.3">
      <c r="A154"/>
      <c r="B154"/>
      <c r="C154"/>
      <c r="D154"/>
      <c r="E154"/>
      <c r="F154" s="66" t="e">
        <f>IF('Dupe Controller'!A154="Dupe", 'Account Dump'!F153, VLOOKUP(B154, Distribution!B:F, 5, FALSE))</f>
        <v>#N/A</v>
      </c>
      <c r="G154" s="67" t="e">
        <f>VLOOKUP(F154,Results!$E$31:$F$50,2,FALSE)</f>
        <v>#N/A</v>
      </c>
      <c r="H154" s="68">
        <v>43315</v>
      </c>
      <c r="I154" s="69">
        <f t="shared" si="4"/>
        <v>1</v>
      </c>
      <c r="J154" s="67" t="e">
        <f>VLOOKUP(G154,Results!$F$31:$G$38,2,FALSE)</f>
        <v>#N/A</v>
      </c>
    </row>
    <row r="155" spans="1:10" x14ac:dyDescent="0.3">
      <c r="A155"/>
      <c r="B155"/>
      <c r="C155"/>
      <c r="D155"/>
      <c r="E155"/>
      <c r="F155" s="66" t="e">
        <f>IF('Dupe Controller'!A155="Dupe", 'Account Dump'!F154, VLOOKUP(B155, Distribution!B:F, 5, FALSE))</f>
        <v>#N/A</v>
      </c>
      <c r="G155" s="67" t="e">
        <f>VLOOKUP(F155,Results!$E$31:$F$50,2,FALSE)</f>
        <v>#N/A</v>
      </c>
      <c r="H155" s="68">
        <v>43316</v>
      </c>
      <c r="I155" s="69">
        <f t="shared" si="4"/>
        <v>1</v>
      </c>
      <c r="J155" s="67" t="e">
        <f>VLOOKUP(G155,Results!$F$31:$G$38,2,FALSE)</f>
        <v>#N/A</v>
      </c>
    </row>
    <row r="156" spans="1:10" x14ac:dyDescent="0.3">
      <c r="A156"/>
      <c r="B156"/>
      <c r="C156"/>
      <c r="D156"/>
      <c r="E156"/>
      <c r="F156" s="66" t="e">
        <f>IF('Dupe Controller'!A156="Dupe", 'Account Dump'!F155, VLOOKUP(B156, Distribution!B:F, 5, FALSE))</f>
        <v>#N/A</v>
      </c>
      <c r="G156" s="67" t="e">
        <f>VLOOKUP(F156,Results!$E$31:$F$50,2,FALSE)</f>
        <v>#N/A</v>
      </c>
      <c r="H156" s="68">
        <v>43317</v>
      </c>
      <c r="I156" s="69">
        <f t="shared" si="4"/>
        <v>1</v>
      </c>
      <c r="J156" s="67" t="e">
        <f>VLOOKUP(G156,Results!$F$31:$G$38,2,FALSE)</f>
        <v>#N/A</v>
      </c>
    </row>
    <row r="157" spans="1:10" x14ac:dyDescent="0.3">
      <c r="A157"/>
      <c r="B157"/>
      <c r="C157"/>
      <c r="D157"/>
      <c r="E157"/>
      <c r="F157" s="66" t="e">
        <f>IF('Dupe Controller'!A157="Dupe", 'Account Dump'!F156, VLOOKUP(B157, Distribution!B:F, 5, FALSE))</f>
        <v>#N/A</v>
      </c>
      <c r="G157" s="67" t="e">
        <f>VLOOKUP(F157,Results!$E$31:$F$50,2,FALSE)</f>
        <v>#N/A</v>
      </c>
      <c r="H157" s="68">
        <v>43318</v>
      </c>
      <c r="I157" s="69">
        <f t="shared" si="4"/>
        <v>1</v>
      </c>
      <c r="J157" s="67" t="e">
        <f>VLOOKUP(G157,Results!$F$31:$G$38,2,FALSE)</f>
        <v>#N/A</v>
      </c>
    </row>
    <row r="158" spans="1:10" x14ac:dyDescent="0.3">
      <c r="A158"/>
      <c r="B158"/>
      <c r="C158"/>
      <c r="D158"/>
      <c r="E158"/>
      <c r="F158" s="66" t="e">
        <f>IF('Dupe Controller'!A158="Dupe", 'Account Dump'!F157, VLOOKUP(B158, Distribution!B:F, 5, FALSE))</f>
        <v>#N/A</v>
      </c>
      <c r="G158" s="67" t="e">
        <f>VLOOKUP(F158,Results!$E$31:$F$50,2,FALSE)</f>
        <v>#N/A</v>
      </c>
      <c r="H158" s="68">
        <v>43319</v>
      </c>
      <c r="I158" s="69">
        <f t="shared" si="4"/>
        <v>1</v>
      </c>
      <c r="J158" s="67" t="e">
        <f>VLOOKUP(G158,Results!$F$31:$G$38,2,FALSE)</f>
        <v>#N/A</v>
      </c>
    </row>
    <row r="159" spans="1:10" x14ac:dyDescent="0.3">
      <c r="A159"/>
      <c r="B159"/>
      <c r="C159"/>
      <c r="D159"/>
      <c r="E159"/>
      <c r="F159" s="66" t="e">
        <f>IF('Dupe Controller'!A159="Dupe", 'Account Dump'!F158, VLOOKUP(B159, Distribution!B:F, 5, FALSE))</f>
        <v>#N/A</v>
      </c>
      <c r="G159" s="67" t="e">
        <f>VLOOKUP(F159,Results!$E$31:$F$50,2,FALSE)</f>
        <v>#N/A</v>
      </c>
      <c r="H159" s="68">
        <v>43320</v>
      </c>
      <c r="I159" s="69">
        <f t="shared" si="4"/>
        <v>1</v>
      </c>
      <c r="J159" s="67" t="e">
        <f>VLOOKUP(G159,Results!$F$31:$G$38,2,FALSE)</f>
        <v>#N/A</v>
      </c>
    </row>
    <row r="160" spans="1:10" x14ac:dyDescent="0.3">
      <c r="A160"/>
      <c r="B160"/>
      <c r="C160"/>
      <c r="D160"/>
      <c r="E160"/>
      <c r="F160" s="66" t="e">
        <f>IF('Dupe Controller'!A160="Dupe", 'Account Dump'!F159, VLOOKUP(B160, Distribution!B:F, 5, FALSE))</f>
        <v>#N/A</v>
      </c>
      <c r="G160" s="67" t="e">
        <f>VLOOKUP(F160,Results!$E$31:$F$50,2,FALSE)</f>
        <v>#N/A</v>
      </c>
      <c r="H160" s="68">
        <v>43321</v>
      </c>
      <c r="I160" s="69">
        <f t="shared" si="4"/>
        <v>1</v>
      </c>
      <c r="J160" s="67" t="e">
        <f>VLOOKUP(G160,Results!$F$31:$G$38,2,FALSE)</f>
        <v>#N/A</v>
      </c>
    </row>
    <row r="161" spans="1:10" x14ac:dyDescent="0.3">
      <c r="A161"/>
      <c r="B161"/>
      <c r="C161"/>
      <c r="D161"/>
      <c r="E161"/>
      <c r="F161" s="66" t="e">
        <f>IF('Dupe Controller'!A161="Dupe", 'Account Dump'!F160, VLOOKUP(B161, Distribution!B:F, 5, FALSE))</f>
        <v>#N/A</v>
      </c>
      <c r="G161" s="67" t="e">
        <f>VLOOKUP(F161,Results!$E$31:$F$50,2,FALSE)</f>
        <v>#N/A</v>
      </c>
      <c r="H161" s="68">
        <v>43322</v>
      </c>
      <c r="I161" s="69">
        <f t="shared" si="4"/>
        <v>1</v>
      </c>
      <c r="J161" s="67" t="e">
        <f>VLOOKUP(G161,Results!$F$31:$G$38,2,FALSE)</f>
        <v>#N/A</v>
      </c>
    </row>
    <row r="162" spans="1:10" x14ac:dyDescent="0.3">
      <c r="A162"/>
      <c r="B162"/>
      <c r="C162"/>
      <c r="D162"/>
      <c r="E162"/>
      <c r="F162" s="66" t="e">
        <f>IF('Dupe Controller'!A162="Dupe", 'Account Dump'!F161, VLOOKUP(B162, Distribution!B:F, 5, FALSE))</f>
        <v>#N/A</v>
      </c>
      <c r="G162" s="67" t="e">
        <f>VLOOKUP(F162,Results!$E$31:$F$50,2,FALSE)</f>
        <v>#N/A</v>
      </c>
      <c r="H162" s="68">
        <v>43323</v>
      </c>
      <c r="I162" s="69">
        <f t="shared" si="4"/>
        <v>1</v>
      </c>
      <c r="J162" s="67" t="e">
        <f>VLOOKUP(G162,Results!$F$31:$G$38,2,FALSE)</f>
        <v>#N/A</v>
      </c>
    </row>
    <row r="163" spans="1:10" x14ac:dyDescent="0.3">
      <c r="A163"/>
      <c r="B163"/>
      <c r="C163"/>
      <c r="D163"/>
      <c r="E163"/>
      <c r="F163" s="66" t="e">
        <f>IF('Dupe Controller'!A163="Dupe", 'Account Dump'!F162, VLOOKUP(B163, Distribution!B:F, 5, FALSE))</f>
        <v>#N/A</v>
      </c>
      <c r="G163" s="67" t="e">
        <f>VLOOKUP(F163,Results!$E$31:$F$50,2,FALSE)</f>
        <v>#N/A</v>
      </c>
      <c r="H163" s="68">
        <v>43324</v>
      </c>
      <c r="I163" s="69">
        <f t="shared" si="4"/>
        <v>1</v>
      </c>
      <c r="J163" s="67" t="e">
        <f>VLOOKUP(G163,Results!$F$31:$G$38,2,FALSE)</f>
        <v>#N/A</v>
      </c>
    </row>
    <row r="164" spans="1:10" x14ac:dyDescent="0.3">
      <c r="A164"/>
      <c r="B164"/>
      <c r="C164"/>
      <c r="D164"/>
      <c r="E164"/>
      <c r="F164" s="66" t="e">
        <f>IF('Dupe Controller'!A164="Dupe", 'Account Dump'!F163, VLOOKUP(B164, Distribution!B:F, 5, FALSE))</f>
        <v>#N/A</v>
      </c>
      <c r="G164" s="67" t="e">
        <f>VLOOKUP(F164,Results!$E$31:$F$50,2,FALSE)</f>
        <v>#N/A</v>
      </c>
      <c r="H164" s="68">
        <v>43325</v>
      </c>
      <c r="I164" s="69">
        <f t="shared" si="4"/>
        <v>1</v>
      </c>
      <c r="J164" s="67" t="e">
        <f>VLOOKUP(G164,Results!$F$31:$G$38,2,FALSE)</f>
        <v>#N/A</v>
      </c>
    </row>
    <row r="165" spans="1:10" x14ac:dyDescent="0.3">
      <c r="A165"/>
      <c r="B165"/>
      <c r="C165"/>
      <c r="D165"/>
      <c r="E165"/>
      <c r="F165" s="66" t="e">
        <f>IF('Dupe Controller'!A165="Dupe", 'Account Dump'!F164, VLOOKUP(B165, Distribution!B:F, 5, FALSE))</f>
        <v>#N/A</v>
      </c>
      <c r="G165" s="67" t="e">
        <f>VLOOKUP(F165,Results!$E$31:$F$50,2,FALSE)</f>
        <v>#N/A</v>
      </c>
      <c r="H165" s="68">
        <v>43326</v>
      </c>
      <c r="I165" s="69">
        <f t="shared" si="4"/>
        <v>1</v>
      </c>
      <c r="J165" s="67" t="e">
        <f>VLOOKUP(G165,Results!$F$31:$G$38,2,FALSE)</f>
        <v>#N/A</v>
      </c>
    </row>
    <row r="166" spans="1:10" x14ac:dyDescent="0.3">
      <c r="A166"/>
      <c r="B166"/>
      <c r="C166"/>
      <c r="D166"/>
      <c r="E166"/>
      <c r="F166" s="66" t="e">
        <f>IF('Dupe Controller'!A166="Dupe", 'Account Dump'!F165, VLOOKUP(B166, Distribution!B:F, 5, FALSE))</f>
        <v>#N/A</v>
      </c>
      <c r="G166" s="67" t="e">
        <f>VLOOKUP(F166,Results!$E$31:$F$50,2,FALSE)</f>
        <v>#N/A</v>
      </c>
      <c r="H166" s="68">
        <v>43327</v>
      </c>
      <c r="I166" s="69">
        <f t="shared" si="4"/>
        <v>1</v>
      </c>
      <c r="J166" s="67" t="e">
        <f>VLOOKUP(G166,Results!$F$31:$G$38,2,FALSE)</f>
        <v>#N/A</v>
      </c>
    </row>
    <row r="167" spans="1:10" x14ac:dyDescent="0.3">
      <c r="A167"/>
      <c r="B167"/>
      <c r="C167"/>
      <c r="D167"/>
      <c r="E167"/>
      <c r="F167" s="66" t="e">
        <f>IF('Dupe Controller'!A167="Dupe", 'Account Dump'!F166, VLOOKUP(B167, Distribution!B:F, 5, FALSE))</f>
        <v>#N/A</v>
      </c>
      <c r="G167" s="67" t="e">
        <f>VLOOKUP(F167,Results!$E$31:$F$50,2,FALSE)</f>
        <v>#N/A</v>
      </c>
      <c r="H167" s="68">
        <v>43328</v>
      </c>
      <c r="I167" s="69">
        <f t="shared" si="4"/>
        <v>1</v>
      </c>
      <c r="J167" s="67" t="e">
        <f>VLOOKUP(G167,Results!$F$31:$G$38,2,FALSE)</f>
        <v>#N/A</v>
      </c>
    </row>
    <row r="168" spans="1:10" x14ac:dyDescent="0.3">
      <c r="A168"/>
      <c r="B168"/>
      <c r="C168"/>
      <c r="D168"/>
      <c r="E168"/>
      <c r="F168" s="66" t="e">
        <f>IF('Dupe Controller'!A168="Dupe", 'Account Dump'!F167, VLOOKUP(B168, Distribution!B:F, 5, FALSE))</f>
        <v>#N/A</v>
      </c>
      <c r="G168" s="67" t="e">
        <f>VLOOKUP(F168,Results!$E$31:$F$50,2,FALSE)</f>
        <v>#N/A</v>
      </c>
      <c r="H168" s="68">
        <v>43329</v>
      </c>
      <c r="I168" s="69">
        <f t="shared" si="4"/>
        <v>1</v>
      </c>
      <c r="J168" s="67" t="e">
        <f>VLOOKUP(G168,Results!$F$31:$G$38,2,FALSE)</f>
        <v>#N/A</v>
      </c>
    </row>
    <row r="169" spans="1:10" x14ac:dyDescent="0.3">
      <c r="A169"/>
      <c r="B169"/>
      <c r="C169"/>
      <c r="D169"/>
      <c r="E169"/>
      <c r="F169" s="66" t="e">
        <f>IF('Dupe Controller'!A169="Dupe", 'Account Dump'!F168, VLOOKUP(B169, Distribution!B:F, 5, FALSE))</f>
        <v>#N/A</v>
      </c>
      <c r="G169" s="67" t="e">
        <f>VLOOKUP(F169,Results!$E$31:$F$50,2,FALSE)</f>
        <v>#N/A</v>
      </c>
      <c r="H169" s="68">
        <v>43330</v>
      </c>
      <c r="I169" s="69">
        <f t="shared" si="4"/>
        <v>1</v>
      </c>
      <c r="J169" s="67" t="e">
        <f>VLOOKUP(G169,Results!$F$31:$G$38,2,FALSE)</f>
        <v>#N/A</v>
      </c>
    </row>
    <row r="170" spans="1:10" x14ac:dyDescent="0.3">
      <c r="A170"/>
      <c r="B170"/>
      <c r="C170"/>
      <c r="D170"/>
      <c r="E170"/>
      <c r="F170" s="66" t="e">
        <f>IF('Dupe Controller'!A170="Dupe", 'Account Dump'!F169, VLOOKUP(B170, Distribution!B:F, 5, FALSE))</f>
        <v>#N/A</v>
      </c>
      <c r="G170" s="67" t="e">
        <f>VLOOKUP(F170,Results!$E$31:$F$50,2,FALSE)</f>
        <v>#N/A</v>
      </c>
      <c r="H170" s="68">
        <v>43331</v>
      </c>
      <c r="I170" s="69">
        <f t="shared" si="4"/>
        <v>1</v>
      </c>
      <c r="J170" s="67" t="e">
        <f>VLOOKUP(G170,Results!$F$31:$G$38,2,FALSE)</f>
        <v>#N/A</v>
      </c>
    </row>
    <row r="171" spans="1:10" x14ac:dyDescent="0.3">
      <c r="A171"/>
      <c r="B171"/>
      <c r="C171"/>
      <c r="D171"/>
      <c r="E171"/>
      <c r="F171" s="66" t="e">
        <f>IF('Dupe Controller'!A171="Dupe", 'Account Dump'!F170, VLOOKUP(B171, Distribution!B:F, 5, FALSE))</f>
        <v>#N/A</v>
      </c>
      <c r="G171" s="67" t="e">
        <f>VLOOKUP(F171,Results!$E$31:$F$50,2,FALSE)</f>
        <v>#N/A</v>
      </c>
      <c r="H171" s="68">
        <v>43332</v>
      </c>
      <c r="I171" s="69">
        <f t="shared" si="4"/>
        <v>1</v>
      </c>
      <c r="J171" s="67" t="e">
        <f>VLOOKUP(G171,Results!$F$31:$G$38,2,FALSE)</f>
        <v>#N/A</v>
      </c>
    </row>
    <row r="172" spans="1:10" x14ac:dyDescent="0.3">
      <c r="A172"/>
      <c r="B172"/>
      <c r="C172"/>
      <c r="D172"/>
      <c r="E172"/>
      <c r="F172" s="66" t="e">
        <f>IF('Dupe Controller'!A172="Dupe", 'Account Dump'!F171, VLOOKUP(B172, Distribution!B:F, 5, FALSE))</f>
        <v>#N/A</v>
      </c>
      <c r="G172" s="67" t="e">
        <f>VLOOKUP(F172,Results!$E$31:$F$50,2,FALSE)</f>
        <v>#N/A</v>
      </c>
      <c r="H172" s="68">
        <v>43333</v>
      </c>
      <c r="I172" s="69">
        <f t="shared" si="4"/>
        <v>1</v>
      </c>
      <c r="J172" s="67" t="e">
        <f>VLOOKUP(G172,Results!$F$31:$G$38,2,FALSE)</f>
        <v>#N/A</v>
      </c>
    </row>
    <row r="173" spans="1:10" x14ac:dyDescent="0.3">
      <c r="A173"/>
      <c r="B173"/>
      <c r="C173"/>
      <c r="D173"/>
      <c r="E173"/>
      <c r="F173" s="66" t="e">
        <f>IF('Dupe Controller'!A173="Dupe", 'Account Dump'!F172, VLOOKUP(B173, Distribution!B:F, 5, FALSE))</f>
        <v>#N/A</v>
      </c>
      <c r="G173" s="67" t="e">
        <f>VLOOKUP(F173,Results!$E$31:$F$50,2,FALSE)</f>
        <v>#N/A</v>
      </c>
      <c r="H173" s="68">
        <v>43334</v>
      </c>
      <c r="I173" s="69">
        <f t="shared" si="4"/>
        <v>1</v>
      </c>
      <c r="J173" s="67" t="e">
        <f>VLOOKUP(G173,Results!$F$31:$G$38,2,FALSE)</f>
        <v>#N/A</v>
      </c>
    </row>
    <row r="174" spans="1:10" x14ac:dyDescent="0.3">
      <c r="A174"/>
      <c r="B174"/>
      <c r="C174"/>
      <c r="D174"/>
      <c r="E174"/>
      <c r="F174" s="66" t="e">
        <f>IF('Dupe Controller'!A174="Dupe", 'Account Dump'!F173, VLOOKUP(B174, Distribution!B:F, 5, FALSE))</f>
        <v>#N/A</v>
      </c>
      <c r="G174" s="67" t="e">
        <f>VLOOKUP(F174,Results!$E$31:$F$50,2,FALSE)</f>
        <v>#N/A</v>
      </c>
      <c r="H174" s="68">
        <v>43335</v>
      </c>
      <c r="I174" s="69">
        <f t="shared" si="4"/>
        <v>1</v>
      </c>
      <c r="J174" s="67" t="e">
        <f>VLOOKUP(G174,Results!$F$31:$G$38,2,FALSE)</f>
        <v>#N/A</v>
      </c>
    </row>
    <row r="175" spans="1:10" x14ac:dyDescent="0.3">
      <c r="A175"/>
      <c r="B175"/>
      <c r="C175"/>
      <c r="D175"/>
      <c r="E175"/>
      <c r="F175" s="66" t="e">
        <f>IF('Dupe Controller'!A175="Dupe", 'Account Dump'!F174, VLOOKUP(B175, Distribution!B:F, 5, FALSE))</f>
        <v>#N/A</v>
      </c>
      <c r="G175" s="67" t="e">
        <f>VLOOKUP(F175,Results!$E$31:$F$50,2,FALSE)</f>
        <v>#N/A</v>
      </c>
      <c r="H175" s="68">
        <v>43336</v>
      </c>
      <c r="I175" s="69">
        <f t="shared" si="4"/>
        <v>1</v>
      </c>
      <c r="J175" s="67" t="e">
        <f>VLOOKUP(G175,Results!$F$31:$G$38,2,FALSE)</f>
        <v>#N/A</v>
      </c>
    </row>
    <row r="176" spans="1:10" x14ac:dyDescent="0.3">
      <c r="A176"/>
      <c r="B176"/>
      <c r="C176"/>
      <c r="D176"/>
      <c r="E176"/>
      <c r="F176" s="66" t="e">
        <f>IF('Dupe Controller'!A176="Dupe", 'Account Dump'!F175, VLOOKUP(B176, Distribution!B:F, 5, FALSE))</f>
        <v>#N/A</v>
      </c>
      <c r="G176" s="67" t="e">
        <f>VLOOKUP(F176,Results!$E$31:$F$50,2,FALSE)</f>
        <v>#N/A</v>
      </c>
      <c r="H176" s="68">
        <v>43337</v>
      </c>
      <c r="I176" s="69">
        <f t="shared" si="4"/>
        <v>1</v>
      </c>
      <c r="J176" s="67" t="e">
        <f>VLOOKUP(G176,Results!$F$31:$G$38,2,FALSE)</f>
        <v>#N/A</v>
      </c>
    </row>
    <row r="177" spans="1:10" x14ac:dyDescent="0.3">
      <c r="A177"/>
      <c r="B177"/>
      <c r="C177"/>
      <c r="D177"/>
      <c r="E177"/>
      <c r="F177" s="66" t="e">
        <f>IF('Dupe Controller'!A177="Dupe", 'Account Dump'!F176, VLOOKUP(B177, Distribution!B:F, 5, FALSE))</f>
        <v>#N/A</v>
      </c>
      <c r="G177" s="67" t="e">
        <f>VLOOKUP(F177,Results!$E$31:$F$50,2,FALSE)</f>
        <v>#N/A</v>
      </c>
      <c r="H177" s="68">
        <v>43338</v>
      </c>
      <c r="I177" s="69">
        <f t="shared" si="4"/>
        <v>1</v>
      </c>
      <c r="J177" s="67" t="e">
        <f>VLOOKUP(G177,Results!$F$31:$G$38,2,FALSE)</f>
        <v>#N/A</v>
      </c>
    </row>
    <row r="178" spans="1:10" x14ac:dyDescent="0.3">
      <c r="A178"/>
      <c r="B178"/>
      <c r="C178"/>
      <c r="D178"/>
      <c r="E178"/>
      <c r="F178" s="66" t="e">
        <f>IF('Dupe Controller'!A178="Dupe", 'Account Dump'!F177, VLOOKUP(B178, Distribution!B:F, 5, FALSE))</f>
        <v>#N/A</v>
      </c>
      <c r="G178" s="67" t="e">
        <f>VLOOKUP(F178,Results!$E$31:$F$50,2,FALSE)</f>
        <v>#N/A</v>
      </c>
      <c r="H178" s="68">
        <v>43339</v>
      </c>
      <c r="I178" s="69">
        <f t="shared" si="4"/>
        <v>1</v>
      </c>
      <c r="J178" s="67" t="e">
        <f>VLOOKUP(G178,Results!$F$31:$G$38,2,FALSE)</f>
        <v>#N/A</v>
      </c>
    </row>
    <row r="179" spans="1:10" x14ac:dyDescent="0.3">
      <c r="A179"/>
      <c r="B179"/>
      <c r="C179"/>
      <c r="D179"/>
      <c r="E179"/>
      <c r="F179" s="66" t="e">
        <f>IF('Dupe Controller'!A179="Dupe", 'Account Dump'!F178, VLOOKUP(B179, Distribution!B:F, 5, FALSE))</f>
        <v>#N/A</v>
      </c>
      <c r="G179" s="67" t="e">
        <f>VLOOKUP(F179,Results!$E$31:$F$50,2,FALSE)</f>
        <v>#N/A</v>
      </c>
      <c r="H179" s="68">
        <v>43340</v>
      </c>
      <c r="I179" s="69">
        <f t="shared" si="4"/>
        <v>1</v>
      </c>
      <c r="J179" s="67" t="e">
        <f>VLOOKUP(G179,Results!$F$31:$G$38,2,FALSE)</f>
        <v>#N/A</v>
      </c>
    </row>
    <row r="180" spans="1:10" x14ac:dyDescent="0.3">
      <c r="A180"/>
      <c r="B180"/>
      <c r="C180"/>
      <c r="D180"/>
      <c r="E180"/>
      <c r="F180" s="66" t="e">
        <f>IF('Dupe Controller'!A180="Dupe", 'Account Dump'!F179, VLOOKUP(B180, Distribution!B:F, 5, FALSE))</f>
        <v>#N/A</v>
      </c>
      <c r="G180" s="67" t="e">
        <f>VLOOKUP(F180,Results!$E$31:$F$50,2,FALSE)</f>
        <v>#N/A</v>
      </c>
      <c r="H180" s="68">
        <v>43341</v>
      </c>
      <c r="I180" s="69">
        <f t="shared" si="4"/>
        <v>1</v>
      </c>
      <c r="J180" s="67" t="e">
        <f>VLOOKUP(G180,Results!$F$31:$G$38,2,FALSE)</f>
        <v>#N/A</v>
      </c>
    </row>
    <row r="181" spans="1:10" x14ac:dyDescent="0.3">
      <c r="A181"/>
      <c r="B181"/>
      <c r="C181"/>
      <c r="D181"/>
      <c r="E181"/>
      <c r="F181" s="66" t="e">
        <f>IF('Dupe Controller'!A181="Dupe", 'Account Dump'!F180, VLOOKUP(B181, Distribution!B:F, 5, FALSE))</f>
        <v>#N/A</v>
      </c>
      <c r="G181" s="67" t="e">
        <f>VLOOKUP(F181,Results!$E$31:$F$50,2,FALSE)</f>
        <v>#N/A</v>
      </c>
      <c r="H181" s="68">
        <v>43342</v>
      </c>
      <c r="I181" s="69">
        <f t="shared" si="4"/>
        <v>1</v>
      </c>
      <c r="J181" s="67" t="e">
        <f>VLOOKUP(G181,Results!$F$31:$G$38,2,FALSE)</f>
        <v>#N/A</v>
      </c>
    </row>
    <row r="182" spans="1:10" x14ac:dyDescent="0.3">
      <c r="A182"/>
      <c r="B182"/>
      <c r="C182"/>
      <c r="D182"/>
      <c r="E182"/>
      <c r="F182" s="66" t="e">
        <f>IF('Dupe Controller'!A182="Dupe", 'Account Dump'!F181, VLOOKUP(B182, Distribution!B:F, 5, FALSE))</f>
        <v>#N/A</v>
      </c>
      <c r="G182" s="67" t="e">
        <f>VLOOKUP(F182,Results!$E$31:$F$50,2,FALSE)</f>
        <v>#N/A</v>
      </c>
      <c r="H182" s="68">
        <v>43343</v>
      </c>
      <c r="I182" s="69">
        <f t="shared" si="4"/>
        <v>1</v>
      </c>
      <c r="J182" s="67" t="e">
        <f>VLOOKUP(G182,Results!$F$31:$G$38,2,FALSE)</f>
        <v>#N/A</v>
      </c>
    </row>
    <row r="183" spans="1:10" x14ac:dyDescent="0.3">
      <c r="A183"/>
      <c r="B183"/>
      <c r="C183"/>
      <c r="D183"/>
      <c r="E183"/>
      <c r="F183" s="66" t="e">
        <f>IF('Dupe Controller'!A183="Dupe", 'Account Dump'!F182, VLOOKUP(B183, Distribution!B:F, 5, FALSE))</f>
        <v>#N/A</v>
      </c>
      <c r="G183" s="67" t="e">
        <f>VLOOKUP(F183,Results!$E$31:$F$50,2,FALSE)</f>
        <v>#N/A</v>
      </c>
      <c r="H183" s="68">
        <v>43344</v>
      </c>
      <c r="I183" s="69">
        <f t="shared" si="4"/>
        <v>1</v>
      </c>
      <c r="J183" s="67" t="e">
        <f>VLOOKUP(G183,Results!$F$31:$G$38,2,FALSE)</f>
        <v>#N/A</v>
      </c>
    </row>
    <row r="184" spans="1:10" x14ac:dyDescent="0.3">
      <c r="A184"/>
      <c r="B184"/>
      <c r="C184"/>
      <c r="D184"/>
      <c r="E184"/>
      <c r="F184" s="66" t="e">
        <f>IF('Dupe Controller'!A184="Dupe", 'Account Dump'!F183, VLOOKUP(B184, Distribution!B:F, 5, FALSE))</f>
        <v>#N/A</v>
      </c>
      <c r="G184" s="67" t="e">
        <f>VLOOKUP(F184,Results!$E$31:$F$50,2,FALSE)</f>
        <v>#N/A</v>
      </c>
      <c r="H184" s="68">
        <v>43345</v>
      </c>
      <c r="I184" s="69">
        <f t="shared" si="4"/>
        <v>1</v>
      </c>
      <c r="J184" s="67" t="e">
        <f>VLOOKUP(G184,Results!$F$31:$G$38,2,FALSE)</f>
        <v>#N/A</v>
      </c>
    </row>
    <row r="185" spans="1:10" x14ac:dyDescent="0.3">
      <c r="A185"/>
      <c r="B185"/>
      <c r="C185"/>
      <c r="D185"/>
      <c r="E185"/>
      <c r="F185" s="66" t="e">
        <f>IF('Dupe Controller'!A185="Dupe", 'Account Dump'!F184, VLOOKUP(B185, Distribution!B:F, 5, FALSE))</f>
        <v>#N/A</v>
      </c>
      <c r="G185" s="67" t="e">
        <f>VLOOKUP(F185,Results!$E$31:$F$50,2,FALSE)</f>
        <v>#N/A</v>
      </c>
      <c r="H185" s="68">
        <v>43346</v>
      </c>
      <c r="I185" s="69">
        <f t="shared" si="4"/>
        <v>1</v>
      </c>
      <c r="J185" s="67" t="e">
        <f>VLOOKUP(G185,Results!$F$31:$G$38,2,FALSE)</f>
        <v>#N/A</v>
      </c>
    </row>
    <row r="186" spans="1:10" x14ac:dyDescent="0.3">
      <c r="A186"/>
      <c r="B186"/>
      <c r="C186"/>
      <c r="D186"/>
      <c r="E186"/>
      <c r="F186" s="66" t="e">
        <f>IF('Dupe Controller'!A186="Dupe", 'Account Dump'!F185, VLOOKUP(B186, Distribution!B:F, 5, FALSE))</f>
        <v>#N/A</v>
      </c>
      <c r="G186" s="67" t="e">
        <f>VLOOKUP(F186,Results!$E$31:$F$50,2,FALSE)</f>
        <v>#N/A</v>
      </c>
      <c r="H186" s="68">
        <v>43347</v>
      </c>
      <c r="I186" s="69">
        <f t="shared" si="4"/>
        <v>1</v>
      </c>
      <c r="J186" s="67" t="e">
        <f>VLOOKUP(G186,Results!$F$31:$G$38,2,FALSE)</f>
        <v>#N/A</v>
      </c>
    </row>
    <row r="187" spans="1:10" x14ac:dyDescent="0.3">
      <c r="A187"/>
      <c r="B187"/>
      <c r="C187"/>
      <c r="D187"/>
      <c r="E187"/>
      <c r="F187" s="66" t="e">
        <f>IF('Dupe Controller'!A187="Dupe", 'Account Dump'!F186, VLOOKUP(B187, Distribution!B:F, 5, FALSE))</f>
        <v>#N/A</v>
      </c>
      <c r="G187" s="67" t="e">
        <f>VLOOKUP(F187,Results!$E$31:$F$50,2,FALSE)</f>
        <v>#N/A</v>
      </c>
      <c r="H187" s="68">
        <v>43348</v>
      </c>
      <c r="I187" s="69">
        <f t="shared" si="4"/>
        <v>1</v>
      </c>
      <c r="J187" s="67" t="e">
        <f>VLOOKUP(G187,Results!$F$31:$G$38,2,FALSE)</f>
        <v>#N/A</v>
      </c>
    </row>
    <row r="188" spans="1:10" x14ac:dyDescent="0.3">
      <c r="A188"/>
      <c r="B188"/>
      <c r="C188"/>
      <c r="D188"/>
      <c r="E188"/>
      <c r="F188" s="66" t="e">
        <f>IF('Dupe Controller'!A188="Dupe", 'Account Dump'!F187, VLOOKUP(B188, Distribution!B:F, 5, FALSE))</f>
        <v>#N/A</v>
      </c>
      <c r="G188" s="67" t="e">
        <f>VLOOKUP(F188,Results!$E$31:$F$50,2,FALSE)</f>
        <v>#N/A</v>
      </c>
      <c r="H188" s="68">
        <v>43349</v>
      </c>
      <c r="I188" s="69">
        <f t="shared" si="4"/>
        <v>1</v>
      </c>
      <c r="J188" s="67" t="e">
        <f>VLOOKUP(G188,Results!$F$31:$G$38,2,FALSE)</f>
        <v>#N/A</v>
      </c>
    </row>
    <row r="189" spans="1:10" x14ac:dyDescent="0.3">
      <c r="A189"/>
      <c r="B189"/>
      <c r="C189"/>
      <c r="D189"/>
      <c r="E189"/>
      <c r="F189" s="66" t="e">
        <f>IF('Dupe Controller'!A189="Dupe", 'Account Dump'!F188, VLOOKUP(B189, Distribution!B:F, 5, FALSE))</f>
        <v>#N/A</v>
      </c>
      <c r="G189" s="67" t="e">
        <f>VLOOKUP(F189,Results!$E$31:$F$50,2,FALSE)</f>
        <v>#N/A</v>
      </c>
      <c r="H189" s="68">
        <v>43350</v>
      </c>
      <c r="I189" s="69">
        <f t="shared" si="4"/>
        <v>1</v>
      </c>
      <c r="J189" s="67" t="e">
        <f>VLOOKUP(G189,Results!$F$31:$G$38,2,FALSE)</f>
        <v>#N/A</v>
      </c>
    </row>
    <row r="190" spans="1:10" x14ac:dyDescent="0.3">
      <c r="A190"/>
      <c r="B190"/>
      <c r="C190"/>
      <c r="D190"/>
      <c r="E190"/>
      <c r="F190" s="66" t="e">
        <f>IF('Dupe Controller'!A190="Dupe", 'Account Dump'!F189, VLOOKUP(B190, Distribution!B:F, 5, FALSE))</f>
        <v>#N/A</v>
      </c>
      <c r="G190" s="67" t="e">
        <f>VLOOKUP(F190,Results!$E$31:$F$50,2,FALSE)</f>
        <v>#N/A</v>
      </c>
      <c r="H190" s="68">
        <v>43351</v>
      </c>
      <c r="I190" s="69">
        <f t="shared" si="4"/>
        <v>1</v>
      </c>
      <c r="J190" s="67" t="e">
        <f>VLOOKUP(G190,Results!$F$31:$G$38,2,FALSE)</f>
        <v>#N/A</v>
      </c>
    </row>
    <row r="191" spans="1:10" x14ac:dyDescent="0.3">
      <c r="A191"/>
      <c r="B191"/>
      <c r="C191"/>
      <c r="D191"/>
      <c r="E191"/>
      <c r="F191" s="66" t="e">
        <f>IF('Dupe Controller'!A191="Dupe", 'Account Dump'!F190, VLOOKUP(B191, Distribution!B:F, 5, FALSE))</f>
        <v>#N/A</v>
      </c>
      <c r="G191" s="67" t="e">
        <f>VLOOKUP(F191,Results!$E$31:$F$50,2,FALSE)</f>
        <v>#N/A</v>
      </c>
      <c r="H191" s="68">
        <v>43352</v>
      </c>
      <c r="I191" s="69">
        <f t="shared" si="4"/>
        <v>1</v>
      </c>
      <c r="J191" s="67" t="e">
        <f>VLOOKUP(G191,Results!$F$31:$G$38,2,FALSE)</f>
        <v>#N/A</v>
      </c>
    </row>
    <row r="192" spans="1:10" x14ac:dyDescent="0.3">
      <c r="A192"/>
      <c r="B192"/>
      <c r="C192"/>
      <c r="D192"/>
      <c r="E192"/>
      <c r="F192" s="66" t="e">
        <f>IF('Dupe Controller'!A192="Dupe", 'Account Dump'!F191, VLOOKUP(B192, Distribution!B:F, 5, FALSE))</f>
        <v>#N/A</v>
      </c>
      <c r="G192" s="67" t="e">
        <f>VLOOKUP(F192,Results!$E$31:$F$50,2,FALSE)</f>
        <v>#N/A</v>
      </c>
      <c r="H192" s="68">
        <v>43353</v>
      </c>
      <c r="I192" s="69">
        <f t="shared" si="4"/>
        <v>1</v>
      </c>
      <c r="J192" s="67" t="e">
        <f>VLOOKUP(G192,Results!$F$31:$G$38,2,FALSE)</f>
        <v>#N/A</v>
      </c>
    </row>
    <row r="193" spans="1:10" x14ac:dyDescent="0.3">
      <c r="A193"/>
      <c r="B193"/>
      <c r="C193"/>
      <c r="D193"/>
      <c r="E193"/>
      <c r="F193" s="66" t="e">
        <f>IF('Dupe Controller'!A193="Dupe", 'Account Dump'!F192, VLOOKUP(B193, Distribution!B:F, 5, FALSE))</f>
        <v>#N/A</v>
      </c>
      <c r="G193" s="67" t="e">
        <f>VLOOKUP(F193,Results!$E$31:$F$50,2,FALSE)</f>
        <v>#N/A</v>
      </c>
      <c r="H193" s="68">
        <v>43354</v>
      </c>
      <c r="I193" s="69">
        <f t="shared" si="4"/>
        <v>1</v>
      </c>
      <c r="J193" s="67" t="e">
        <f>VLOOKUP(G193,Results!$F$31:$G$38,2,FALSE)</f>
        <v>#N/A</v>
      </c>
    </row>
    <row r="194" spans="1:10" x14ac:dyDescent="0.3">
      <c r="A194"/>
      <c r="B194"/>
      <c r="C194"/>
      <c r="D194"/>
      <c r="E194"/>
      <c r="F194" s="66" t="e">
        <f>IF('Dupe Controller'!A194="Dupe", 'Account Dump'!F193, VLOOKUP(B194, Distribution!B:F, 5, FALSE))</f>
        <v>#N/A</v>
      </c>
      <c r="G194" s="67" t="e">
        <f>VLOOKUP(F194,Results!$E$31:$F$50,2,FALSE)</f>
        <v>#N/A</v>
      </c>
      <c r="H194" s="68">
        <v>43355</v>
      </c>
      <c r="I194" s="69">
        <f t="shared" si="4"/>
        <v>1</v>
      </c>
      <c r="J194" s="67" t="e">
        <f>VLOOKUP(G194,Results!$F$31:$G$38,2,FALSE)</f>
        <v>#N/A</v>
      </c>
    </row>
    <row r="195" spans="1:10" x14ac:dyDescent="0.3">
      <c r="A195"/>
      <c r="B195"/>
      <c r="C195"/>
      <c r="D195"/>
      <c r="E195"/>
      <c r="F195" s="66" t="e">
        <f>IF('Dupe Controller'!A195="Dupe", 'Account Dump'!F194, VLOOKUP(B195, Distribution!B:F, 5, FALSE))</f>
        <v>#N/A</v>
      </c>
      <c r="G195" s="67" t="e">
        <f>VLOOKUP(F195,Results!$E$31:$F$50,2,FALSE)</f>
        <v>#N/A</v>
      </c>
      <c r="H195" s="68">
        <v>43356</v>
      </c>
      <c r="I195" s="69">
        <f t="shared" si="4"/>
        <v>1</v>
      </c>
      <c r="J195" s="67" t="e">
        <f>VLOOKUP(G195,Results!$F$31:$G$38,2,FALSE)</f>
        <v>#N/A</v>
      </c>
    </row>
    <row r="196" spans="1:10" x14ac:dyDescent="0.3">
      <c r="A196"/>
      <c r="B196"/>
      <c r="C196"/>
      <c r="D196"/>
      <c r="E196"/>
      <c r="F196" s="66" t="e">
        <f>IF('Dupe Controller'!A196="Dupe", 'Account Dump'!F195, VLOOKUP(B196, Distribution!B:F, 5, FALSE))</f>
        <v>#N/A</v>
      </c>
      <c r="G196" s="67" t="e">
        <f>VLOOKUP(F196,Results!$E$31:$F$50,2,FALSE)</f>
        <v>#N/A</v>
      </c>
      <c r="H196" s="68">
        <v>43357</v>
      </c>
      <c r="I196" s="69">
        <f t="shared" ref="I196:I201" si="5">IF(D196=D195,1, 0)</f>
        <v>1</v>
      </c>
      <c r="J196" s="67" t="e">
        <f>VLOOKUP(G196,Results!$F$31:$G$38,2,FALSE)</f>
        <v>#N/A</v>
      </c>
    </row>
    <row r="197" spans="1:10" x14ac:dyDescent="0.3">
      <c r="A197"/>
      <c r="B197"/>
      <c r="C197"/>
      <c r="D197"/>
      <c r="E197"/>
      <c r="F197" s="66" t="e">
        <f>IF('Dupe Controller'!A197="Dupe", 'Account Dump'!F196, VLOOKUP(B197, Distribution!B:F, 5, FALSE))</f>
        <v>#N/A</v>
      </c>
      <c r="G197" s="67" t="e">
        <f>VLOOKUP(F197,Results!$E$31:$F$50,2,FALSE)</f>
        <v>#N/A</v>
      </c>
      <c r="H197" s="68">
        <v>43358</v>
      </c>
      <c r="I197" s="69">
        <f t="shared" si="5"/>
        <v>1</v>
      </c>
      <c r="J197" s="67" t="e">
        <f>VLOOKUP(G197,Results!$F$31:$G$38,2,FALSE)</f>
        <v>#N/A</v>
      </c>
    </row>
    <row r="198" spans="1:10" x14ac:dyDescent="0.3">
      <c r="A198"/>
      <c r="B198"/>
      <c r="C198"/>
      <c r="D198"/>
      <c r="E198"/>
      <c r="F198" s="66" t="e">
        <f>IF('Dupe Controller'!A198="Dupe", 'Account Dump'!F197, VLOOKUP(B198, Distribution!B:F, 5, FALSE))</f>
        <v>#N/A</v>
      </c>
      <c r="G198" s="67" t="e">
        <f>VLOOKUP(F198,Results!$E$31:$F$50,2,FALSE)</f>
        <v>#N/A</v>
      </c>
      <c r="H198" s="68">
        <v>43359</v>
      </c>
      <c r="I198" s="69">
        <f t="shared" si="5"/>
        <v>1</v>
      </c>
      <c r="J198" s="67" t="e">
        <f>VLOOKUP(G198,Results!$F$31:$G$38,2,FALSE)</f>
        <v>#N/A</v>
      </c>
    </row>
    <row r="199" spans="1:10" x14ac:dyDescent="0.3">
      <c r="A199"/>
      <c r="B199"/>
      <c r="C199"/>
      <c r="D199"/>
      <c r="E199"/>
      <c r="F199" s="66" t="e">
        <f>IF('Dupe Controller'!A199="Dupe", 'Account Dump'!F198, VLOOKUP(B199, Distribution!B:F, 5, FALSE))</f>
        <v>#N/A</v>
      </c>
      <c r="G199" s="67" t="e">
        <f>VLOOKUP(F199,Results!$E$31:$F$50,2,FALSE)</f>
        <v>#N/A</v>
      </c>
      <c r="H199" s="68">
        <v>43360</v>
      </c>
      <c r="I199" s="69">
        <f t="shared" si="5"/>
        <v>1</v>
      </c>
      <c r="J199" s="67" t="e">
        <f>VLOOKUP(G199,Results!$F$31:$G$38,2,FALSE)</f>
        <v>#N/A</v>
      </c>
    </row>
    <row r="200" spans="1:10" x14ac:dyDescent="0.3">
      <c r="A200"/>
      <c r="B200"/>
      <c r="C200"/>
      <c r="D200"/>
      <c r="E200"/>
      <c r="F200" s="66" t="e">
        <f>IF('Dupe Controller'!A200="Dupe", 'Account Dump'!F199, VLOOKUP(B200, Distribution!B:F, 5, FALSE))</f>
        <v>#N/A</v>
      </c>
      <c r="G200" s="67" t="e">
        <f>VLOOKUP(F200,Results!$E$31:$F$50,2,FALSE)</f>
        <v>#N/A</v>
      </c>
      <c r="H200" s="68">
        <v>43361</v>
      </c>
      <c r="I200" s="69">
        <f t="shared" si="5"/>
        <v>1</v>
      </c>
      <c r="J200" s="67" t="e">
        <f>VLOOKUP(G200,Results!$F$31:$G$38,2,FALSE)</f>
        <v>#N/A</v>
      </c>
    </row>
    <row r="201" spans="1:10" ht="15" thickBot="1" x14ac:dyDescent="0.35">
      <c r="A201"/>
      <c r="B201"/>
      <c r="C201"/>
      <c r="D201"/>
      <c r="E201"/>
      <c r="F201" s="66" t="e">
        <f>IF('Dupe Controller'!A201="Dupe", 'Account Dump'!F200, VLOOKUP(B201, Distribution!B:F, 5, FALSE))</f>
        <v>#N/A</v>
      </c>
      <c r="G201" s="67" t="e">
        <f>VLOOKUP(F201,Results!$E$31:$F$50,2,FALSE)</f>
        <v>#N/A</v>
      </c>
      <c r="H201" s="68">
        <v>43362</v>
      </c>
      <c r="I201" s="69">
        <f t="shared" si="5"/>
        <v>1</v>
      </c>
      <c r="J201" s="67" t="e">
        <f>VLOOKUP(G201,Results!$F$31:$G$38,2,FALSE)</f>
        <v>#N/A</v>
      </c>
    </row>
    <row r="202" spans="1:10" ht="15" thickTop="1" x14ac:dyDescent="0.3">
      <c r="A202" s="48"/>
      <c r="B202" s="48"/>
      <c r="C202" s="48"/>
      <c r="D202" s="48"/>
      <c r="E202" s="48"/>
      <c r="F202" s="43"/>
      <c r="G202" s="43"/>
      <c r="H202" s="43"/>
      <c r="I202" s="43"/>
      <c r="J202" s="43"/>
    </row>
    <row r="203" spans="1:10" x14ac:dyDescent="0.3">
      <c r="E203" s="36"/>
    </row>
    <row r="204" spans="1:10" x14ac:dyDescent="0.3">
      <c r="E204" s="36"/>
    </row>
    <row r="205" spans="1:10" x14ac:dyDescent="0.3">
      <c r="E205" s="36"/>
    </row>
    <row r="206" spans="1:10" x14ac:dyDescent="0.3">
      <c r="E206" s="36"/>
    </row>
    <row r="207" spans="1:10" x14ac:dyDescent="0.3">
      <c r="E207" s="36"/>
    </row>
    <row r="208" spans="1:10" x14ac:dyDescent="0.3">
      <c r="E208" s="36"/>
    </row>
    <row r="209" spans="5:5" x14ac:dyDescent="0.3">
      <c r="E209" s="36"/>
    </row>
    <row r="210" spans="5:5" x14ac:dyDescent="0.3">
      <c r="E210" s="36"/>
    </row>
    <row r="211" spans="5:5" x14ac:dyDescent="0.3">
      <c r="E211" s="36"/>
    </row>
    <row r="212" spans="5:5" x14ac:dyDescent="0.3">
      <c r="E212" s="36"/>
    </row>
    <row r="213" spans="5:5" x14ac:dyDescent="0.3">
      <c r="E213" s="36"/>
    </row>
    <row r="214" spans="5:5" x14ac:dyDescent="0.3">
      <c r="E214" s="36"/>
    </row>
    <row r="215" spans="5:5" x14ac:dyDescent="0.3">
      <c r="E215" s="36"/>
    </row>
    <row r="216" spans="5:5" x14ac:dyDescent="0.3">
      <c r="E216" s="36"/>
    </row>
    <row r="217" spans="5:5" x14ac:dyDescent="0.3">
      <c r="E217" s="36"/>
    </row>
    <row r="218" spans="5:5" x14ac:dyDescent="0.3">
      <c r="E218" s="36"/>
    </row>
    <row r="219" spans="5:5" x14ac:dyDescent="0.3">
      <c r="E219" s="36"/>
    </row>
    <row r="220" spans="5:5" x14ac:dyDescent="0.3">
      <c r="E220" s="36"/>
    </row>
    <row r="221" spans="5:5" x14ac:dyDescent="0.3">
      <c r="E221" s="36"/>
    </row>
    <row r="222" spans="5:5" x14ac:dyDescent="0.3">
      <c r="E222" s="36"/>
    </row>
    <row r="223" spans="5:5" x14ac:dyDescent="0.3">
      <c r="E223" s="36"/>
    </row>
    <row r="224" spans="5:5" x14ac:dyDescent="0.3">
      <c r="E224" s="36"/>
    </row>
    <row r="225" spans="5:5" x14ac:dyDescent="0.3">
      <c r="E225" s="36"/>
    </row>
    <row r="226" spans="5:5" x14ac:dyDescent="0.3">
      <c r="E226" s="36"/>
    </row>
    <row r="227" spans="5:5" x14ac:dyDescent="0.3">
      <c r="E227" s="36"/>
    </row>
    <row r="228" spans="5:5" x14ac:dyDescent="0.3">
      <c r="E228" s="36"/>
    </row>
    <row r="229" spans="5:5" x14ac:dyDescent="0.3">
      <c r="E229" s="36"/>
    </row>
    <row r="230" spans="5:5" x14ac:dyDescent="0.3">
      <c r="E230" s="36"/>
    </row>
    <row r="231" spans="5:5" x14ac:dyDescent="0.3">
      <c r="E231" s="36"/>
    </row>
    <row r="232" spans="5:5" x14ac:dyDescent="0.3">
      <c r="E232" s="36"/>
    </row>
    <row r="233" spans="5:5" x14ac:dyDescent="0.3">
      <c r="E233" s="36"/>
    </row>
    <row r="234" spans="5:5" x14ac:dyDescent="0.3">
      <c r="E234" s="36"/>
    </row>
    <row r="235" spans="5:5" x14ac:dyDescent="0.3">
      <c r="E235" s="36"/>
    </row>
    <row r="236" spans="5:5" x14ac:dyDescent="0.3">
      <c r="E236" s="36"/>
    </row>
    <row r="237" spans="5:5" x14ac:dyDescent="0.3">
      <c r="E237" s="36"/>
    </row>
    <row r="238" spans="5:5" x14ac:dyDescent="0.3">
      <c r="E238" s="36"/>
    </row>
    <row r="239" spans="5:5" x14ac:dyDescent="0.3">
      <c r="E239" s="36"/>
    </row>
    <row r="240" spans="5:5" x14ac:dyDescent="0.3">
      <c r="E240" s="36"/>
    </row>
    <row r="241" spans="5:5" x14ac:dyDescent="0.3">
      <c r="E241" s="36"/>
    </row>
    <row r="242" spans="5:5" x14ac:dyDescent="0.3">
      <c r="E242" s="36"/>
    </row>
    <row r="243" spans="5:5" x14ac:dyDescent="0.3">
      <c r="E243" s="36"/>
    </row>
    <row r="244" spans="5:5" x14ac:dyDescent="0.3">
      <c r="E244" s="36"/>
    </row>
    <row r="245" spans="5:5" x14ac:dyDescent="0.3">
      <c r="E245" s="36"/>
    </row>
    <row r="246" spans="5:5" x14ac:dyDescent="0.3">
      <c r="E246" s="36"/>
    </row>
    <row r="247" spans="5:5" x14ac:dyDescent="0.3">
      <c r="E247" s="36"/>
    </row>
    <row r="248" spans="5:5" x14ac:dyDescent="0.3">
      <c r="E248" s="36"/>
    </row>
    <row r="249" spans="5:5" x14ac:dyDescent="0.3">
      <c r="E249" s="36"/>
    </row>
    <row r="250" spans="5:5" x14ac:dyDescent="0.3">
      <c r="E250" s="36"/>
    </row>
    <row r="251" spans="5:5" x14ac:dyDescent="0.3">
      <c r="E251" s="36"/>
    </row>
    <row r="252" spans="5:5" x14ac:dyDescent="0.3">
      <c r="E252" s="36"/>
    </row>
    <row r="253" spans="5:5" x14ac:dyDescent="0.3">
      <c r="E253" s="36"/>
    </row>
    <row r="254" spans="5:5" x14ac:dyDescent="0.3">
      <c r="E254" s="36"/>
    </row>
    <row r="255" spans="5:5" x14ac:dyDescent="0.3">
      <c r="E255" s="36"/>
    </row>
    <row r="256" spans="5:5" x14ac:dyDescent="0.3">
      <c r="E256" s="36"/>
    </row>
    <row r="257" spans="5:5" x14ac:dyDescent="0.3">
      <c r="E257" s="36"/>
    </row>
    <row r="258" spans="5:5" x14ac:dyDescent="0.3">
      <c r="E258" s="36"/>
    </row>
    <row r="259" spans="5:5" x14ac:dyDescent="0.3">
      <c r="E259" s="36"/>
    </row>
    <row r="260" spans="5:5" x14ac:dyDescent="0.3">
      <c r="E260" s="36"/>
    </row>
    <row r="261" spans="5:5" x14ac:dyDescent="0.3">
      <c r="E261" s="36"/>
    </row>
    <row r="262" spans="5:5" x14ac:dyDescent="0.3">
      <c r="E262" s="36"/>
    </row>
    <row r="263" spans="5:5" x14ac:dyDescent="0.3">
      <c r="E263" s="36"/>
    </row>
    <row r="264" spans="5:5" x14ac:dyDescent="0.3">
      <c r="E264" s="36"/>
    </row>
    <row r="265" spans="5:5" x14ac:dyDescent="0.3">
      <c r="E265" s="36"/>
    </row>
    <row r="266" spans="5:5" x14ac:dyDescent="0.3">
      <c r="E266" s="36"/>
    </row>
    <row r="267" spans="5:5" x14ac:dyDescent="0.3">
      <c r="E267" s="36"/>
    </row>
    <row r="268" spans="5:5" x14ac:dyDescent="0.3">
      <c r="E268" s="36"/>
    </row>
    <row r="269" spans="5:5" x14ac:dyDescent="0.3">
      <c r="E269" s="36"/>
    </row>
    <row r="270" spans="5:5" x14ac:dyDescent="0.3">
      <c r="E270" s="36"/>
    </row>
    <row r="271" spans="5:5" x14ac:dyDescent="0.3">
      <c r="E271" s="36"/>
    </row>
    <row r="272" spans="5:5" x14ac:dyDescent="0.3">
      <c r="E272" s="36"/>
    </row>
    <row r="273" spans="5:5" x14ac:dyDescent="0.3">
      <c r="E273" s="36"/>
    </row>
    <row r="274" spans="5:5" x14ac:dyDescent="0.3">
      <c r="E274" s="36"/>
    </row>
    <row r="275" spans="5:5" x14ac:dyDescent="0.3">
      <c r="E275" s="36"/>
    </row>
    <row r="276" spans="5:5" x14ac:dyDescent="0.3">
      <c r="E276" s="36"/>
    </row>
    <row r="277" spans="5:5" x14ac:dyDescent="0.3">
      <c r="E277" s="36"/>
    </row>
    <row r="278" spans="5:5" x14ac:dyDescent="0.3">
      <c r="E278" s="36"/>
    </row>
    <row r="279" spans="5:5" x14ac:dyDescent="0.3">
      <c r="E279" s="36"/>
    </row>
    <row r="280" spans="5:5" x14ac:dyDescent="0.3">
      <c r="E280" s="36"/>
    </row>
    <row r="281" spans="5:5" x14ac:dyDescent="0.3">
      <c r="E281" s="36"/>
    </row>
    <row r="282" spans="5:5" x14ac:dyDescent="0.3">
      <c r="E282" s="36"/>
    </row>
    <row r="283" spans="5:5" x14ac:dyDescent="0.3">
      <c r="E283" s="36"/>
    </row>
    <row r="284" spans="5:5" x14ac:dyDescent="0.3">
      <c r="E284" s="36"/>
    </row>
    <row r="285" spans="5:5" x14ac:dyDescent="0.3">
      <c r="E285" s="36"/>
    </row>
    <row r="286" spans="5:5" x14ac:dyDescent="0.3">
      <c r="E286" s="36"/>
    </row>
    <row r="287" spans="5:5" x14ac:dyDescent="0.3">
      <c r="E287" s="36"/>
    </row>
    <row r="288" spans="5:5" x14ac:dyDescent="0.3">
      <c r="E288" s="36"/>
    </row>
    <row r="289" spans="5:5" x14ac:dyDescent="0.3">
      <c r="E289" s="36"/>
    </row>
    <row r="290" spans="5:5" x14ac:dyDescent="0.3">
      <c r="E290" s="36"/>
    </row>
    <row r="291" spans="5:5" x14ac:dyDescent="0.3">
      <c r="E291" s="36"/>
    </row>
    <row r="292" spans="5:5" x14ac:dyDescent="0.3">
      <c r="E292" s="36"/>
    </row>
    <row r="293" spans="5:5" x14ac:dyDescent="0.3">
      <c r="E293" s="36"/>
    </row>
    <row r="294" spans="5:5" x14ac:dyDescent="0.3">
      <c r="E294" s="36"/>
    </row>
    <row r="295" spans="5:5" x14ac:dyDescent="0.3">
      <c r="E295" s="36"/>
    </row>
    <row r="296" spans="5:5" x14ac:dyDescent="0.3">
      <c r="E296" s="36"/>
    </row>
    <row r="297" spans="5:5" x14ac:dyDescent="0.3">
      <c r="E297" s="36"/>
    </row>
    <row r="298" spans="5:5" x14ac:dyDescent="0.3">
      <c r="E298" s="36"/>
    </row>
    <row r="299" spans="5:5" x14ac:dyDescent="0.3">
      <c r="E299" s="36"/>
    </row>
    <row r="300" spans="5:5" x14ac:dyDescent="0.3">
      <c r="E300" s="36"/>
    </row>
    <row r="301" spans="5:5" x14ac:dyDescent="0.3">
      <c r="E301" s="36"/>
    </row>
    <row r="302" spans="5:5" x14ac:dyDescent="0.3">
      <c r="E302" s="36"/>
    </row>
    <row r="303" spans="5:5" x14ac:dyDescent="0.3">
      <c r="E303" s="36"/>
    </row>
    <row r="304" spans="5:5" x14ac:dyDescent="0.3">
      <c r="E304" s="36"/>
    </row>
    <row r="305" spans="5:5" x14ac:dyDescent="0.3">
      <c r="E305" s="36"/>
    </row>
    <row r="306" spans="5:5" x14ac:dyDescent="0.3">
      <c r="E306" s="36"/>
    </row>
    <row r="307" spans="5:5" x14ac:dyDescent="0.3">
      <c r="E307" s="36"/>
    </row>
    <row r="308" spans="5:5" x14ac:dyDescent="0.3">
      <c r="E308" s="36"/>
    </row>
    <row r="309" spans="5:5" x14ac:dyDescent="0.3">
      <c r="E309" s="36"/>
    </row>
    <row r="310" spans="5:5" x14ac:dyDescent="0.3">
      <c r="E310" s="36"/>
    </row>
    <row r="311" spans="5:5" x14ac:dyDescent="0.3">
      <c r="E311" s="36"/>
    </row>
    <row r="312" spans="5:5" x14ac:dyDescent="0.3">
      <c r="E312" s="36"/>
    </row>
    <row r="313" spans="5:5" x14ac:dyDescent="0.3">
      <c r="E313" s="36"/>
    </row>
    <row r="314" spans="5:5" x14ac:dyDescent="0.3">
      <c r="E314" s="36"/>
    </row>
    <row r="315" spans="5:5" x14ac:dyDescent="0.3">
      <c r="E315" s="36"/>
    </row>
    <row r="316" spans="5:5" x14ac:dyDescent="0.3">
      <c r="E316" s="36"/>
    </row>
    <row r="317" spans="5:5" x14ac:dyDescent="0.3">
      <c r="E317" s="36"/>
    </row>
    <row r="318" spans="5:5" x14ac:dyDescent="0.3">
      <c r="E318" s="36"/>
    </row>
    <row r="319" spans="5:5" x14ac:dyDescent="0.3">
      <c r="E319" s="36"/>
    </row>
    <row r="320" spans="5:5" x14ac:dyDescent="0.3">
      <c r="E320" s="36"/>
    </row>
    <row r="321" spans="5:5" x14ac:dyDescent="0.3">
      <c r="E321" s="36"/>
    </row>
    <row r="322" spans="5:5" x14ac:dyDescent="0.3">
      <c r="E322" s="36"/>
    </row>
    <row r="323" spans="5:5" x14ac:dyDescent="0.3">
      <c r="E323" s="36"/>
    </row>
    <row r="324" spans="5:5" x14ac:dyDescent="0.3">
      <c r="E324" s="36"/>
    </row>
    <row r="325" spans="5:5" x14ac:dyDescent="0.3">
      <c r="E325" s="36"/>
    </row>
    <row r="326" spans="5:5" x14ac:dyDescent="0.3">
      <c r="E326" s="36"/>
    </row>
    <row r="327" spans="5:5" x14ac:dyDescent="0.3">
      <c r="E327" s="36"/>
    </row>
    <row r="328" spans="5:5" x14ac:dyDescent="0.3">
      <c r="E328" s="36"/>
    </row>
    <row r="329" spans="5:5" x14ac:dyDescent="0.3">
      <c r="E329" s="36"/>
    </row>
    <row r="330" spans="5:5" x14ac:dyDescent="0.3">
      <c r="E330" s="36"/>
    </row>
    <row r="331" spans="5:5" x14ac:dyDescent="0.3">
      <c r="E331" s="36"/>
    </row>
    <row r="332" spans="5:5" x14ac:dyDescent="0.3">
      <c r="E332" s="36"/>
    </row>
    <row r="333" spans="5:5" x14ac:dyDescent="0.3">
      <c r="E333" s="36"/>
    </row>
    <row r="334" spans="5:5" x14ac:dyDescent="0.3">
      <c r="E334" s="36"/>
    </row>
    <row r="335" spans="5:5" x14ac:dyDescent="0.3">
      <c r="E335" s="36"/>
    </row>
    <row r="336" spans="5:5" x14ac:dyDescent="0.3">
      <c r="E336" s="36"/>
    </row>
    <row r="337" spans="5:5" x14ac:dyDescent="0.3">
      <c r="E337" s="36"/>
    </row>
    <row r="338" spans="5:5" x14ac:dyDescent="0.3">
      <c r="E338" s="36"/>
    </row>
    <row r="339" spans="5:5" x14ac:dyDescent="0.3">
      <c r="E339" s="36"/>
    </row>
    <row r="340" spans="5:5" x14ac:dyDescent="0.3">
      <c r="E340" s="36"/>
    </row>
    <row r="341" spans="5:5" x14ac:dyDescent="0.3">
      <c r="E341" s="36"/>
    </row>
    <row r="342" spans="5:5" x14ac:dyDescent="0.3">
      <c r="E342" s="36"/>
    </row>
    <row r="343" spans="5:5" x14ac:dyDescent="0.3">
      <c r="E343" s="36"/>
    </row>
    <row r="344" spans="5:5" x14ac:dyDescent="0.3">
      <c r="E344" s="36"/>
    </row>
    <row r="345" spans="5:5" x14ac:dyDescent="0.3">
      <c r="E345" s="36"/>
    </row>
    <row r="346" spans="5:5" x14ac:dyDescent="0.3">
      <c r="E346" s="36"/>
    </row>
    <row r="347" spans="5:5" x14ac:dyDescent="0.3">
      <c r="E347" s="36"/>
    </row>
    <row r="348" spans="5:5" x14ac:dyDescent="0.3">
      <c r="E348" s="36"/>
    </row>
    <row r="349" spans="5:5" x14ac:dyDescent="0.3">
      <c r="E349" s="36"/>
    </row>
    <row r="350" spans="5:5" x14ac:dyDescent="0.3">
      <c r="E350" s="36"/>
    </row>
    <row r="351" spans="5:5" x14ac:dyDescent="0.3">
      <c r="E351" s="36"/>
    </row>
    <row r="352" spans="5:5" x14ac:dyDescent="0.3">
      <c r="E352" s="36"/>
    </row>
    <row r="353" spans="5:5" x14ac:dyDescent="0.3">
      <c r="E353" s="36"/>
    </row>
    <row r="354" spans="5:5" x14ac:dyDescent="0.3">
      <c r="E354" s="36"/>
    </row>
    <row r="355" spans="5:5" x14ac:dyDescent="0.3">
      <c r="E355" s="36"/>
    </row>
    <row r="356" spans="5:5" x14ac:dyDescent="0.3">
      <c r="E356" s="36"/>
    </row>
    <row r="357" spans="5:5" x14ac:dyDescent="0.3">
      <c r="E357" s="36"/>
    </row>
    <row r="358" spans="5:5" x14ac:dyDescent="0.3">
      <c r="E358" s="36"/>
    </row>
    <row r="359" spans="5:5" x14ac:dyDescent="0.3">
      <c r="E359" s="36"/>
    </row>
    <row r="360" spans="5:5" x14ac:dyDescent="0.3">
      <c r="E360" s="36"/>
    </row>
    <row r="361" spans="5:5" x14ac:dyDescent="0.3">
      <c r="E361" s="36"/>
    </row>
    <row r="362" spans="5:5" x14ac:dyDescent="0.3">
      <c r="E362" s="36"/>
    </row>
    <row r="363" spans="5:5" x14ac:dyDescent="0.3">
      <c r="E363" s="36"/>
    </row>
    <row r="364" spans="5:5" x14ac:dyDescent="0.3">
      <c r="E364" s="36"/>
    </row>
    <row r="365" spans="5:5" x14ac:dyDescent="0.3">
      <c r="E365" s="36"/>
    </row>
    <row r="366" spans="5:5" x14ac:dyDescent="0.3">
      <c r="E366" s="36"/>
    </row>
    <row r="367" spans="5:5" x14ac:dyDescent="0.3">
      <c r="E367" s="36"/>
    </row>
    <row r="368" spans="5:5" x14ac:dyDescent="0.3">
      <c r="E368" s="36"/>
    </row>
    <row r="369" spans="5:5" x14ac:dyDescent="0.3">
      <c r="E369" s="36"/>
    </row>
    <row r="370" spans="5:5" x14ac:dyDescent="0.3">
      <c r="E370" s="36"/>
    </row>
    <row r="371" spans="5:5" x14ac:dyDescent="0.3">
      <c r="E371" s="36"/>
    </row>
    <row r="372" spans="5:5" x14ac:dyDescent="0.3">
      <c r="E372" s="36"/>
    </row>
    <row r="373" spans="5:5" x14ac:dyDescent="0.3">
      <c r="E373" s="36"/>
    </row>
    <row r="374" spans="5:5" x14ac:dyDescent="0.3">
      <c r="E374" s="36"/>
    </row>
    <row r="375" spans="5:5" x14ac:dyDescent="0.3">
      <c r="E375" s="36"/>
    </row>
    <row r="376" spans="5:5" x14ac:dyDescent="0.3">
      <c r="E376" s="36"/>
    </row>
    <row r="377" spans="5:5" x14ac:dyDescent="0.3">
      <c r="E377" s="36"/>
    </row>
    <row r="378" spans="5:5" x14ac:dyDescent="0.3">
      <c r="E378" s="36"/>
    </row>
    <row r="379" spans="5:5" x14ac:dyDescent="0.3">
      <c r="E379" s="36"/>
    </row>
    <row r="380" spans="5:5" x14ac:dyDescent="0.3">
      <c r="E380" s="36"/>
    </row>
    <row r="381" spans="5:5" x14ac:dyDescent="0.3">
      <c r="E381" s="36"/>
    </row>
    <row r="382" spans="5:5" x14ac:dyDescent="0.3">
      <c r="E382" s="36"/>
    </row>
    <row r="383" spans="5:5" x14ac:dyDescent="0.3">
      <c r="E383" s="36"/>
    </row>
    <row r="384" spans="5:5" x14ac:dyDescent="0.3">
      <c r="E384" s="36"/>
    </row>
    <row r="385" spans="5:5" x14ac:dyDescent="0.3">
      <c r="E385" s="36"/>
    </row>
    <row r="386" spans="5:5" x14ac:dyDescent="0.3">
      <c r="E386" s="36"/>
    </row>
    <row r="387" spans="5:5" x14ac:dyDescent="0.3">
      <c r="E387" s="36"/>
    </row>
    <row r="388" spans="5:5" x14ac:dyDescent="0.3">
      <c r="E388" s="36"/>
    </row>
    <row r="389" spans="5:5" x14ac:dyDescent="0.3">
      <c r="E389" s="36"/>
    </row>
    <row r="390" spans="5:5" x14ac:dyDescent="0.3">
      <c r="E390" s="36"/>
    </row>
    <row r="391" spans="5:5" x14ac:dyDescent="0.3">
      <c r="E391" s="36"/>
    </row>
    <row r="392" spans="5:5" x14ac:dyDescent="0.3">
      <c r="E392" s="36"/>
    </row>
    <row r="393" spans="5:5" x14ac:dyDescent="0.3">
      <c r="E393" s="36"/>
    </row>
    <row r="394" spans="5:5" x14ac:dyDescent="0.3">
      <c r="E394" s="36"/>
    </row>
    <row r="395" spans="5:5" x14ac:dyDescent="0.3">
      <c r="E395" s="36"/>
    </row>
    <row r="396" spans="5:5" x14ac:dyDescent="0.3">
      <c r="E396" s="36"/>
    </row>
    <row r="397" spans="5:5" x14ac:dyDescent="0.3">
      <c r="E397" s="36"/>
    </row>
    <row r="398" spans="5:5" x14ac:dyDescent="0.3">
      <c r="E398" s="36"/>
    </row>
    <row r="399" spans="5:5" x14ac:dyDescent="0.3">
      <c r="E399" s="36"/>
    </row>
    <row r="400" spans="5:5" x14ac:dyDescent="0.3">
      <c r="E400" s="36"/>
    </row>
    <row r="401" spans="5:5" x14ac:dyDescent="0.3">
      <c r="E401" s="36"/>
    </row>
    <row r="402" spans="5:5" x14ac:dyDescent="0.3">
      <c r="E402" s="36"/>
    </row>
    <row r="403" spans="5:5" x14ac:dyDescent="0.3">
      <c r="E403" s="36"/>
    </row>
    <row r="404" spans="5:5" x14ac:dyDescent="0.3">
      <c r="E404" s="36"/>
    </row>
    <row r="405" spans="5:5" x14ac:dyDescent="0.3">
      <c r="E405" s="36"/>
    </row>
    <row r="406" spans="5:5" x14ac:dyDescent="0.3">
      <c r="E406" s="36"/>
    </row>
    <row r="407" spans="5:5" x14ac:dyDescent="0.3">
      <c r="E407" s="36"/>
    </row>
    <row r="408" spans="5:5" x14ac:dyDescent="0.3">
      <c r="E408" s="36"/>
    </row>
    <row r="409" spans="5:5" x14ac:dyDescent="0.3">
      <c r="E409" s="36"/>
    </row>
    <row r="410" spans="5:5" x14ac:dyDescent="0.3">
      <c r="E410" s="36"/>
    </row>
    <row r="411" spans="5:5" x14ac:dyDescent="0.3">
      <c r="E411" s="36"/>
    </row>
    <row r="412" spans="5:5" x14ac:dyDescent="0.3">
      <c r="E412" s="36"/>
    </row>
    <row r="413" spans="5:5" x14ac:dyDescent="0.3">
      <c r="E413" s="36"/>
    </row>
    <row r="414" spans="5:5" x14ac:dyDescent="0.3">
      <c r="E414" s="36"/>
    </row>
    <row r="415" spans="5:5" x14ac:dyDescent="0.3">
      <c r="E415" s="36"/>
    </row>
    <row r="416" spans="5:5" x14ac:dyDescent="0.3">
      <c r="E416" s="36"/>
    </row>
    <row r="417" spans="5:5" x14ac:dyDescent="0.3">
      <c r="E417" s="36"/>
    </row>
    <row r="418" spans="5:5" x14ac:dyDescent="0.3">
      <c r="E418" s="36"/>
    </row>
    <row r="419" spans="5:5" x14ac:dyDescent="0.3">
      <c r="E419" s="36"/>
    </row>
    <row r="420" spans="5:5" x14ac:dyDescent="0.3">
      <c r="E420" s="36"/>
    </row>
    <row r="421" spans="5:5" x14ac:dyDescent="0.3">
      <c r="E421" s="36"/>
    </row>
    <row r="422" spans="5:5" x14ac:dyDescent="0.3">
      <c r="E422" s="36"/>
    </row>
    <row r="423" spans="5:5" x14ac:dyDescent="0.3">
      <c r="E423" s="36"/>
    </row>
    <row r="424" spans="5:5" x14ac:dyDescent="0.3">
      <c r="E424" s="36"/>
    </row>
    <row r="425" spans="5:5" x14ac:dyDescent="0.3">
      <c r="E425" s="36"/>
    </row>
    <row r="426" spans="5:5" x14ac:dyDescent="0.3">
      <c r="E426" s="36"/>
    </row>
    <row r="427" spans="5:5" x14ac:dyDescent="0.3">
      <c r="E427" s="36"/>
    </row>
    <row r="428" spans="5:5" x14ac:dyDescent="0.3">
      <c r="E428" s="36"/>
    </row>
    <row r="429" spans="5:5" x14ac:dyDescent="0.3">
      <c r="E429" s="36"/>
    </row>
    <row r="430" spans="5:5" x14ac:dyDescent="0.3">
      <c r="E430" s="36"/>
    </row>
    <row r="431" spans="5:5" x14ac:dyDescent="0.3">
      <c r="E431" s="36"/>
    </row>
    <row r="432" spans="5:5" x14ac:dyDescent="0.3">
      <c r="E432" s="36"/>
    </row>
    <row r="433" spans="5:5" x14ac:dyDescent="0.3">
      <c r="E433" s="36"/>
    </row>
    <row r="434" spans="5:5" x14ac:dyDescent="0.3">
      <c r="E434" s="36"/>
    </row>
    <row r="435" spans="5:5" x14ac:dyDescent="0.3">
      <c r="E435" s="36"/>
    </row>
    <row r="436" spans="5:5" x14ac:dyDescent="0.3">
      <c r="E436" s="36"/>
    </row>
    <row r="437" spans="5:5" x14ac:dyDescent="0.3">
      <c r="E437" s="36"/>
    </row>
    <row r="438" spans="5:5" x14ac:dyDescent="0.3">
      <c r="E438" s="36"/>
    </row>
    <row r="439" spans="5:5" x14ac:dyDescent="0.3">
      <c r="E439" s="36"/>
    </row>
    <row r="440" spans="5:5" x14ac:dyDescent="0.3">
      <c r="E440" s="36"/>
    </row>
    <row r="441" spans="5:5" x14ac:dyDescent="0.3">
      <c r="E441" s="36"/>
    </row>
    <row r="442" spans="5:5" x14ac:dyDescent="0.3">
      <c r="E442" s="36"/>
    </row>
    <row r="443" spans="5:5" x14ac:dyDescent="0.3">
      <c r="E443" s="36"/>
    </row>
    <row r="444" spans="5:5" x14ac:dyDescent="0.3">
      <c r="E444" s="36"/>
    </row>
    <row r="445" spans="5:5" x14ac:dyDescent="0.3">
      <c r="E445" s="36"/>
    </row>
    <row r="446" spans="5:5" x14ac:dyDescent="0.3">
      <c r="E446" s="36"/>
    </row>
    <row r="447" spans="5:5" x14ac:dyDescent="0.3">
      <c r="E447" s="36"/>
    </row>
    <row r="448" spans="5:5" x14ac:dyDescent="0.3">
      <c r="E448" s="36"/>
    </row>
    <row r="449" spans="5:5" x14ac:dyDescent="0.3">
      <c r="E449" s="36"/>
    </row>
    <row r="450" spans="5:5" x14ac:dyDescent="0.3">
      <c r="E450" s="36"/>
    </row>
    <row r="451" spans="5:5" x14ac:dyDescent="0.3">
      <c r="E451" s="36"/>
    </row>
    <row r="452" spans="5:5" x14ac:dyDescent="0.3">
      <c r="E452" s="36"/>
    </row>
    <row r="453" spans="5:5" x14ac:dyDescent="0.3">
      <c r="E453" s="36"/>
    </row>
    <row r="454" spans="5:5" x14ac:dyDescent="0.3">
      <c r="E454" s="36"/>
    </row>
    <row r="455" spans="5:5" x14ac:dyDescent="0.3">
      <c r="E455" s="36"/>
    </row>
    <row r="456" spans="5:5" x14ac:dyDescent="0.3">
      <c r="E456" s="36"/>
    </row>
    <row r="457" spans="5:5" x14ac:dyDescent="0.3">
      <c r="E457" s="36"/>
    </row>
    <row r="458" spans="5:5" x14ac:dyDescent="0.3">
      <c r="E458" s="36"/>
    </row>
    <row r="459" spans="5:5" x14ac:dyDescent="0.3">
      <c r="E459" s="36"/>
    </row>
    <row r="460" spans="5:5" x14ac:dyDescent="0.3">
      <c r="E460" s="36"/>
    </row>
    <row r="461" spans="5:5" x14ac:dyDescent="0.3">
      <c r="E461" s="36"/>
    </row>
    <row r="462" spans="5:5" x14ac:dyDescent="0.3">
      <c r="E462" s="36"/>
    </row>
    <row r="463" spans="5:5" x14ac:dyDescent="0.3">
      <c r="E463" s="36"/>
    </row>
    <row r="464" spans="5:5" x14ac:dyDescent="0.3">
      <c r="E464" s="36"/>
    </row>
    <row r="465" spans="5:5" x14ac:dyDescent="0.3">
      <c r="E465" s="36"/>
    </row>
    <row r="466" spans="5:5" x14ac:dyDescent="0.3">
      <c r="E466" s="36"/>
    </row>
    <row r="467" spans="5:5" x14ac:dyDescent="0.3">
      <c r="E467" s="36"/>
    </row>
    <row r="468" spans="5:5" x14ac:dyDescent="0.3">
      <c r="E468" s="36"/>
    </row>
    <row r="469" spans="5:5" x14ac:dyDescent="0.3">
      <c r="E469" s="36"/>
    </row>
    <row r="470" spans="5:5" x14ac:dyDescent="0.3">
      <c r="E470" s="36"/>
    </row>
    <row r="471" spans="5:5" x14ac:dyDescent="0.3">
      <c r="E471" s="36"/>
    </row>
    <row r="472" spans="5:5" x14ac:dyDescent="0.3">
      <c r="E472" s="36"/>
    </row>
    <row r="473" spans="5:5" x14ac:dyDescent="0.3">
      <c r="E473" s="36"/>
    </row>
    <row r="474" spans="5:5" x14ac:dyDescent="0.3">
      <c r="E474" s="36"/>
    </row>
    <row r="475" spans="5:5" x14ac:dyDescent="0.3">
      <c r="E475" s="36"/>
    </row>
    <row r="476" spans="5:5" x14ac:dyDescent="0.3">
      <c r="E476" s="36"/>
    </row>
    <row r="477" spans="5:5" x14ac:dyDescent="0.3">
      <c r="E477" s="36"/>
    </row>
    <row r="478" spans="5:5" x14ac:dyDescent="0.3">
      <c r="E478" s="36"/>
    </row>
    <row r="479" spans="5:5" x14ac:dyDescent="0.3">
      <c r="E479" s="36"/>
    </row>
    <row r="480" spans="5:5" x14ac:dyDescent="0.3">
      <c r="E480" s="36"/>
    </row>
    <row r="481" spans="5:5" x14ac:dyDescent="0.3">
      <c r="E481" s="36"/>
    </row>
    <row r="482" spans="5:5" x14ac:dyDescent="0.3">
      <c r="E482" s="36"/>
    </row>
    <row r="483" spans="5:5" x14ac:dyDescent="0.3">
      <c r="E483" s="36"/>
    </row>
    <row r="484" spans="5:5" x14ac:dyDescent="0.3">
      <c r="E484" s="36"/>
    </row>
    <row r="485" spans="5:5" x14ac:dyDescent="0.3">
      <c r="E485" s="36"/>
    </row>
    <row r="486" spans="5:5" x14ac:dyDescent="0.3">
      <c r="E486" s="36"/>
    </row>
    <row r="487" spans="5:5" x14ac:dyDescent="0.3">
      <c r="E487" s="36"/>
    </row>
    <row r="488" spans="5:5" x14ac:dyDescent="0.3">
      <c r="E488" s="36"/>
    </row>
    <row r="489" spans="5:5" x14ac:dyDescent="0.3">
      <c r="E489" s="36"/>
    </row>
    <row r="490" spans="5:5" x14ac:dyDescent="0.3">
      <c r="E490" s="36"/>
    </row>
    <row r="491" spans="5:5" x14ac:dyDescent="0.3">
      <c r="E491" s="36"/>
    </row>
    <row r="492" spans="5:5" x14ac:dyDescent="0.3">
      <c r="E492" s="36"/>
    </row>
    <row r="493" spans="5:5" x14ac:dyDescent="0.3">
      <c r="E493" s="36"/>
    </row>
    <row r="494" spans="5:5" x14ac:dyDescent="0.3">
      <c r="E494" s="36"/>
    </row>
    <row r="495" spans="5:5" x14ac:dyDescent="0.3">
      <c r="E495" s="36"/>
    </row>
    <row r="496" spans="5:5" x14ac:dyDescent="0.3">
      <c r="E496" s="36"/>
    </row>
    <row r="497" spans="5:5" x14ac:dyDescent="0.3">
      <c r="E497" s="36"/>
    </row>
    <row r="498" spans="5:5" x14ac:dyDescent="0.3">
      <c r="E498" s="36"/>
    </row>
    <row r="499" spans="5:5" x14ac:dyDescent="0.3">
      <c r="E499" s="36"/>
    </row>
    <row r="500" spans="5:5" x14ac:dyDescent="0.3">
      <c r="E500" s="36"/>
    </row>
    <row r="501" spans="5:5" x14ac:dyDescent="0.3">
      <c r="E501" s="36"/>
    </row>
    <row r="502" spans="5:5" x14ac:dyDescent="0.3">
      <c r="E502" s="36"/>
    </row>
    <row r="503" spans="5:5" x14ac:dyDescent="0.3">
      <c r="E503" s="36"/>
    </row>
    <row r="504" spans="5:5" x14ac:dyDescent="0.3">
      <c r="E504" s="36"/>
    </row>
    <row r="505" spans="5:5" x14ac:dyDescent="0.3">
      <c r="E505" s="36"/>
    </row>
    <row r="506" spans="5:5" x14ac:dyDescent="0.3">
      <c r="E506" s="36"/>
    </row>
    <row r="507" spans="5:5" x14ac:dyDescent="0.3">
      <c r="E507" s="36"/>
    </row>
    <row r="508" spans="5:5" x14ac:dyDescent="0.3">
      <c r="E508" s="36"/>
    </row>
    <row r="509" spans="5:5" x14ac:dyDescent="0.3">
      <c r="E509" s="36"/>
    </row>
    <row r="510" spans="5:5" x14ac:dyDescent="0.3">
      <c r="E510" s="36"/>
    </row>
    <row r="511" spans="5:5" x14ac:dyDescent="0.3">
      <c r="E511" s="36"/>
    </row>
    <row r="512" spans="5:5" x14ac:dyDescent="0.3">
      <c r="E512" s="36"/>
    </row>
    <row r="513" spans="5:5" x14ac:dyDescent="0.3">
      <c r="E513" s="36"/>
    </row>
    <row r="514" spans="5:5" x14ac:dyDescent="0.3">
      <c r="E514" s="36"/>
    </row>
    <row r="515" spans="5:5" x14ac:dyDescent="0.3">
      <c r="E515" s="36"/>
    </row>
    <row r="516" spans="5:5" x14ac:dyDescent="0.3">
      <c r="E516" s="36"/>
    </row>
    <row r="517" spans="5:5" x14ac:dyDescent="0.3">
      <c r="E517" s="36"/>
    </row>
    <row r="518" spans="5:5" x14ac:dyDescent="0.3">
      <c r="E518" s="36"/>
    </row>
    <row r="519" spans="5:5" x14ac:dyDescent="0.3">
      <c r="E519" s="36"/>
    </row>
    <row r="520" spans="5:5" x14ac:dyDescent="0.3">
      <c r="E520" s="36"/>
    </row>
    <row r="521" spans="5:5" x14ac:dyDescent="0.3">
      <c r="E521" s="36"/>
    </row>
    <row r="522" spans="5:5" x14ac:dyDescent="0.3">
      <c r="E522" s="36"/>
    </row>
    <row r="523" spans="5:5" x14ac:dyDescent="0.3">
      <c r="E523" s="36"/>
    </row>
    <row r="524" spans="5:5" x14ac:dyDescent="0.3">
      <c r="E524" s="36"/>
    </row>
    <row r="525" spans="5:5" x14ac:dyDescent="0.3">
      <c r="E525" s="36"/>
    </row>
    <row r="526" spans="5:5" x14ac:dyDescent="0.3">
      <c r="E526" s="36"/>
    </row>
    <row r="527" spans="5:5" x14ac:dyDescent="0.3">
      <c r="E527" s="36"/>
    </row>
    <row r="528" spans="5:5" x14ac:dyDescent="0.3">
      <c r="E528" s="36"/>
    </row>
    <row r="529" spans="5:5" x14ac:dyDescent="0.3">
      <c r="E529" s="36"/>
    </row>
    <row r="530" spans="5:5" x14ac:dyDescent="0.3">
      <c r="E530" s="36"/>
    </row>
    <row r="531" spans="5:5" x14ac:dyDescent="0.3">
      <c r="E531" s="36"/>
    </row>
    <row r="532" spans="5:5" x14ac:dyDescent="0.3">
      <c r="E532" s="36"/>
    </row>
    <row r="533" spans="5:5" x14ac:dyDescent="0.3">
      <c r="E533" s="36"/>
    </row>
    <row r="534" spans="5:5" x14ac:dyDescent="0.3">
      <c r="E534" s="36"/>
    </row>
    <row r="535" spans="5:5" x14ac:dyDescent="0.3">
      <c r="E535" s="36"/>
    </row>
    <row r="536" spans="5:5" x14ac:dyDescent="0.3">
      <c r="E536" s="36"/>
    </row>
    <row r="537" spans="5:5" x14ac:dyDescent="0.3">
      <c r="E537" s="36"/>
    </row>
    <row r="538" spans="5:5" x14ac:dyDescent="0.3">
      <c r="E538" s="36"/>
    </row>
    <row r="539" spans="5:5" x14ac:dyDescent="0.3">
      <c r="E539" s="36"/>
    </row>
    <row r="540" spans="5:5" x14ac:dyDescent="0.3">
      <c r="E540" s="36"/>
    </row>
    <row r="541" spans="5:5" x14ac:dyDescent="0.3">
      <c r="E541" s="36"/>
    </row>
    <row r="542" spans="5:5" x14ac:dyDescent="0.3">
      <c r="E542" s="36"/>
    </row>
    <row r="543" spans="5:5" x14ac:dyDescent="0.3">
      <c r="E543" s="36"/>
    </row>
    <row r="544" spans="5:5" x14ac:dyDescent="0.3">
      <c r="E544" s="36"/>
    </row>
    <row r="545" spans="5:5" x14ac:dyDescent="0.3">
      <c r="E545" s="36"/>
    </row>
    <row r="546" spans="5:5" x14ac:dyDescent="0.3">
      <c r="E546" s="36"/>
    </row>
    <row r="547" spans="5:5" x14ac:dyDescent="0.3">
      <c r="E547" s="36"/>
    </row>
    <row r="548" spans="5:5" x14ac:dyDescent="0.3">
      <c r="E548" s="36"/>
    </row>
    <row r="549" spans="5:5" x14ac:dyDescent="0.3">
      <c r="E549" s="36"/>
    </row>
    <row r="550" spans="5:5" x14ac:dyDescent="0.3">
      <c r="E550" s="36"/>
    </row>
    <row r="551" spans="5:5" x14ac:dyDescent="0.3">
      <c r="E551" s="36"/>
    </row>
    <row r="552" spans="5:5" x14ac:dyDescent="0.3">
      <c r="E552" s="36"/>
    </row>
    <row r="553" spans="5:5" x14ac:dyDescent="0.3">
      <c r="E553" s="36"/>
    </row>
    <row r="554" spans="5:5" x14ac:dyDescent="0.3">
      <c r="E554" s="36"/>
    </row>
    <row r="555" spans="5:5" x14ac:dyDescent="0.3">
      <c r="E555" s="36"/>
    </row>
    <row r="556" spans="5:5" x14ac:dyDescent="0.3">
      <c r="E556" s="36"/>
    </row>
    <row r="557" spans="5:5" x14ac:dyDescent="0.3">
      <c r="E557" s="36"/>
    </row>
    <row r="558" spans="5:5" x14ac:dyDescent="0.3">
      <c r="E558" s="36"/>
    </row>
    <row r="559" spans="5:5" x14ac:dyDescent="0.3">
      <c r="E559" s="36"/>
    </row>
    <row r="560" spans="5:5" x14ac:dyDescent="0.3">
      <c r="E560" s="36"/>
    </row>
    <row r="561" spans="5:5" x14ac:dyDescent="0.3">
      <c r="E561" s="36"/>
    </row>
    <row r="562" spans="5:5" x14ac:dyDescent="0.3">
      <c r="E562" s="36"/>
    </row>
    <row r="563" spans="5:5" x14ac:dyDescent="0.3">
      <c r="E563" s="36"/>
    </row>
    <row r="564" spans="5:5" x14ac:dyDescent="0.3">
      <c r="E564" s="36"/>
    </row>
    <row r="565" spans="5:5" x14ac:dyDescent="0.3">
      <c r="E565" s="36"/>
    </row>
    <row r="566" spans="5:5" x14ac:dyDescent="0.3">
      <c r="E566" s="36"/>
    </row>
    <row r="567" spans="5:5" x14ac:dyDescent="0.3">
      <c r="E567" s="36"/>
    </row>
    <row r="568" spans="5:5" x14ac:dyDescent="0.3">
      <c r="E568" s="36"/>
    </row>
  </sheetData>
  <sheetProtection sort="0" autoFilter="0"/>
  <autoFilter ref="A1:J201" xr:uid="{00000000-0009-0000-0000-000002000000}"/>
  <conditionalFormatting sqref="A1 A569:A1048576">
    <cfRule type="duplicateValues" dxfId="1" priority="14"/>
  </conditionalFormatting>
  <conditionalFormatting sqref="D263:D568">
    <cfRule type="duplicateValues" dxfId="0" priority="6"/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225"/>
  <sheetViews>
    <sheetView workbookViewId="0">
      <selection activeCell="F7" sqref="F7"/>
    </sheetView>
  </sheetViews>
  <sheetFormatPr defaultRowHeight="14.4" x14ac:dyDescent="0.3"/>
  <cols>
    <col min="1" max="1" width="51" bestFit="1" customWidth="1"/>
    <col min="2" max="2" width="41.44140625" bestFit="1" customWidth="1"/>
    <col min="3" max="3" width="16.33203125" bestFit="1" customWidth="1"/>
    <col min="4" max="4" width="22.33203125" bestFit="1" customWidth="1"/>
    <col min="5" max="5" width="12.109375" bestFit="1" customWidth="1"/>
    <col min="6" max="6" width="8" bestFit="1" customWidth="1"/>
    <col min="7" max="7" width="27.33203125" bestFit="1" customWidth="1"/>
    <col min="8" max="8" width="14.109375" bestFit="1" customWidth="1"/>
    <col min="9" max="9" width="14.6640625" bestFit="1" customWidth="1"/>
    <col min="16" max="16" width="10.33203125" bestFit="1" customWidth="1"/>
  </cols>
  <sheetData>
    <row r="1" spans="1:10" ht="16.2" thickBot="1" x14ac:dyDescent="0.35">
      <c r="A1" s="51" t="s">
        <v>0</v>
      </c>
      <c r="B1" s="52" t="s">
        <v>1</v>
      </c>
      <c r="C1" s="52" t="s">
        <v>2</v>
      </c>
      <c r="D1" s="52" t="s">
        <v>3</v>
      </c>
      <c r="E1" s="52" t="s">
        <v>4</v>
      </c>
      <c r="F1" s="52" t="s">
        <v>14</v>
      </c>
      <c r="G1" s="52" t="s">
        <v>5</v>
      </c>
      <c r="H1" s="52" t="s">
        <v>6</v>
      </c>
      <c r="I1" s="53" t="s">
        <v>21</v>
      </c>
    </row>
    <row r="2" spans="1:10" x14ac:dyDescent="0.3">
      <c r="A2" s="54">
        <f>IF('Account Dump'!$I2=1, "Dupe", 'Account Dump'!A2)</f>
        <v>0</v>
      </c>
      <c r="B2" s="55">
        <f>IF('Account Dump'!$I2=1, "Dupe", 'Account Dump'!B2)</f>
        <v>0</v>
      </c>
      <c r="C2" s="55">
        <f>IF('Account Dump'!$I2=1, "Dupe", 'Account Dump'!C2)</f>
        <v>0</v>
      </c>
      <c r="D2" s="55">
        <f>IF('Account Dump'!$I2=1, "Dupe", 'Account Dump'!D2)</f>
        <v>0</v>
      </c>
      <c r="F2" s="6" t="str">
        <f>IF('Account Dump'!$I2=1, "Dupe", "")</f>
        <v/>
      </c>
      <c r="G2" s="55" t="e">
        <f>IF(AND('Account Dump'!$I2=1,'Account Dump'!$I3=1), "Dupe", 'Account Dump'!G2)</f>
        <v>#N/A</v>
      </c>
      <c r="H2" s="55">
        <f>IF(AND('Account Dump'!$I2=1,'Account Dump'!$I3=1), "Dupe", 'Account Dump'!H2)</f>
        <v>43278</v>
      </c>
      <c r="I2" s="56">
        <f>IF(AND('Account Dump'!$I2=1,'Account Dump'!$I3=1), "Dupe", 'Account Dump'!I2)</f>
        <v>0</v>
      </c>
    </row>
    <row r="3" spans="1:10" x14ac:dyDescent="0.3">
      <c r="A3" s="44" t="str">
        <f>IF('Account Dump'!$I3=1, "Dupe", 'Account Dump'!A3)</f>
        <v>Dupe</v>
      </c>
      <c r="B3" s="6" t="str">
        <f>IF('Account Dump'!$I3=1, "Dupe", 'Account Dump'!B3)</f>
        <v>Dupe</v>
      </c>
      <c r="C3" s="6" t="str">
        <f>IF('Account Dump'!$I3=1, "Dupe", 'Account Dump'!C3)</f>
        <v>Dupe</v>
      </c>
      <c r="D3" s="6" t="str">
        <f>IF('Account Dump'!$I3=1, "Dupe", 'Account Dump'!D3)</f>
        <v>Dupe</v>
      </c>
      <c r="F3" s="6" t="str">
        <f>IF('Account Dump'!$I3=1, "Dupe", "")</f>
        <v>Dupe</v>
      </c>
      <c r="G3" s="6" t="str">
        <f>IF(AND('Account Dump'!$I3=1,'Account Dump'!$I4=1), "Dupe", 'Account Dump'!G3)</f>
        <v>Dupe</v>
      </c>
      <c r="H3" s="6" t="str">
        <f>IF(AND('Account Dump'!$I3=1,'Account Dump'!$I4=1), "Dupe", 'Account Dump'!H3)</f>
        <v>Dupe</v>
      </c>
      <c r="I3" s="45" t="str">
        <f>IF(AND('Account Dump'!$I3=1,'Account Dump'!$I4=1), "Dupe", 'Account Dump'!I3)</f>
        <v>Dupe</v>
      </c>
    </row>
    <row r="4" spans="1:10" x14ac:dyDescent="0.3">
      <c r="A4" s="44" t="str">
        <f>IF('Account Dump'!$I4=1, "Dupe", 'Account Dump'!A4)</f>
        <v>Dupe</v>
      </c>
      <c r="B4" s="6" t="str">
        <f>IF('Account Dump'!$I4=1, "Dupe", 'Account Dump'!B4)</f>
        <v>Dupe</v>
      </c>
      <c r="C4" s="6" t="str">
        <f>IF('Account Dump'!$I4=1, "Dupe", 'Account Dump'!C4)</f>
        <v>Dupe</v>
      </c>
      <c r="D4" s="6" t="str">
        <f>IF('Account Dump'!$I4=1, "Dupe", 'Account Dump'!D4)</f>
        <v>Dupe</v>
      </c>
      <c r="F4" s="6" t="str">
        <f>IF('Account Dump'!$I4=1, "Dupe", "")</f>
        <v>Dupe</v>
      </c>
      <c r="G4" s="6" t="str">
        <f>IF(AND('Account Dump'!$I4=1,'Account Dump'!$I5=1), "Dupe", 'Account Dump'!G4)</f>
        <v>Dupe</v>
      </c>
      <c r="H4" s="6" t="str">
        <f>IF(AND('Account Dump'!$I4=1,'Account Dump'!$I5=1), "Dupe", 'Account Dump'!H4)</f>
        <v>Dupe</v>
      </c>
      <c r="I4" s="45" t="str">
        <f>IF(AND('Account Dump'!$I4=1,'Account Dump'!$I5=1), "Dupe", 'Account Dump'!I4)</f>
        <v>Dupe</v>
      </c>
    </row>
    <row r="5" spans="1:10" x14ac:dyDescent="0.3">
      <c r="A5" s="44" t="str">
        <f>IF('Account Dump'!$I5=1, "Dupe", 'Account Dump'!A5)</f>
        <v>Dupe</v>
      </c>
      <c r="B5" s="6" t="str">
        <f>IF('Account Dump'!$I5=1, "Dupe", 'Account Dump'!B5)</f>
        <v>Dupe</v>
      </c>
      <c r="C5" s="6" t="str">
        <f>IF('Account Dump'!$I5=1, "Dupe", 'Account Dump'!C5)</f>
        <v>Dupe</v>
      </c>
      <c r="D5" s="6" t="str">
        <f>IF('Account Dump'!$I5=1, "Dupe", 'Account Dump'!D5)</f>
        <v>Dupe</v>
      </c>
      <c r="F5" s="6" t="str">
        <f>IF('Account Dump'!$I5=1, "Dupe", "")</f>
        <v>Dupe</v>
      </c>
      <c r="G5" s="6" t="str">
        <f>IF(AND('Account Dump'!$I5=1,'Account Dump'!$I6=1), "Dupe", 'Account Dump'!G5)</f>
        <v>Dupe</v>
      </c>
      <c r="H5" s="6" t="str">
        <f>IF(AND('Account Dump'!$I5=1,'Account Dump'!$I6=1), "Dupe", 'Account Dump'!H5)</f>
        <v>Dupe</v>
      </c>
      <c r="I5" s="45" t="str">
        <f>IF(AND('Account Dump'!$I5=1,'Account Dump'!$I6=1), "Dupe", 'Account Dump'!I5)</f>
        <v>Dupe</v>
      </c>
    </row>
    <row r="6" spans="1:10" x14ac:dyDescent="0.3">
      <c r="A6" s="44" t="str">
        <f>IF('Account Dump'!$I6=1, "Dupe", 'Account Dump'!A6)</f>
        <v>Dupe</v>
      </c>
      <c r="B6" s="6" t="str">
        <f>IF('Account Dump'!$I6=1, "Dupe", 'Account Dump'!B6)</f>
        <v>Dupe</v>
      </c>
      <c r="C6" s="6" t="str">
        <f>IF('Account Dump'!$I6=1, "Dupe", 'Account Dump'!C6)</f>
        <v>Dupe</v>
      </c>
      <c r="D6" s="6" t="str">
        <f>IF('Account Dump'!$I6=1, "Dupe", 'Account Dump'!D6)</f>
        <v>Dupe</v>
      </c>
      <c r="F6" s="6" t="str">
        <f>IF('Account Dump'!$I6=1, "Dupe", "")</f>
        <v>Dupe</v>
      </c>
      <c r="G6" s="6" t="str">
        <f>IF(AND('Account Dump'!$I6=1,'Account Dump'!$I7=1), "Dupe", 'Account Dump'!G6)</f>
        <v>Dupe</v>
      </c>
      <c r="H6" s="6" t="str">
        <f>IF(AND('Account Dump'!$I6=1,'Account Dump'!$I7=1), "Dupe", 'Account Dump'!H6)</f>
        <v>Dupe</v>
      </c>
      <c r="I6" s="45" t="str">
        <f>IF(AND('Account Dump'!$I6=1,'Account Dump'!$I7=1), "Dupe", 'Account Dump'!I6)</f>
        <v>Dupe</v>
      </c>
    </row>
    <row r="7" spans="1:10" x14ac:dyDescent="0.3">
      <c r="A7" s="44" t="str">
        <f>IF('Account Dump'!$I7=1, "Dupe", 'Account Dump'!A7)</f>
        <v>Dupe</v>
      </c>
      <c r="B7" s="6" t="str">
        <f>IF('Account Dump'!$I7=1, "Dupe", 'Account Dump'!B7)</f>
        <v>Dupe</v>
      </c>
      <c r="C7" s="6" t="str">
        <f>IF('Account Dump'!$I7=1, "Dupe", 'Account Dump'!C7)</f>
        <v>Dupe</v>
      </c>
      <c r="D7" s="6" t="str">
        <f>IF('Account Dump'!$I7=1, "Dupe", 'Account Dump'!D7)</f>
        <v>Dupe</v>
      </c>
      <c r="F7" s="6" t="str">
        <f>IF('Account Dump'!$I7=1, "Dupe", "")</f>
        <v>Dupe</v>
      </c>
      <c r="G7" s="6" t="str">
        <f>IF(AND('Account Dump'!$I7=1,'Account Dump'!$I8=1), "Dupe", 'Account Dump'!G7)</f>
        <v>Dupe</v>
      </c>
      <c r="H7" s="6" t="str">
        <f>IF(AND('Account Dump'!$I7=1,'Account Dump'!$I8=1), "Dupe", 'Account Dump'!H7)</f>
        <v>Dupe</v>
      </c>
      <c r="I7" s="45" t="str">
        <f>IF(AND('Account Dump'!$I7=1,'Account Dump'!$I8=1), "Dupe", 'Account Dump'!I7)</f>
        <v>Dupe</v>
      </c>
    </row>
    <row r="8" spans="1:10" x14ac:dyDescent="0.3">
      <c r="A8" s="44" t="str">
        <f>IF('Account Dump'!$I8=1, "Dupe", 'Account Dump'!A8)</f>
        <v>Dupe</v>
      </c>
      <c r="B8" s="6" t="str">
        <f>IF('Account Dump'!$I8=1, "Dupe", 'Account Dump'!B8)</f>
        <v>Dupe</v>
      </c>
      <c r="C8" s="6" t="str">
        <f>IF('Account Dump'!$I8=1, "Dupe", 'Account Dump'!C8)</f>
        <v>Dupe</v>
      </c>
      <c r="D8" s="6" t="str">
        <f>IF('Account Dump'!$I8=1, "Dupe", 'Account Dump'!D8)</f>
        <v>Dupe</v>
      </c>
      <c r="F8" s="6" t="str">
        <f>IF('Account Dump'!$I8=1, "Dupe", "")</f>
        <v>Dupe</v>
      </c>
      <c r="G8" s="6" t="str">
        <f>IF(AND('Account Dump'!$I8=1,'Account Dump'!$I9=1), "Dupe", 'Account Dump'!G8)</f>
        <v>Dupe</v>
      </c>
      <c r="H8" s="6" t="str">
        <f>IF(AND('Account Dump'!$I8=1,'Account Dump'!$I9=1), "Dupe", 'Account Dump'!H8)</f>
        <v>Dupe</v>
      </c>
      <c r="I8" s="45" t="str">
        <f>IF(AND('Account Dump'!$I8=1,'Account Dump'!$I9=1), "Dupe", 'Account Dump'!I8)</f>
        <v>Dupe</v>
      </c>
    </row>
    <row r="9" spans="1:10" x14ac:dyDescent="0.3">
      <c r="A9" s="44" t="str">
        <f>IF('Account Dump'!$I9=1, "Dupe", 'Account Dump'!A9)</f>
        <v>Dupe</v>
      </c>
      <c r="B9" s="6" t="str">
        <f>IF('Account Dump'!$I9=1, "Dupe", 'Account Dump'!B9)</f>
        <v>Dupe</v>
      </c>
      <c r="C9" s="6" t="str">
        <f>IF('Account Dump'!$I9=1, "Dupe", 'Account Dump'!C9)</f>
        <v>Dupe</v>
      </c>
      <c r="D9" s="6" t="str">
        <f>IF('Account Dump'!$I9=1, "Dupe", 'Account Dump'!D9)</f>
        <v>Dupe</v>
      </c>
      <c r="F9" s="6" t="str">
        <f>IF('Account Dump'!$I9=1, "Dupe", "")</f>
        <v>Dupe</v>
      </c>
      <c r="G9" s="6" t="str">
        <f>IF(AND('Account Dump'!$I9=1,'Account Dump'!$I10=1), "Dupe", 'Account Dump'!G9)</f>
        <v>Dupe</v>
      </c>
      <c r="H9" s="6" t="str">
        <f>IF(AND('Account Dump'!$I9=1,'Account Dump'!$I10=1), "Dupe", 'Account Dump'!H9)</f>
        <v>Dupe</v>
      </c>
      <c r="I9" s="45" t="str">
        <f>IF(AND('Account Dump'!$I9=1,'Account Dump'!$I10=1), "Dupe", 'Account Dump'!I9)</f>
        <v>Dupe</v>
      </c>
      <c r="J9" s="32"/>
    </row>
    <row r="10" spans="1:10" x14ac:dyDescent="0.3">
      <c r="A10" s="44" t="str">
        <f>IF('Account Dump'!$I10=1, "Dupe", 'Account Dump'!A10)</f>
        <v>Dupe</v>
      </c>
      <c r="B10" s="6" t="str">
        <f>IF('Account Dump'!$I10=1, "Dupe", 'Account Dump'!B10)</f>
        <v>Dupe</v>
      </c>
      <c r="C10" s="6" t="str">
        <f>IF('Account Dump'!$I10=1, "Dupe", 'Account Dump'!C10)</f>
        <v>Dupe</v>
      </c>
      <c r="D10" s="6" t="str">
        <f>IF('Account Dump'!$I10=1, "Dupe", 'Account Dump'!D10)</f>
        <v>Dupe</v>
      </c>
      <c r="F10" s="6" t="str">
        <f>IF('Account Dump'!$I10=1, "Dupe", "")</f>
        <v>Dupe</v>
      </c>
      <c r="G10" s="6" t="str">
        <f>IF(AND('Account Dump'!$I10=1,'Account Dump'!$I11=1), "Dupe", 'Account Dump'!G10)</f>
        <v>Dupe</v>
      </c>
      <c r="H10" s="6" t="str">
        <f>IF(AND('Account Dump'!$I10=1,'Account Dump'!$I11=1), "Dupe", 'Account Dump'!H10)</f>
        <v>Dupe</v>
      </c>
      <c r="I10" s="45" t="str">
        <f>IF(AND('Account Dump'!$I10=1,'Account Dump'!$I11=1), "Dupe", 'Account Dump'!I10)</f>
        <v>Dupe</v>
      </c>
    </row>
    <row r="11" spans="1:10" x14ac:dyDescent="0.3">
      <c r="A11" s="44" t="str">
        <f>IF('Account Dump'!$I11=1, "Dupe", 'Account Dump'!A11)</f>
        <v>Dupe</v>
      </c>
      <c r="B11" s="6" t="str">
        <f>IF('Account Dump'!$I11=1, "Dupe", 'Account Dump'!B11)</f>
        <v>Dupe</v>
      </c>
      <c r="C11" s="6" t="str">
        <f>IF('Account Dump'!$I11=1, "Dupe", 'Account Dump'!C11)</f>
        <v>Dupe</v>
      </c>
      <c r="D11" s="6" t="str">
        <f>IF('Account Dump'!$I11=1, "Dupe", 'Account Dump'!D11)</f>
        <v>Dupe</v>
      </c>
      <c r="F11" s="6" t="str">
        <f>IF('Account Dump'!$I11=1, "Dupe", "")</f>
        <v>Dupe</v>
      </c>
      <c r="G11" s="6" t="str">
        <f>IF(AND('Account Dump'!$I11=1,'Account Dump'!$I12=1), "Dupe", 'Account Dump'!G11)</f>
        <v>Dupe</v>
      </c>
      <c r="H11" s="6" t="str">
        <f>IF(AND('Account Dump'!$I11=1,'Account Dump'!$I12=1), "Dupe", 'Account Dump'!H11)</f>
        <v>Dupe</v>
      </c>
      <c r="I11" s="45" t="str">
        <f>IF(AND('Account Dump'!$I11=1,'Account Dump'!$I12=1), "Dupe", 'Account Dump'!I11)</f>
        <v>Dupe</v>
      </c>
    </row>
    <row r="12" spans="1:10" x14ac:dyDescent="0.3">
      <c r="A12" s="44" t="str">
        <f>IF('Account Dump'!$I12=1, "Dupe", 'Account Dump'!A12)</f>
        <v>Dupe</v>
      </c>
      <c r="B12" s="6" t="str">
        <f>IF('Account Dump'!$I12=1, "Dupe", 'Account Dump'!B12)</f>
        <v>Dupe</v>
      </c>
      <c r="C12" s="6" t="str">
        <f>IF('Account Dump'!$I12=1, "Dupe", 'Account Dump'!C12)</f>
        <v>Dupe</v>
      </c>
      <c r="D12" s="6" t="str">
        <f>IF('Account Dump'!$I12=1, "Dupe", 'Account Dump'!D12)</f>
        <v>Dupe</v>
      </c>
      <c r="F12" s="6" t="str">
        <f>IF('Account Dump'!$I12=1, "Dupe", "")</f>
        <v>Dupe</v>
      </c>
      <c r="G12" s="6" t="str">
        <f>IF(AND('Account Dump'!$I12=1,'Account Dump'!$I13=1), "Dupe", 'Account Dump'!G12)</f>
        <v>Dupe</v>
      </c>
      <c r="H12" s="6" t="str">
        <f>IF(AND('Account Dump'!$I12=1,'Account Dump'!$I13=1), "Dupe", 'Account Dump'!H12)</f>
        <v>Dupe</v>
      </c>
      <c r="I12" s="45" t="str">
        <f>IF(AND('Account Dump'!$I12=1,'Account Dump'!$I13=1), "Dupe", 'Account Dump'!I12)</f>
        <v>Dupe</v>
      </c>
    </row>
    <row r="13" spans="1:10" x14ac:dyDescent="0.3">
      <c r="A13" s="44" t="str">
        <f>IF('Account Dump'!$I13=1, "Dupe", 'Account Dump'!A13)</f>
        <v>Dupe</v>
      </c>
      <c r="B13" s="6" t="str">
        <f>IF('Account Dump'!$I13=1, "Dupe", 'Account Dump'!B13)</f>
        <v>Dupe</v>
      </c>
      <c r="C13" s="6" t="str">
        <f>IF('Account Dump'!$I13=1, "Dupe", 'Account Dump'!C13)</f>
        <v>Dupe</v>
      </c>
      <c r="D13" s="6" t="str">
        <f>IF('Account Dump'!$I13=1, "Dupe", 'Account Dump'!D13)</f>
        <v>Dupe</v>
      </c>
      <c r="F13" s="6" t="str">
        <f>IF('Account Dump'!$I13=1, "Dupe", "")</f>
        <v>Dupe</v>
      </c>
      <c r="G13" s="6" t="str">
        <f>IF(AND('Account Dump'!$I13=1,'Account Dump'!$I14=1), "Dupe", 'Account Dump'!G13)</f>
        <v>Dupe</v>
      </c>
      <c r="H13" s="6" t="str">
        <f>IF(AND('Account Dump'!$I13=1,'Account Dump'!$I14=1), "Dupe", 'Account Dump'!H13)</f>
        <v>Dupe</v>
      </c>
      <c r="I13" s="45" t="str">
        <f>IF(AND('Account Dump'!$I13=1,'Account Dump'!$I14=1), "Dupe", 'Account Dump'!I13)</f>
        <v>Dupe</v>
      </c>
    </row>
    <row r="14" spans="1:10" x14ac:dyDescent="0.3">
      <c r="A14" s="44" t="str">
        <f>IF('Account Dump'!$I14=1, "Dupe", 'Account Dump'!A14)</f>
        <v>Dupe</v>
      </c>
      <c r="B14" s="6" t="str">
        <f>IF('Account Dump'!$I14=1, "Dupe", 'Account Dump'!B14)</f>
        <v>Dupe</v>
      </c>
      <c r="C14" s="6" t="str">
        <f>IF('Account Dump'!$I14=1, "Dupe", 'Account Dump'!C14)</f>
        <v>Dupe</v>
      </c>
      <c r="D14" s="6" t="str">
        <f>IF('Account Dump'!$I14=1, "Dupe", 'Account Dump'!D14)</f>
        <v>Dupe</v>
      </c>
      <c r="F14" s="6" t="str">
        <f>IF('Account Dump'!$I14=1, "Dupe", "")</f>
        <v>Dupe</v>
      </c>
      <c r="G14" s="6" t="str">
        <f>IF(AND('Account Dump'!$I14=1,'Account Dump'!$I15=1), "Dupe", 'Account Dump'!G14)</f>
        <v>Dupe</v>
      </c>
      <c r="H14" s="6" t="str">
        <f>IF(AND('Account Dump'!$I14=1,'Account Dump'!$I15=1), "Dupe", 'Account Dump'!H14)</f>
        <v>Dupe</v>
      </c>
      <c r="I14" s="45" t="str">
        <f>IF(AND('Account Dump'!$I14=1,'Account Dump'!$I15=1), "Dupe", 'Account Dump'!I14)</f>
        <v>Dupe</v>
      </c>
    </row>
    <row r="15" spans="1:10" x14ac:dyDescent="0.3">
      <c r="A15" s="44" t="str">
        <f>IF('Account Dump'!$I15=1, "Dupe", 'Account Dump'!A15)</f>
        <v>Dupe</v>
      </c>
      <c r="B15" s="6" t="str">
        <f>IF('Account Dump'!$I15=1, "Dupe", 'Account Dump'!B15)</f>
        <v>Dupe</v>
      </c>
      <c r="C15" s="6" t="str">
        <f>IF('Account Dump'!$I15=1, "Dupe", 'Account Dump'!C15)</f>
        <v>Dupe</v>
      </c>
      <c r="D15" s="6" t="str">
        <f>IF('Account Dump'!$I15=1, "Dupe", 'Account Dump'!D15)</f>
        <v>Dupe</v>
      </c>
      <c r="F15" s="6" t="str">
        <f>IF('Account Dump'!$I15=1, "Dupe", "")</f>
        <v>Dupe</v>
      </c>
      <c r="G15" s="6" t="str">
        <f>IF(AND('Account Dump'!$I15=1,'Account Dump'!$I16=1), "Dupe", 'Account Dump'!G15)</f>
        <v>Dupe</v>
      </c>
      <c r="H15" s="6" t="str">
        <f>IF(AND('Account Dump'!$I15=1,'Account Dump'!$I16=1), "Dupe", 'Account Dump'!H15)</f>
        <v>Dupe</v>
      </c>
      <c r="I15" s="45" t="str">
        <f>IF(AND('Account Dump'!$I15=1,'Account Dump'!$I16=1), "Dupe", 'Account Dump'!I15)</f>
        <v>Dupe</v>
      </c>
    </row>
    <row r="16" spans="1:10" x14ac:dyDescent="0.3">
      <c r="A16" s="44" t="str">
        <f>IF('Account Dump'!$I16=1, "Dupe", 'Account Dump'!A16)</f>
        <v>Dupe</v>
      </c>
      <c r="B16" s="6" t="str">
        <f>IF('Account Dump'!$I16=1, "Dupe", 'Account Dump'!B16)</f>
        <v>Dupe</v>
      </c>
      <c r="C16" s="6" t="str">
        <f>IF('Account Dump'!$I16=1, "Dupe", 'Account Dump'!C16)</f>
        <v>Dupe</v>
      </c>
      <c r="D16" s="6" t="str">
        <f>IF('Account Dump'!$I16=1, "Dupe", 'Account Dump'!D16)</f>
        <v>Dupe</v>
      </c>
      <c r="F16" s="6" t="str">
        <f>IF('Account Dump'!$I16=1, "Dupe", "")</f>
        <v>Dupe</v>
      </c>
      <c r="G16" s="6" t="str">
        <f>IF(AND('Account Dump'!$I16=1,'Account Dump'!$I17=1), "Dupe", 'Account Dump'!G16)</f>
        <v>Dupe</v>
      </c>
      <c r="H16" s="6" t="str">
        <f>IF(AND('Account Dump'!$I16=1,'Account Dump'!$I17=1), "Dupe", 'Account Dump'!H16)</f>
        <v>Dupe</v>
      </c>
      <c r="I16" s="45" t="str">
        <f>IF(AND('Account Dump'!$I16=1,'Account Dump'!$I17=1), "Dupe", 'Account Dump'!I16)</f>
        <v>Dupe</v>
      </c>
    </row>
    <row r="17" spans="1:9" x14ac:dyDescent="0.3">
      <c r="A17" s="44" t="str">
        <f>IF('Account Dump'!$I17=1, "Dupe", 'Account Dump'!A17)</f>
        <v>Dupe</v>
      </c>
      <c r="B17" s="6" t="str">
        <f>IF('Account Dump'!$I17=1, "Dupe", 'Account Dump'!B17)</f>
        <v>Dupe</v>
      </c>
      <c r="C17" s="6" t="str">
        <f>IF('Account Dump'!$I17=1, "Dupe", 'Account Dump'!C17)</f>
        <v>Dupe</v>
      </c>
      <c r="D17" s="6" t="str">
        <f>IF('Account Dump'!$I17=1, "Dupe", 'Account Dump'!D17)</f>
        <v>Dupe</v>
      </c>
      <c r="F17" s="6" t="str">
        <f>IF('Account Dump'!$I17=1, "Dupe", "")</f>
        <v>Dupe</v>
      </c>
      <c r="G17" s="6" t="str">
        <f>IF(AND('Account Dump'!$I17=1,'Account Dump'!$I18=1), "Dupe", 'Account Dump'!G17)</f>
        <v>Dupe</v>
      </c>
      <c r="H17" s="6" t="str">
        <f>IF(AND('Account Dump'!$I17=1,'Account Dump'!$I18=1), "Dupe", 'Account Dump'!H17)</f>
        <v>Dupe</v>
      </c>
      <c r="I17" s="45" t="str">
        <f>IF(AND('Account Dump'!$I17=1,'Account Dump'!$I18=1), "Dupe", 'Account Dump'!I17)</f>
        <v>Dupe</v>
      </c>
    </row>
    <row r="18" spans="1:9" x14ac:dyDescent="0.3">
      <c r="A18" s="44" t="str">
        <f>IF('Account Dump'!$I18=1, "Dupe", 'Account Dump'!A18)</f>
        <v>Dupe</v>
      </c>
      <c r="B18" s="6" t="str">
        <f>IF('Account Dump'!$I18=1, "Dupe", 'Account Dump'!B18)</f>
        <v>Dupe</v>
      </c>
      <c r="C18" s="6" t="str">
        <f>IF('Account Dump'!$I18=1, "Dupe", 'Account Dump'!C18)</f>
        <v>Dupe</v>
      </c>
      <c r="D18" s="6" t="str">
        <f>IF('Account Dump'!$I18=1, "Dupe", 'Account Dump'!D18)</f>
        <v>Dupe</v>
      </c>
      <c r="F18" s="6" t="str">
        <f>IF('Account Dump'!$I18=1, "Dupe", "")</f>
        <v>Dupe</v>
      </c>
      <c r="G18" s="6" t="str">
        <f>IF(AND('Account Dump'!$I18=1,'Account Dump'!$I19=1), "Dupe", 'Account Dump'!G18)</f>
        <v>Dupe</v>
      </c>
      <c r="H18" s="6" t="str">
        <f>IF(AND('Account Dump'!$I18=1,'Account Dump'!$I19=1), "Dupe", 'Account Dump'!H18)</f>
        <v>Dupe</v>
      </c>
      <c r="I18" s="45" t="str">
        <f>IF(AND('Account Dump'!$I18=1,'Account Dump'!$I19=1), "Dupe", 'Account Dump'!I18)</f>
        <v>Dupe</v>
      </c>
    </row>
    <row r="19" spans="1:9" x14ac:dyDescent="0.3">
      <c r="A19" s="44" t="str">
        <f>IF('Account Dump'!$I19=1, "Dupe", 'Account Dump'!A19)</f>
        <v>Dupe</v>
      </c>
      <c r="B19" s="6" t="str">
        <f>IF('Account Dump'!$I19=1, "Dupe", 'Account Dump'!B19)</f>
        <v>Dupe</v>
      </c>
      <c r="C19" s="6" t="str">
        <f>IF('Account Dump'!$I19=1, "Dupe", 'Account Dump'!C19)</f>
        <v>Dupe</v>
      </c>
      <c r="D19" s="6" t="str">
        <f>IF('Account Dump'!$I19=1, "Dupe", 'Account Dump'!D19)</f>
        <v>Dupe</v>
      </c>
      <c r="F19" s="6" t="str">
        <f>IF('Account Dump'!$I19=1, "Dupe", "")</f>
        <v>Dupe</v>
      </c>
      <c r="G19" s="6" t="str">
        <f>IF(AND('Account Dump'!$I19=1,'Account Dump'!$I20=1), "Dupe", 'Account Dump'!G19)</f>
        <v>Dupe</v>
      </c>
      <c r="H19" s="6" t="str">
        <f>IF(AND('Account Dump'!$I19=1,'Account Dump'!$I20=1), "Dupe", 'Account Dump'!H19)</f>
        <v>Dupe</v>
      </c>
      <c r="I19" s="45" t="str">
        <f>IF(AND('Account Dump'!$I19=1,'Account Dump'!$I20=1), "Dupe", 'Account Dump'!I19)</f>
        <v>Dupe</v>
      </c>
    </row>
    <row r="20" spans="1:9" x14ac:dyDescent="0.3">
      <c r="A20" s="44" t="str">
        <f>IF('Account Dump'!$I20=1, "Dupe", 'Account Dump'!A20)</f>
        <v>Dupe</v>
      </c>
      <c r="B20" s="6" t="str">
        <f>IF('Account Dump'!$I20=1, "Dupe", 'Account Dump'!B20)</f>
        <v>Dupe</v>
      </c>
      <c r="C20" s="6" t="str">
        <f>IF('Account Dump'!$I20=1, "Dupe", 'Account Dump'!C20)</f>
        <v>Dupe</v>
      </c>
      <c r="D20" s="6" t="str">
        <f>IF('Account Dump'!$I20=1, "Dupe", 'Account Dump'!D20)</f>
        <v>Dupe</v>
      </c>
      <c r="F20" s="6" t="str">
        <f>IF('Account Dump'!$I20=1, "Dupe", "")</f>
        <v>Dupe</v>
      </c>
      <c r="G20" s="6" t="str">
        <f>IF(AND('Account Dump'!$I20=1,'Account Dump'!$I21=1), "Dupe", 'Account Dump'!G20)</f>
        <v>Dupe</v>
      </c>
      <c r="H20" s="6" t="str">
        <f>IF(AND('Account Dump'!$I20=1,'Account Dump'!$I21=1), "Dupe", 'Account Dump'!H20)</f>
        <v>Dupe</v>
      </c>
      <c r="I20" s="45" t="str">
        <f>IF(AND('Account Dump'!$I20=1,'Account Dump'!$I21=1), "Dupe", 'Account Dump'!I20)</f>
        <v>Dupe</v>
      </c>
    </row>
    <row r="21" spans="1:9" x14ac:dyDescent="0.3">
      <c r="A21" s="44" t="str">
        <f>IF('Account Dump'!$I21=1, "Dupe", 'Account Dump'!A21)</f>
        <v>Dupe</v>
      </c>
      <c r="B21" s="6" t="str">
        <f>IF('Account Dump'!$I21=1, "Dupe", 'Account Dump'!B21)</f>
        <v>Dupe</v>
      </c>
      <c r="C21" s="6" t="str">
        <f>IF('Account Dump'!$I21=1, "Dupe", 'Account Dump'!C21)</f>
        <v>Dupe</v>
      </c>
      <c r="D21" s="6" t="str">
        <f>IF('Account Dump'!$I21=1, "Dupe", 'Account Dump'!D21)</f>
        <v>Dupe</v>
      </c>
      <c r="F21" s="6" t="str">
        <f>IF('Account Dump'!$I21=1, "Dupe", "")</f>
        <v>Dupe</v>
      </c>
      <c r="G21" s="6" t="str">
        <f>IF(AND('Account Dump'!$I21=1,'Account Dump'!$I22=1), "Dupe", 'Account Dump'!G21)</f>
        <v>Dupe</v>
      </c>
      <c r="H21" s="6" t="str">
        <f>IF(AND('Account Dump'!$I21=1,'Account Dump'!$I22=1), "Dupe", 'Account Dump'!H21)</f>
        <v>Dupe</v>
      </c>
      <c r="I21" s="45" t="str">
        <f>IF(AND('Account Dump'!$I21=1,'Account Dump'!$I22=1), "Dupe", 'Account Dump'!I21)</f>
        <v>Dupe</v>
      </c>
    </row>
    <row r="22" spans="1:9" x14ac:dyDescent="0.3">
      <c r="A22" s="44" t="str">
        <f>IF('Account Dump'!$I22=1, "Dupe", 'Account Dump'!A22)</f>
        <v>Dupe</v>
      </c>
      <c r="B22" s="6" t="str">
        <f>IF('Account Dump'!$I22=1, "Dupe", 'Account Dump'!B22)</f>
        <v>Dupe</v>
      </c>
      <c r="C22" s="6" t="str">
        <f>IF('Account Dump'!$I22=1, "Dupe", 'Account Dump'!C22)</f>
        <v>Dupe</v>
      </c>
      <c r="D22" s="6" t="str">
        <f>IF('Account Dump'!$I22=1, "Dupe", 'Account Dump'!D22)</f>
        <v>Dupe</v>
      </c>
      <c r="F22" s="6" t="str">
        <f>IF('Account Dump'!$I22=1, "Dupe", "")</f>
        <v>Dupe</v>
      </c>
      <c r="G22" s="6" t="str">
        <f>IF(AND('Account Dump'!$I22=1,'Account Dump'!$I23=1), "Dupe", 'Account Dump'!G22)</f>
        <v>Dupe</v>
      </c>
      <c r="H22" s="6" t="str">
        <f>IF(AND('Account Dump'!$I22=1,'Account Dump'!$I23=1), "Dupe", 'Account Dump'!H22)</f>
        <v>Dupe</v>
      </c>
      <c r="I22" s="45" t="str">
        <f>IF(AND('Account Dump'!$I22=1,'Account Dump'!$I23=1), "Dupe", 'Account Dump'!I22)</f>
        <v>Dupe</v>
      </c>
    </row>
    <row r="23" spans="1:9" x14ac:dyDescent="0.3">
      <c r="A23" s="44" t="str">
        <f>IF('Account Dump'!$I23=1, "Dupe", 'Account Dump'!A23)</f>
        <v>Dupe</v>
      </c>
      <c r="B23" s="6" t="str">
        <f>IF('Account Dump'!$I23=1, "Dupe", 'Account Dump'!B23)</f>
        <v>Dupe</v>
      </c>
      <c r="C23" s="6" t="str">
        <f>IF('Account Dump'!$I23=1, "Dupe", 'Account Dump'!C23)</f>
        <v>Dupe</v>
      </c>
      <c r="D23" s="6" t="str">
        <f>IF('Account Dump'!$I23=1, "Dupe", 'Account Dump'!D23)</f>
        <v>Dupe</v>
      </c>
      <c r="F23" s="6" t="str">
        <f>IF('Account Dump'!$I23=1, "Dupe", "")</f>
        <v>Dupe</v>
      </c>
      <c r="G23" s="6" t="str">
        <f>IF(AND('Account Dump'!$I23=1,'Account Dump'!$I24=1), "Dupe", 'Account Dump'!G23)</f>
        <v>Dupe</v>
      </c>
      <c r="H23" s="6" t="str">
        <f>IF(AND('Account Dump'!$I23=1,'Account Dump'!$I24=1), "Dupe", 'Account Dump'!H23)</f>
        <v>Dupe</v>
      </c>
      <c r="I23" s="45" t="str">
        <f>IF(AND('Account Dump'!$I23=1,'Account Dump'!$I24=1), "Dupe", 'Account Dump'!I23)</f>
        <v>Dupe</v>
      </c>
    </row>
    <row r="24" spans="1:9" x14ac:dyDescent="0.3">
      <c r="A24" s="44" t="str">
        <f>IF('Account Dump'!$I24=1, "Dupe", 'Account Dump'!A24)</f>
        <v>Dupe</v>
      </c>
      <c r="B24" s="6" t="str">
        <f>IF('Account Dump'!$I24=1, "Dupe", 'Account Dump'!B24)</f>
        <v>Dupe</v>
      </c>
      <c r="C24" s="6" t="str">
        <f>IF('Account Dump'!$I24=1, "Dupe", 'Account Dump'!C24)</f>
        <v>Dupe</v>
      </c>
      <c r="D24" s="6" t="str">
        <f>IF('Account Dump'!$I24=1, "Dupe", 'Account Dump'!D24)</f>
        <v>Dupe</v>
      </c>
      <c r="F24" s="6" t="str">
        <f>IF('Account Dump'!$I24=1, "Dupe", "")</f>
        <v>Dupe</v>
      </c>
      <c r="G24" s="6" t="str">
        <f>IF(AND('Account Dump'!$I24=1,'Account Dump'!$I25=1), "Dupe", 'Account Dump'!G24)</f>
        <v>Dupe</v>
      </c>
      <c r="H24" s="6" t="str">
        <f>IF(AND('Account Dump'!$I24=1,'Account Dump'!$I25=1), "Dupe", 'Account Dump'!H24)</f>
        <v>Dupe</v>
      </c>
      <c r="I24" s="45" t="str">
        <f>IF(AND('Account Dump'!$I24=1,'Account Dump'!$I25=1), "Dupe", 'Account Dump'!I24)</f>
        <v>Dupe</v>
      </c>
    </row>
    <row r="25" spans="1:9" x14ac:dyDescent="0.3">
      <c r="A25" s="44" t="str">
        <f>IF('Account Dump'!$I25=1, "Dupe", 'Account Dump'!A25)</f>
        <v>Dupe</v>
      </c>
      <c r="B25" s="6" t="str">
        <f>IF('Account Dump'!$I25=1, "Dupe", 'Account Dump'!B25)</f>
        <v>Dupe</v>
      </c>
      <c r="C25" s="6" t="str">
        <f>IF('Account Dump'!$I25=1, "Dupe", 'Account Dump'!C25)</f>
        <v>Dupe</v>
      </c>
      <c r="D25" s="6" t="str">
        <f>IF('Account Dump'!$I25=1, "Dupe", 'Account Dump'!D25)</f>
        <v>Dupe</v>
      </c>
      <c r="F25" s="6" t="str">
        <f>IF('Account Dump'!$I25=1, "Dupe", "")</f>
        <v>Dupe</v>
      </c>
      <c r="G25" s="6" t="str">
        <f>IF(AND('Account Dump'!$I25=1,'Account Dump'!$I26=1), "Dupe", 'Account Dump'!G25)</f>
        <v>Dupe</v>
      </c>
      <c r="H25" s="6" t="str">
        <f>IF(AND('Account Dump'!$I25=1,'Account Dump'!$I26=1), "Dupe", 'Account Dump'!H25)</f>
        <v>Dupe</v>
      </c>
      <c r="I25" s="45" t="str">
        <f>IF(AND('Account Dump'!$I25=1,'Account Dump'!$I26=1), "Dupe", 'Account Dump'!I25)</f>
        <v>Dupe</v>
      </c>
    </row>
    <row r="26" spans="1:9" x14ac:dyDescent="0.3">
      <c r="A26" s="44" t="str">
        <f>IF('Account Dump'!$I26=1, "Dupe", 'Account Dump'!A26)</f>
        <v>Dupe</v>
      </c>
      <c r="B26" s="6" t="str">
        <f>IF('Account Dump'!$I26=1, "Dupe", 'Account Dump'!B26)</f>
        <v>Dupe</v>
      </c>
      <c r="C26" s="6" t="str">
        <f>IF('Account Dump'!$I26=1, "Dupe", 'Account Dump'!C26)</f>
        <v>Dupe</v>
      </c>
      <c r="D26" s="6" t="str">
        <f>IF('Account Dump'!$I26=1, "Dupe", 'Account Dump'!D26)</f>
        <v>Dupe</v>
      </c>
      <c r="F26" s="6" t="str">
        <f>IF('Account Dump'!$I26=1, "Dupe", "")</f>
        <v>Dupe</v>
      </c>
      <c r="G26" s="6" t="str">
        <f>IF(AND('Account Dump'!$I26=1,'Account Dump'!$I27=1), "Dupe", 'Account Dump'!G26)</f>
        <v>Dupe</v>
      </c>
      <c r="H26" s="6" t="str">
        <f>IF(AND('Account Dump'!$I26=1,'Account Dump'!$I27=1), "Dupe", 'Account Dump'!H26)</f>
        <v>Dupe</v>
      </c>
      <c r="I26" s="45" t="str">
        <f>IF(AND('Account Dump'!$I26=1,'Account Dump'!$I27=1), "Dupe", 'Account Dump'!I26)</f>
        <v>Dupe</v>
      </c>
    </row>
    <row r="27" spans="1:9" x14ac:dyDescent="0.3">
      <c r="A27" s="44" t="str">
        <f>IF('Account Dump'!$I27=1, "Dupe", 'Account Dump'!A27)</f>
        <v>Dupe</v>
      </c>
      <c r="B27" s="6" t="str">
        <f>IF('Account Dump'!$I27=1, "Dupe", 'Account Dump'!B27)</f>
        <v>Dupe</v>
      </c>
      <c r="C27" s="6" t="str">
        <f>IF('Account Dump'!$I27=1, "Dupe", 'Account Dump'!C27)</f>
        <v>Dupe</v>
      </c>
      <c r="D27" s="6" t="str">
        <f>IF('Account Dump'!$I27=1, "Dupe", 'Account Dump'!D27)</f>
        <v>Dupe</v>
      </c>
      <c r="F27" s="6" t="str">
        <f>IF('Account Dump'!$I27=1, "Dupe", "")</f>
        <v>Dupe</v>
      </c>
      <c r="G27" s="6" t="str">
        <f>IF(AND('Account Dump'!$I27=1,'Account Dump'!$I28=1), "Dupe", 'Account Dump'!G27)</f>
        <v>Dupe</v>
      </c>
      <c r="H27" s="6" t="str">
        <f>IF(AND('Account Dump'!$I27=1,'Account Dump'!$I28=1), "Dupe", 'Account Dump'!H27)</f>
        <v>Dupe</v>
      </c>
      <c r="I27" s="45" t="str">
        <f>IF(AND('Account Dump'!$I27=1,'Account Dump'!$I28=1), "Dupe", 'Account Dump'!I27)</f>
        <v>Dupe</v>
      </c>
    </row>
    <row r="28" spans="1:9" x14ac:dyDescent="0.3">
      <c r="A28" s="44" t="str">
        <f>IF('Account Dump'!$I28=1, "Dupe", 'Account Dump'!A28)</f>
        <v>Dupe</v>
      </c>
      <c r="B28" s="6" t="str">
        <f>IF('Account Dump'!$I28=1, "Dupe", 'Account Dump'!B28)</f>
        <v>Dupe</v>
      </c>
      <c r="C28" s="6" t="str">
        <f>IF('Account Dump'!$I28=1, "Dupe", 'Account Dump'!C28)</f>
        <v>Dupe</v>
      </c>
      <c r="D28" s="6" t="str">
        <f>IF('Account Dump'!$I28=1, "Dupe", 'Account Dump'!D28)</f>
        <v>Dupe</v>
      </c>
      <c r="F28" s="6" t="str">
        <f>IF('Account Dump'!$I28=1, "Dupe", "")</f>
        <v>Dupe</v>
      </c>
      <c r="G28" s="6" t="str">
        <f>IF(AND('Account Dump'!$I28=1,'Account Dump'!$I29=1), "Dupe", 'Account Dump'!G28)</f>
        <v>Dupe</v>
      </c>
      <c r="H28" s="6" t="str">
        <f>IF(AND('Account Dump'!$I28=1,'Account Dump'!$I29=1), "Dupe", 'Account Dump'!H28)</f>
        <v>Dupe</v>
      </c>
      <c r="I28" s="45" t="str">
        <f>IF(AND('Account Dump'!$I28=1,'Account Dump'!$I29=1), "Dupe", 'Account Dump'!I28)</f>
        <v>Dupe</v>
      </c>
    </row>
    <row r="29" spans="1:9" x14ac:dyDescent="0.3">
      <c r="A29" s="44" t="str">
        <f>IF('Account Dump'!$I29=1, "Dupe", 'Account Dump'!A29)</f>
        <v>Dupe</v>
      </c>
      <c r="B29" s="6" t="str">
        <f>IF('Account Dump'!$I29=1, "Dupe", 'Account Dump'!B29)</f>
        <v>Dupe</v>
      </c>
      <c r="C29" s="6" t="str">
        <f>IF('Account Dump'!$I29=1, "Dupe", 'Account Dump'!C29)</f>
        <v>Dupe</v>
      </c>
      <c r="D29" s="6" t="str">
        <f>IF('Account Dump'!$I29=1, "Dupe", 'Account Dump'!D29)</f>
        <v>Dupe</v>
      </c>
      <c r="F29" s="6" t="str">
        <f>IF('Account Dump'!$I29=1, "Dupe", "")</f>
        <v>Dupe</v>
      </c>
      <c r="G29" s="6" t="str">
        <f>IF(AND('Account Dump'!$I29=1,'Account Dump'!$I30=1), "Dupe", 'Account Dump'!G29)</f>
        <v>Dupe</v>
      </c>
      <c r="H29" s="6" t="str">
        <f>IF(AND('Account Dump'!$I29=1,'Account Dump'!$I30=1), "Dupe", 'Account Dump'!H29)</f>
        <v>Dupe</v>
      </c>
      <c r="I29" s="45" t="str">
        <f>IF(AND('Account Dump'!$I29=1,'Account Dump'!$I30=1), "Dupe", 'Account Dump'!I29)</f>
        <v>Dupe</v>
      </c>
    </row>
    <row r="30" spans="1:9" x14ac:dyDescent="0.3">
      <c r="A30" s="44" t="str">
        <f>IF('Account Dump'!$I30=1, "Dupe", 'Account Dump'!A30)</f>
        <v>Dupe</v>
      </c>
      <c r="B30" s="6" t="str">
        <f>IF('Account Dump'!$I30=1, "Dupe", 'Account Dump'!B30)</f>
        <v>Dupe</v>
      </c>
      <c r="C30" s="6" t="str">
        <f>IF('Account Dump'!$I30=1, "Dupe", 'Account Dump'!C30)</f>
        <v>Dupe</v>
      </c>
      <c r="D30" s="6" t="str">
        <f>IF('Account Dump'!$I30=1, "Dupe", 'Account Dump'!D30)</f>
        <v>Dupe</v>
      </c>
      <c r="F30" s="6" t="str">
        <f>IF('Account Dump'!$I30=1, "Dupe", "")</f>
        <v>Dupe</v>
      </c>
      <c r="G30" s="6" t="str">
        <f>IF(AND('Account Dump'!$I30=1,'Account Dump'!$I31=1), "Dupe", 'Account Dump'!G30)</f>
        <v>Dupe</v>
      </c>
      <c r="H30" s="6" t="str">
        <f>IF(AND('Account Dump'!$I30=1,'Account Dump'!$I31=1), "Dupe", 'Account Dump'!H30)</f>
        <v>Dupe</v>
      </c>
      <c r="I30" s="45" t="str">
        <f>IF(AND('Account Dump'!$I30=1,'Account Dump'!$I31=1), "Dupe", 'Account Dump'!I30)</f>
        <v>Dupe</v>
      </c>
    </row>
    <row r="31" spans="1:9" x14ac:dyDescent="0.3">
      <c r="A31" s="44" t="str">
        <f>IF('Account Dump'!$I31=1, "Dupe", 'Account Dump'!A31)</f>
        <v>Dupe</v>
      </c>
      <c r="B31" s="6" t="str">
        <f>IF('Account Dump'!$I31=1, "Dupe", 'Account Dump'!B31)</f>
        <v>Dupe</v>
      </c>
      <c r="C31" s="6" t="str">
        <f>IF('Account Dump'!$I31=1, "Dupe", 'Account Dump'!C31)</f>
        <v>Dupe</v>
      </c>
      <c r="D31" s="6" t="str">
        <f>IF('Account Dump'!$I31=1, "Dupe", 'Account Dump'!D31)</f>
        <v>Dupe</v>
      </c>
      <c r="F31" s="6" t="str">
        <f>IF('Account Dump'!$I31=1, "Dupe", "")</f>
        <v>Dupe</v>
      </c>
      <c r="G31" s="6" t="str">
        <f>IF(AND('Account Dump'!$I31=1,'Account Dump'!$I32=1), "Dupe", 'Account Dump'!G31)</f>
        <v>Dupe</v>
      </c>
      <c r="H31" s="6" t="str">
        <f>IF(AND('Account Dump'!$I31=1,'Account Dump'!$I32=1), "Dupe", 'Account Dump'!H31)</f>
        <v>Dupe</v>
      </c>
      <c r="I31" s="45" t="str">
        <f>IF(AND('Account Dump'!$I31=1,'Account Dump'!$I32=1), "Dupe", 'Account Dump'!I31)</f>
        <v>Dupe</v>
      </c>
    </row>
    <row r="32" spans="1:9" x14ac:dyDescent="0.3">
      <c r="A32" s="44" t="str">
        <f>IF('Account Dump'!$I32=1, "Dupe", 'Account Dump'!A32)</f>
        <v>Dupe</v>
      </c>
      <c r="B32" s="6" t="str">
        <f>IF('Account Dump'!$I32=1, "Dupe", 'Account Dump'!B32)</f>
        <v>Dupe</v>
      </c>
      <c r="C32" s="6" t="str">
        <f>IF('Account Dump'!$I32=1, "Dupe", 'Account Dump'!C32)</f>
        <v>Dupe</v>
      </c>
      <c r="D32" s="6" t="str">
        <f>IF('Account Dump'!$I32=1, "Dupe", 'Account Dump'!D32)</f>
        <v>Dupe</v>
      </c>
      <c r="F32" s="6" t="str">
        <f>IF('Account Dump'!$I32=1, "Dupe", "")</f>
        <v>Dupe</v>
      </c>
      <c r="G32" s="6" t="str">
        <f>IF(AND('Account Dump'!$I32=1,'Account Dump'!$I33=1), "Dupe", 'Account Dump'!G32)</f>
        <v>Dupe</v>
      </c>
      <c r="H32" s="6" t="str">
        <f>IF(AND('Account Dump'!$I32=1,'Account Dump'!$I33=1), "Dupe", 'Account Dump'!H32)</f>
        <v>Dupe</v>
      </c>
      <c r="I32" s="45" t="str">
        <f>IF(AND('Account Dump'!$I32=1,'Account Dump'!$I33=1), "Dupe", 'Account Dump'!I32)</f>
        <v>Dupe</v>
      </c>
    </row>
    <row r="33" spans="1:9" x14ac:dyDescent="0.3">
      <c r="A33" s="44" t="str">
        <f>IF('Account Dump'!$I33=1, "Dupe", 'Account Dump'!A33)</f>
        <v>Dupe</v>
      </c>
      <c r="B33" s="6" t="str">
        <f>IF('Account Dump'!$I33=1, "Dupe", 'Account Dump'!B33)</f>
        <v>Dupe</v>
      </c>
      <c r="C33" s="6" t="str">
        <f>IF('Account Dump'!$I33=1, "Dupe", 'Account Dump'!C33)</f>
        <v>Dupe</v>
      </c>
      <c r="D33" s="6" t="str">
        <f>IF('Account Dump'!$I33=1, "Dupe", 'Account Dump'!D33)</f>
        <v>Dupe</v>
      </c>
      <c r="F33" s="6" t="str">
        <f>IF('Account Dump'!$I33=1, "Dupe", "")</f>
        <v>Dupe</v>
      </c>
      <c r="G33" s="6" t="str">
        <f>IF(AND('Account Dump'!$I33=1,'Account Dump'!$I34=1), "Dupe", 'Account Dump'!G33)</f>
        <v>Dupe</v>
      </c>
      <c r="H33" s="6" t="str">
        <f>IF(AND('Account Dump'!$I33=1,'Account Dump'!$I34=1), "Dupe", 'Account Dump'!H33)</f>
        <v>Dupe</v>
      </c>
      <c r="I33" s="45" t="str">
        <f>IF(AND('Account Dump'!$I33=1,'Account Dump'!$I34=1), "Dupe", 'Account Dump'!I33)</f>
        <v>Dupe</v>
      </c>
    </row>
    <row r="34" spans="1:9" x14ac:dyDescent="0.3">
      <c r="A34" s="44" t="str">
        <f>IF('Account Dump'!$I34=1, "Dupe", 'Account Dump'!A34)</f>
        <v>Dupe</v>
      </c>
      <c r="B34" s="6" t="str">
        <f>IF('Account Dump'!$I34=1, "Dupe", 'Account Dump'!B34)</f>
        <v>Dupe</v>
      </c>
      <c r="C34" s="6" t="str">
        <f>IF('Account Dump'!$I34=1, "Dupe", 'Account Dump'!C34)</f>
        <v>Dupe</v>
      </c>
      <c r="D34" s="6" t="str">
        <f>IF('Account Dump'!$I34=1, "Dupe", 'Account Dump'!D34)</f>
        <v>Dupe</v>
      </c>
      <c r="F34" s="6" t="str">
        <f>IF('Account Dump'!$I34=1, "Dupe", "")</f>
        <v>Dupe</v>
      </c>
      <c r="G34" s="6" t="str">
        <f>IF(AND('Account Dump'!$I34=1,'Account Dump'!$I35=1), "Dupe", 'Account Dump'!G34)</f>
        <v>Dupe</v>
      </c>
      <c r="H34" s="6" t="str">
        <f>IF(AND('Account Dump'!$I34=1,'Account Dump'!$I35=1), "Dupe", 'Account Dump'!H34)</f>
        <v>Dupe</v>
      </c>
      <c r="I34" s="45" t="str">
        <f>IF(AND('Account Dump'!$I34=1,'Account Dump'!$I35=1), "Dupe", 'Account Dump'!I34)</f>
        <v>Dupe</v>
      </c>
    </row>
    <row r="35" spans="1:9" x14ac:dyDescent="0.3">
      <c r="A35" s="44" t="str">
        <f>IF('Account Dump'!$I35=1, "Dupe", 'Account Dump'!A35)</f>
        <v>Dupe</v>
      </c>
      <c r="B35" s="6" t="str">
        <f>IF('Account Dump'!$I35=1, "Dupe", 'Account Dump'!B35)</f>
        <v>Dupe</v>
      </c>
      <c r="C35" s="6" t="str">
        <f>IF('Account Dump'!$I35=1, "Dupe", 'Account Dump'!C35)</f>
        <v>Dupe</v>
      </c>
      <c r="D35" s="6" t="str">
        <f>IF('Account Dump'!$I35=1, "Dupe", 'Account Dump'!D35)</f>
        <v>Dupe</v>
      </c>
      <c r="F35" s="6" t="str">
        <f>IF('Account Dump'!$I35=1, "Dupe", "")</f>
        <v>Dupe</v>
      </c>
      <c r="G35" s="6" t="str">
        <f>IF(AND('Account Dump'!$I35=1,'Account Dump'!$I36=1), "Dupe", 'Account Dump'!G35)</f>
        <v>Dupe</v>
      </c>
      <c r="H35" s="6" t="str">
        <f>IF(AND('Account Dump'!$I35=1,'Account Dump'!$I36=1), "Dupe", 'Account Dump'!H35)</f>
        <v>Dupe</v>
      </c>
      <c r="I35" s="45" t="str">
        <f>IF(AND('Account Dump'!$I35=1,'Account Dump'!$I36=1), "Dupe", 'Account Dump'!I35)</f>
        <v>Dupe</v>
      </c>
    </row>
    <row r="36" spans="1:9" x14ac:dyDescent="0.3">
      <c r="A36" s="44" t="str">
        <f>IF('Account Dump'!$I36=1, "Dupe", 'Account Dump'!A36)</f>
        <v>Dupe</v>
      </c>
      <c r="B36" s="6" t="str">
        <f>IF('Account Dump'!$I36=1, "Dupe", 'Account Dump'!B36)</f>
        <v>Dupe</v>
      </c>
      <c r="C36" s="6" t="str">
        <f>IF('Account Dump'!$I36=1, "Dupe", 'Account Dump'!C36)</f>
        <v>Dupe</v>
      </c>
      <c r="D36" s="6" t="str">
        <f>IF('Account Dump'!$I36=1, "Dupe", 'Account Dump'!D36)</f>
        <v>Dupe</v>
      </c>
      <c r="F36" s="6" t="str">
        <f>IF('Account Dump'!$I36=1, "Dupe", "")</f>
        <v>Dupe</v>
      </c>
      <c r="G36" s="6" t="str">
        <f>IF(AND('Account Dump'!$I36=1,'Account Dump'!$I37=1), "Dupe", 'Account Dump'!G36)</f>
        <v>Dupe</v>
      </c>
      <c r="H36" s="6" t="str">
        <f>IF(AND('Account Dump'!$I36=1,'Account Dump'!$I37=1), "Dupe", 'Account Dump'!H36)</f>
        <v>Dupe</v>
      </c>
      <c r="I36" s="45" t="str">
        <f>IF(AND('Account Dump'!$I36=1,'Account Dump'!$I37=1), "Dupe", 'Account Dump'!I36)</f>
        <v>Dupe</v>
      </c>
    </row>
    <row r="37" spans="1:9" x14ac:dyDescent="0.3">
      <c r="A37" s="44" t="str">
        <f>IF('Account Dump'!$I37=1, "Dupe", 'Account Dump'!A37)</f>
        <v>Dupe</v>
      </c>
      <c r="B37" s="6" t="str">
        <f>IF('Account Dump'!$I37=1, "Dupe", 'Account Dump'!B37)</f>
        <v>Dupe</v>
      </c>
      <c r="C37" s="6" t="str">
        <f>IF('Account Dump'!$I37=1, "Dupe", 'Account Dump'!C37)</f>
        <v>Dupe</v>
      </c>
      <c r="D37" s="6" t="str">
        <f>IF('Account Dump'!$I37=1, "Dupe", 'Account Dump'!D37)</f>
        <v>Dupe</v>
      </c>
      <c r="F37" s="6" t="str">
        <f>IF('Account Dump'!$I37=1, "Dupe", "")</f>
        <v>Dupe</v>
      </c>
      <c r="G37" s="6" t="str">
        <f>IF(AND('Account Dump'!$I37=1,'Account Dump'!$I38=1), "Dupe", 'Account Dump'!G37)</f>
        <v>Dupe</v>
      </c>
      <c r="H37" s="6" t="str">
        <f>IF(AND('Account Dump'!$I37=1,'Account Dump'!$I38=1), "Dupe", 'Account Dump'!H37)</f>
        <v>Dupe</v>
      </c>
      <c r="I37" s="45" t="str">
        <f>IF(AND('Account Dump'!$I37=1,'Account Dump'!$I38=1), "Dupe", 'Account Dump'!I37)</f>
        <v>Dupe</v>
      </c>
    </row>
    <row r="38" spans="1:9" x14ac:dyDescent="0.3">
      <c r="A38" s="44" t="str">
        <f>IF('Account Dump'!$I38=1, "Dupe", 'Account Dump'!A38)</f>
        <v>Dupe</v>
      </c>
      <c r="B38" s="6" t="str">
        <f>IF('Account Dump'!$I38=1, "Dupe", 'Account Dump'!B38)</f>
        <v>Dupe</v>
      </c>
      <c r="C38" s="6" t="str">
        <f>IF('Account Dump'!$I38=1, "Dupe", 'Account Dump'!C38)</f>
        <v>Dupe</v>
      </c>
      <c r="D38" s="6" t="str">
        <f>IF('Account Dump'!$I38=1, "Dupe", 'Account Dump'!D38)</f>
        <v>Dupe</v>
      </c>
      <c r="F38" s="6" t="str">
        <f>IF('Account Dump'!$I38=1, "Dupe", "")</f>
        <v>Dupe</v>
      </c>
      <c r="G38" s="6" t="str">
        <f>IF(AND('Account Dump'!$I38=1,'Account Dump'!$I39=1), "Dupe", 'Account Dump'!G38)</f>
        <v>Dupe</v>
      </c>
      <c r="H38" s="6" t="str">
        <f>IF(AND('Account Dump'!$I38=1,'Account Dump'!$I39=1), "Dupe", 'Account Dump'!H38)</f>
        <v>Dupe</v>
      </c>
      <c r="I38" s="45" t="str">
        <f>IF(AND('Account Dump'!$I38=1,'Account Dump'!$I39=1), "Dupe", 'Account Dump'!I38)</f>
        <v>Dupe</v>
      </c>
    </row>
    <row r="39" spans="1:9" x14ac:dyDescent="0.3">
      <c r="A39" s="44" t="str">
        <f>IF('Account Dump'!$I39=1, "Dupe", 'Account Dump'!A39)</f>
        <v>Dupe</v>
      </c>
      <c r="B39" s="6" t="str">
        <f>IF('Account Dump'!$I39=1, "Dupe", 'Account Dump'!B39)</f>
        <v>Dupe</v>
      </c>
      <c r="C39" s="6" t="str">
        <f>IF('Account Dump'!$I39=1, "Dupe", 'Account Dump'!C39)</f>
        <v>Dupe</v>
      </c>
      <c r="D39" s="6" t="str">
        <f>IF('Account Dump'!$I39=1, "Dupe", 'Account Dump'!D39)</f>
        <v>Dupe</v>
      </c>
      <c r="F39" s="6" t="str">
        <f>IF('Account Dump'!$I39=1, "Dupe", "")</f>
        <v>Dupe</v>
      </c>
      <c r="G39" s="6" t="str">
        <f>IF(AND('Account Dump'!$I39=1,'Account Dump'!$I40=1), "Dupe", 'Account Dump'!G39)</f>
        <v>Dupe</v>
      </c>
      <c r="H39" s="6" t="str">
        <f>IF(AND('Account Dump'!$I39=1,'Account Dump'!$I40=1), "Dupe", 'Account Dump'!H39)</f>
        <v>Dupe</v>
      </c>
      <c r="I39" s="45" t="str">
        <f>IF(AND('Account Dump'!$I39=1,'Account Dump'!$I40=1), "Dupe", 'Account Dump'!I39)</f>
        <v>Dupe</v>
      </c>
    </row>
    <row r="40" spans="1:9" x14ac:dyDescent="0.3">
      <c r="A40" s="44" t="str">
        <f>IF('Account Dump'!$I40=1, "Dupe", 'Account Dump'!A40)</f>
        <v>Dupe</v>
      </c>
      <c r="B40" s="6" t="str">
        <f>IF('Account Dump'!$I40=1, "Dupe", 'Account Dump'!B40)</f>
        <v>Dupe</v>
      </c>
      <c r="C40" s="6" t="str">
        <f>IF('Account Dump'!$I40=1, "Dupe", 'Account Dump'!C40)</f>
        <v>Dupe</v>
      </c>
      <c r="D40" s="6" t="str">
        <f>IF('Account Dump'!$I40=1, "Dupe", 'Account Dump'!D40)</f>
        <v>Dupe</v>
      </c>
      <c r="F40" s="6" t="str">
        <f>IF('Account Dump'!$I40=1, "Dupe", "")</f>
        <v>Dupe</v>
      </c>
      <c r="G40" s="6" t="str">
        <f>IF(AND('Account Dump'!$I40=1,'Account Dump'!$I41=1), "Dupe", 'Account Dump'!G40)</f>
        <v>Dupe</v>
      </c>
      <c r="H40" s="6" t="str">
        <f>IF(AND('Account Dump'!$I40=1,'Account Dump'!$I41=1), "Dupe", 'Account Dump'!H40)</f>
        <v>Dupe</v>
      </c>
      <c r="I40" s="45" t="str">
        <f>IF(AND('Account Dump'!$I40=1,'Account Dump'!$I41=1), "Dupe", 'Account Dump'!I40)</f>
        <v>Dupe</v>
      </c>
    </row>
    <row r="41" spans="1:9" x14ac:dyDescent="0.3">
      <c r="A41" s="44" t="str">
        <f>IF('Account Dump'!$I41=1, "Dupe", 'Account Dump'!A41)</f>
        <v>Dupe</v>
      </c>
      <c r="B41" s="6" t="str">
        <f>IF('Account Dump'!$I41=1, "Dupe", 'Account Dump'!B41)</f>
        <v>Dupe</v>
      </c>
      <c r="C41" s="6" t="str">
        <f>IF('Account Dump'!$I41=1, "Dupe", 'Account Dump'!C41)</f>
        <v>Dupe</v>
      </c>
      <c r="D41" s="6" t="str">
        <f>IF('Account Dump'!$I41=1, "Dupe", 'Account Dump'!D41)</f>
        <v>Dupe</v>
      </c>
      <c r="F41" s="6" t="str">
        <f>IF('Account Dump'!$I41=1, "Dupe", "")</f>
        <v>Dupe</v>
      </c>
      <c r="G41" s="6" t="str">
        <f>IF(AND('Account Dump'!$I41=1,'Account Dump'!$I42=1), "Dupe", 'Account Dump'!G41)</f>
        <v>Dupe</v>
      </c>
      <c r="H41" s="6" t="str">
        <f>IF(AND('Account Dump'!$I41=1,'Account Dump'!$I42=1), "Dupe", 'Account Dump'!H41)</f>
        <v>Dupe</v>
      </c>
      <c r="I41" s="45" t="str">
        <f>IF(AND('Account Dump'!$I41=1,'Account Dump'!$I42=1), "Dupe", 'Account Dump'!I41)</f>
        <v>Dupe</v>
      </c>
    </row>
    <row r="42" spans="1:9" x14ac:dyDescent="0.3">
      <c r="A42" s="44" t="str">
        <f>IF('Account Dump'!$I42=1, "Dupe", 'Account Dump'!A42)</f>
        <v>Dupe</v>
      </c>
      <c r="B42" s="6" t="str">
        <f>IF('Account Dump'!$I42=1, "Dupe", 'Account Dump'!B42)</f>
        <v>Dupe</v>
      </c>
      <c r="C42" s="6" t="str">
        <f>IF('Account Dump'!$I42=1, "Dupe", 'Account Dump'!C42)</f>
        <v>Dupe</v>
      </c>
      <c r="D42" s="6" t="str">
        <f>IF('Account Dump'!$I42=1, "Dupe", 'Account Dump'!D42)</f>
        <v>Dupe</v>
      </c>
      <c r="F42" s="6" t="str">
        <f>IF('Account Dump'!$I42=1, "Dupe", "")</f>
        <v>Dupe</v>
      </c>
      <c r="G42" s="6" t="str">
        <f>IF(AND('Account Dump'!$I42=1,'Account Dump'!$I43=1), "Dupe", 'Account Dump'!G42)</f>
        <v>Dupe</v>
      </c>
      <c r="H42" s="6" t="str">
        <f>IF(AND('Account Dump'!$I42=1,'Account Dump'!$I43=1), "Dupe", 'Account Dump'!H42)</f>
        <v>Dupe</v>
      </c>
      <c r="I42" s="45" t="str">
        <f>IF(AND('Account Dump'!$I42=1,'Account Dump'!$I43=1), "Dupe", 'Account Dump'!I42)</f>
        <v>Dupe</v>
      </c>
    </row>
    <row r="43" spans="1:9" x14ac:dyDescent="0.3">
      <c r="A43" s="44" t="str">
        <f>IF('Account Dump'!$I43=1, "Dupe", 'Account Dump'!A43)</f>
        <v>Dupe</v>
      </c>
      <c r="B43" s="6" t="str">
        <f>IF('Account Dump'!$I43=1, "Dupe", 'Account Dump'!B43)</f>
        <v>Dupe</v>
      </c>
      <c r="C43" s="6" t="str">
        <f>IF('Account Dump'!$I43=1, "Dupe", 'Account Dump'!C43)</f>
        <v>Dupe</v>
      </c>
      <c r="D43" s="6" t="str">
        <f>IF('Account Dump'!$I43=1, "Dupe", 'Account Dump'!D43)</f>
        <v>Dupe</v>
      </c>
      <c r="F43" s="6" t="str">
        <f>IF('Account Dump'!$I43=1, "Dupe", "")</f>
        <v>Dupe</v>
      </c>
      <c r="G43" s="6" t="str">
        <f>IF(AND('Account Dump'!$I43=1,'Account Dump'!$I44=1), "Dupe", 'Account Dump'!G43)</f>
        <v>Dupe</v>
      </c>
      <c r="H43" s="6" t="str">
        <f>IF(AND('Account Dump'!$I43=1,'Account Dump'!$I44=1), "Dupe", 'Account Dump'!H43)</f>
        <v>Dupe</v>
      </c>
      <c r="I43" s="45" t="str">
        <f>IF(AND('Account Dump'!$I43=1,'Account Dump'!$I44=1), "Dupe", 'Account Dump'!I43)</f>
        <v>Dupe</v>
      </c>
    </row>
    <row r="44" spans="1:9" x14ac:dyDescent="0.3">
      <c r="A44" s="44" t="str">
        <f>IF('Account Dump'!$I44=1, "Dupe", 'Account Dump'!A44)</f>
        <v>Dupe</v>
      </c>
      <c r="B44" s="6" t="str">
        <f>IF('Account Dump'!$I44=1, "Dupe", 'Account Dump'!B44)</f>
        <v>Dupe</v>
      </c>
      <c r="C44" s="6" t="str">
        <f>IF('Account Dump'!$I44=1, "Dupe", 'Account Dump'!C44)</f>
        <v>Dupe</v>
      </c>
      <c r="D44" s="6" t="str">
        <f>IF('Account Dump'!$I44=1, "Dupe", 'Account Dump'!D44)</f>
        <v>Dupe</v>
      </c>
      <c r="F44" s="6" t="str">
        <f>IF('Account Dump'!$I44=1, "Dupe", "")</f>
        <v>Dupe</v>
      </c>
      <c r="G44" s="6" t="str">
        <f>IF(AND('Account Dump'!$I44=1,'Account Dump'!$I45=1), "Dupe", 'Account Dump'!G44)</f>
        <v>Dupe</v>
      </c>
      <c r="H44" s="6" t="str">
        <f>IF(AND('Account Dump'!$I44=1,'Account Dump'!$I45=1), "Dupe", 'Account Dump'!H44)</f>
        <v>Dupe</v>
      </c>
      <c r="I44" s="45" t="str">
        <f>IF(AND('Account Dump'!$I44=1,'Account Dump'!$I45=1), "Dupe", 'Account Dump'!I44)</f>
        <v>Dupe</v>
      </c>
    </row>
    <row r="45" spans="1:9" x14ac:dyDescent="0.3">
      <c r="A45" s="44" t="str">
        <f>IF('Account Dump'!$I45=1, "Dupe", 'Account Dump'!A45)</f>
        <v>Dupe</v>
      </c>
      <c r="B45" s="6" t="str">
        <f>IF('Account Dump'!$I45=1, "Dupe", 'Account Dump'!B45)</f>
        <v>Dupe</v>
      </c>
      <c r="C45" s="6" t="str">
        <f>IF('Account Dump'!$I45=1, "Dupe", 'Account Dump'!C45)</f>
        <v>Dupe</v>
      </c>
      <c r="D45" s="6" t="str">
        <f>IF('Account Dump'!$I45=1, "Dupe", 'Account Dump'!D45)</f>
        <v>Dupe</v>
      </c>
      <c r="F45" s="6" t="str">
        <f>IF('Account Dump'!$I45=1, "Dupe", "")</f>
        <v>Dupe</v>
      </c>
      <c r="G45" s="6" t="str">
        <f>IF(AND('Account Dump'!$I45=1,'Account Dump'!$I46=1), "Dupe", 'Account Dump'!G45)</f>
        <v>Dupe</v>
      </c>
      <c r="H45" s="6" t="str">
        <f>IF(AND('Account Dump'!$I45=1,'Account Dump'!$I46=1), "Dupe", 'Account Dump'!H45)</f>
        <v>Dupe</v>
      </c>
      <c r="I45" s="45" t="str">
        <f>IF(AND('Account Dump'!$I45=1,'Account Dump'!$I46=1), "Dupe", 'Account Dump'!I45)</f>
        <v>Dupe</v>
      </c>
    </row>
    <row r="46" spans="1:9" x14ac:dyDescent="0.3">
      <c r="A46" s="44" t="str">
        <f>IF('Account Dump'!$I46=1, "Dupe", 'Account Dump'!A46)</f>
        <v>Dupe</v>
      </c>
      <c r="B46" s="6" t="str">
        <f>IF('Account Dump'!$I46=1, "Dupe", 'Account Dump'!B46)</f>
        <v>Dupe</v>
      </c>
      <c r="C46" s="6" t="str">
        <f>IF('Account Dump'!$I46=1, "Dupe", 'Account Dump'!C46)</f>
        <v>Dupe</v>
      </c>
      <c r="D46" s="6" t="str">
        <f>IF('Account Dump'!$I46=1, "Dupe", 'Account Dump'!D46)</f>
        <v>Dupe</v>
      </c>
      <c r="F46" s="6" t="str">
        <f>IF('Account Dump'!$I46=1, "Dupe", "")</f>
        <v>Dupe</v>
      </c>
      <c r="G46" s="6" t="str">
        <f>IF(AND('Account Dump'!$I46=1,'Account Dump'!$I47=1), "Dupe", 'Account Dump'!G46)</f>
        <v>Dupe</v>
      </c>
      <c r="H46" s="6" t="str">
        <f>IF(AND('Account Dump'!$I46=1,'Account Dump'!$I47=1), "Dupe", 'Account Dump'!H46)</f>
        <v>Dupe</v>
      </c>
      <c r="I46" s="45" t="str">
        <f>IF(AND('Account Dump'!$I46=1,'Account Dump'!$I47=1), "Dupe", 'Account Dump'!I46)</f>
        <v>Dupe</v>
      </c>
    </row>
    <row r="47" spans="1:9" x14ac:dyDescent="0.3">
      <c r="A47" s="44" t="str">
        <f>IF('Account Dump'!$I47=1, "Dupe", 'Account Dump'!A47)</f>
        <v>Dupe</v>
      </c>
      <c r="B47" s="6" t="str">
        <f>IF('Account Dump'!$I47=1, "Dupe", 'Account Dump'!B47)</f>
        <v>Dupe</v>
      </c>
      <c r="C47" s="6" t="str">
        <f>IF('Account Dump'!$I47=1, "Dupe", 'Account Dump'!C47)</f>
        <v>Dupe</v>
      </c>
      <c r="D47" s="6" t="str">
        <f>IF('Account Dump'!$I47=1, "Dupe", 'Account Dump'!D47)</f>
        <v>Dupe</v>
      </c>
      <c r="F47" s="6" t="str">
        <f>IF('Account Dump'!$I47=1, "Dupe", "")</f>
        <v>Dupe</v>
      </c>
      <c r="G47" s="6" t="str">
        <f>IF(AND('Account Dump'!$I47=1,'Account Dump'!$I48=1), "Dupe", 'Account Dump'!G47)</f>
        <v>Dupe</v>
      </c>
      <c r="H47" s="6" t="str">
        <f>IF(AND('Account Dump'!$I47=1,'Account Dump'!$I48=1), "Dupe", 'Account Dump'!H47)</f>
        <v>Dupe</v>
      </c>
      <c r="I47" s="45" t="str">
        <f>IF(AND('Account Dump'!$I47=1,'Account Dump'!$I48=1), "Dupe", 'Account Dump'!I47)</f>
        <v>Dupe</v>
      </c>
    </row>
    <row r="48" spans="1:9" x14ac:dyDescent="0.3">
      <c r="A48" s="44" t="str">
        <f>IF('Account Dump'!$I48=1, "Dupe", 'Account Dump'!A48)</f>
        <v>Dupe</v>
      </c>
      <c r="B48" s="6" t="str">
        <f>IF('Account Dump'!$I48=1, "Dupe", 'Account Dump'!B48)</f>
        <v>Dupe</v>
      </c>
      <c r="C48" s="6" t="str">
        <f>IF('Account Dump'!$I48=1, "Dupe", 'Account Dump'!C48)</f>
        <v>Dupe</v>
      </c>
      <c r="D48" s="6" t="str">
        <f>IF('Account Dump'!$I48=1, "Dupe", 'Account Dump'!D48)</f>
        <v>Dupe</v>
      </c>
      <c r="F48" s="6" t="str">
        <f>IF('Account Dump'!$I48=1, "Dupe", "")</f>
        <v>Dupe</v>
      </c>
      <c r="G48" s="6" t="str">
        <f>IF(AND('Account Dump'!$I48=1,'Account Dump'!$I49=1), "Dupe", 'Account Dump'!G48)</f>
        <v>Dupe</v>
      </c>
      <c r="H48" s="6" t="str">
        <f>IF(AND('Account Dump'!$I48=1,'Account Dump'!$I49=1), "Dupe", 'Account Dump'!H48)</f>
        <v>Dupe</v>
      </c>
      <c r="I48" s="45" t="str">
        <f>IF(AND('Account Dump'!$I48=1,'Account Dump'!$I49=1), "Dupe", 'Account Dump'!I48)</f>
        <v>Dupe</v>
      </c>
    </row>
    <row r="49" spans="1:9" x14ac:dyDescent="0.3">
      <c r="A49" s="44" t="str">
        <f>IF('Account Dump'!$I49=1, "Dupe", 'Account Dump'!A49)</f>
        <v>Dupe</v>
      </c>
      <c r="B49" s="6" t="str">
        <f>IF('Account Dump'!$I49=1, "Dupe", 'Account Dump'!B49)</f>
        <v>Dupe</v>
      </c>
      <c r="C49" s="6" t="str">
        <f>IF('Account Dump'!$I49=1, "Dupe", 'Account Dump'!C49)</f>
        <v>Dupe</v>
      </c>
      <c r="D49" s="6" t="str">
        <f>IF('Account Dump'!$I49=1, "Dupe", 'Account Dump'!D49)</f>
        <v>Dupe</v>
      </c>
      <c r="F49" s="6" t="str">
        <f>IF('Account Dump'!$I49=1, "Dupe", "")</f>
        <v>Dupe</v>
      </c>
      <c r="G49" s="6" t="str">
        <f>IF(AND('Account Dump'!$I49=1,'Account Dump'!$I50=1), "Dupe", 'Account Dump'!G49)</f>
        <v>Dupe</v>
      </c>
      <c r="H49" s="6" t="str">
        <f>IF(AND('Account Dump'!$I49=1,'Account Dump'!$I50=1), "Dupe", 'Account Dump'!H49)</f>
        <v>Dupe</v>
      </c>
      <c r="I49" s="45" t="str">
        <f>IF(AND('Account Dump'!$I49=1,'Account Dump'!$I50=1), "Dupe", 'Account Dump'!I49)</f>
        <v>Dupe</v>
      </c>
    </row>
    <row r="50" spans="1:9" x14ac:dyDescent="0.3">
      <c r="A50" s="44" t="str">
        <f>IF('Account Dump'!$I50=1, "Dupe", 'Account Dump'!A50)</f>
        <v>Dupe</v>
      </c>
      <c r="B50" s="6" t="str">
        <f>IF('Account Dump'!$I50=1, "Dupe", 'Account Dump'!B50)</f>
        <v>Dupe</v>
      </c>
      <c r="C50" s="6" t="str">
        <f>IF('Account Dump'!$I50=1, "Dupe", 'Account Dump'!C50)</f>
        <v>Dupe</v>
      </c>
      <c r="D50" s="6" t="str">
        <f>IF('Account Dump'!$I50=1, "Dupe", 'Account Dump'!D50)</f>
        <v>Dupe</v>
      </c>
      <c r="F50" s="6" t="str">
        <f>IF('Account Dump'!$I50=1, "Dupe", "")</f>
        <v>Dupe</v>
      </c>
      <c r="G50" s="6" t="str">
        <f>IF(AND('Account Dump'!$I50=1,'Account Dump'!$I51=1), "Dupe", 'Account Dump'!G50)</f>
        <v>Dupe</v>
      </c>
      <c r="H50" s="6" t="str">
        <f>IF(AND('Account Dump'!$I50=1,'Account Dump'!$I51=1), "Dupe", 'Account Dump'!H50)</f>
        <v>Dupe</v>
      </c>
      <c r="I50" s="45" t="str">
        <f>IF(AND('Account Dump'!$I50=1,'Account Dump'!$I51=1), "Dupe", 'Account Dump'!I50)</f>
        <v>Dupe</v>
      </c>
    </row>
    <row r="51" spans="1:9" x14ac:dyDescent="0.3">
      <c r="A51" s="44" t="str">
        <f>IF('Account Dump'!$I51=1, "Dupe", 'Account Dump'!A51)</f>
        <v>Dupe</v>
      </c>
      <c r="B51" s="6" t="str">
        <f>IF('Account Dump'!$I51=1, "Dupe", 'Account Dump'!B51)</f>
        <v>Dupe</v>
      </c>
      <c r="C51" s="6" t="str">
        <f>IF('Account Dump'!$I51=1, "Dupe", 'Account Dump'!C51)</f>
        <v>Dupe</v>
      </c>
      <c r="D51" s="6" t="str">
        <f>IF('Account Dump'!$I51=1, "Dupe", 'Account Dump'!D51)</f>
        <v>Dupe</v>
      </c>
      <c r="F51" s="6" t="str">
        <f>IF('Account Dump'!$I51=1, "Dupe", "")</f>
        <v>Dupe</v>
      </c>
      <c r="G51" s="6" t="str">
        <f>IF(AND('Account Dump'!$I51=1,'Account Dump'!$I52=1), "Dupe", 'Account Dump'!G51)</f>
        <v>Dupe</v>
      </c>
      <c r="H51" s="6" t="str">
        <f>IF(AND('Account Dump'!$I51=1,'Account Dump'!$I52=1), "Dupe", 'Account Dump'!H51)</f>
        <v>Dupe</v>
      </c>
      <c r="I51" s="45" t="str">
        <f>IF(AND('Account Dump'!$I51=1,'Account Dump'!$I52=1), "Dupe", 'Account Dump'!I51)</f>
        <v>Dupe</v>
      </c>
    </row>
    <row r="52" spans="1:9" x14ac:dyDescent="0.3">
      <c r="A52" s="44" t="str">
        <f>IF('Account Dump'!$I52=1, "Dupe", 'Account Dump'!A52)</f>
        <v>Dupe</v>
      </c>
      <c r="B52" s="6" t="str">
        <f>IF('Account Dump'!$I52=1, "Dupe", 'Account Dump'!B52)</f>
        <v>Dupe</v>
      </c>
      <c r="C52" s="6" t="str">
        <f>IF('Account Dump'!$I52=1, "Dupe", 'Account Dump'!C52)</f>
        <v>Dupe</v>
      </c>
      <c r="D52" s="6" t="str">
        <f>IF('Account Dump'!$I52=1, "Dupe", 'Account Dump'!D52)</f>
        <v>Dupe</v>
      </c>
      <c r="F52" s="6" t="str">
        <f>IF('Account Dump'!$I52=1, "Dupe", "")</f>
        <v>Dupe</v>
      </c>
      <c r="G52" s="6" t="str">
        <f>IF(AND('Account Dump'!$I52=1,'Account Dump'!$I53=1), "Dupe", 'Account Dump'!G52)</f>
        <v>Dupe</v>
      </c>
      <c r="H52" s="6" t="str">
        <f>IF(AND('Account Dump'!$I52=1,'Account Dump'!$I53=1), "Dupe", 'Account Dump'!H52)</f>
        <v>Dupe</v>
      </c>
      <c r="I52" s="45" t="str">
        <f>IF(AND('Account Dump'!$I52=1,'Account Dump'!$I53=1), "Dupe", 'Account Dump'!I52)</f>
        <v>Dupe</v>
      </c>
    </row>
    <row r="53" spans="1:9" x14ac:dyDescent="0.3">
      <c r="A53" s="44" t="str">
        <f>IF('Account Dump'!$I53=1, "Dupe", 'Account Dump'!A53)</f>
        <v>Dupe</v>
      </c>
      <c r="B53" s="6" t="str">
        <f>IF('Account Dump'!$I53=1, "Dupe", 'Account Dump'!B53)</f>
        <v>Dupe</v>
      </c>
      <c r="C53" s="6" t="str">
        <f>IF('Account Dump'!$I53=1, "Dupe", 'Account Dump'!C53)</f>
        <v>Dupe</v>
      </c>
      <c r="D53" s="6" t="str">
        <f>IF('Account Dump'!$I53=1, "Dupe", 'Account Dump'!D53)</f>
        <v>Dupe</v>
      </c>
      <c r="F53" s="6" t="str">
        <f>IF('Account Dump'!$I53=1, "Dupe", "")</f>
        <v>Dupe</v>
      </c>
      <c r="G53" s="6" t="str">
        <f>IF(AND('Account Dump'!$I53=1,'Account Dump'!$I54=1), "Dupe", 'Account Dump'!G53)</f>
        <v>Dupe</v>
      </c>
      <c r="H53" s="6" t="str">
        <f>IF(AND('Account Dump'!$I53=1,'Account Dump'!$I54=1), "Dupe", 'Account Dump'!H53)</f>
        <v>Dupe</v>
      </c>
      <c r="I53" s="45" t="str">
        <f>IF(AND('Account Dump'!$I53=1,'Account Dump'!$I54=1), "Dupe", 'Account Dump'!I53)</f>
        <v>Dupe</v>
      </c>
    </row>
    <row r="54" spans="1:9" x14ac:dyDescent="0.3">
      <c r="A54" s="44" t="str">
        <f>IF('Account Dump'!$I54=1, "Dupe", 'Account Dump'!A54)</f>
        <v>Dupe</v>
      </c>
      <c r="B54" s="6" t="str">
        <f>IF('Account Dump'!$I54=1, "Dupe", 'Account Dump'!B54)</f>
        <v>Dupe</v>
      </c>
      <c r="C54" s="6" t="str">
        <f>IF('Account Dump'!$I54=1, "Dupe", 'Account Dump'!C54)</f>
        <v>Dupe</v>
      </c>
      <c r="D54" s="6" t="str">
        <f>IF('Account Dump'!$I54=1, "Dupe", 'Account Dump'!D54)</f>
        <v>Dupe</v>
      </c>
      <c r="F54" s="6" t="str">
        <f>IF('Account Dump'!$I54=1, "Dupe", "")</f>
        <v>Dupe</v>
      </c>
      <c r="G54" s="6" t="str">
        <f>IF(AND('Account Dump'!$I54=1,'Account Dump'!$I55=1), "Dupe", 'Account Dump'!G54)</f>
        <v>Dupe</v>
      </c>
      <c r="H54" s="6" t="str">
        <f>IF(AND('Account Dump'!$I54=1,'Account Dump'!$I55=1), "Dupe", 'Account Dump'!H54)</f>
        <v>Dupe</v>
      </c>
      <c r="I54" s="45" t="str">
        <f>IF(AND('Account Dump'!$I54=1,'Account Dump'!$I55=1), "Dupe", 'Account Dump'!I54)</f>
        <v>Dupe</v>
      </c>
    </row>
    <row r="55" spans="1:9" x14ac:dyDescent="0.3">
      <c r="A55" s="44" t="str">
        <f>IF('Account Dump'!$I55=1, "Dupe", 'Account Dump'!A55)</f>
        <v>Dupe</v>
      </c>
      <c r="B55" s="6" t="str">
        <f>IF('Account Dump'!$I55=1, "Dupe", 'Account Dump'!B55)</f>
        <v>Dupe</v>
      </c>
      <c r="C55" s="6" t="str">
        <f>IF('Account Dump'!$I55=1, "Dupe", 'Account Dump'!C55)</f>
        <v>Dupe</v>
      </c>
      <c r="D55" s="6" t="str">
        <f>IF('Account Dump'!$I55=1, "Dupe", 'Account Dump'!D55)</f>
        <v>Dupe</v>
      </c>
      <c r="F55" s="6" t="str">
        <f>IF('Account Dump'!$I55=1, "Dupe", "")</f>
        <v>Dupe</v>
      </c>
      <c r="G55" s="6" t="str">
        <f>IF(AND('Account Dump'!$I55=1,'Account Dump'!$I56=1), "Dupe", 'Account Dump'!G55)</f>
        <v>Dupe</v>
      </c>
      <c r="H55" s="6" t="str">
        <f>IF(AND('Account Dump'!$I55=1,'Account Dump'!$I56=1), "Dupe", 'Account Dump'!H55)</f>
        <v>Dupe</v>
      </c>
      <c r="I55" s="45" t="str">
        <f>IF(AND('Account Dump'!$I55=1,'Account Dump'!$I56=1), "Dupe", 'Account Dump'!I55)</f>
        <v>Dupe</v>
      </c>
    </row>
    <row r="56" spans="1:9" x14ac:dyDescent="0.3">
      <c r="A56" s="44" t="str">
        <f>IF('Account Dump'!$I56=1, "Dupe", 'Account Dump'!A56)</f>
        <v>Dupe</v>
      </c>
      <c r="B56" s="6" t="str">
        <f>IF('Account Dump'!$I56=1, "Dupe", 'Account Dump'!B56)</f>
        <v>Dupe</v>
      </c>
      <c r="C56" s="6" t="str">
        <f>IF('Account Dump'!$I56=1, "Dupe", 'Account Dump'!C56)</f>
        <v>Dupe</v>
      </c>
      <c r="D56" s="6" t="str">
        <f>IF('Account Dump'!$I56=1, "Dupe", 'Account Dump'!D56)</f>
        <v>Dupe</v>
      </c>
      <c r="F56" s="6" t="str">
        <f>IF('Account Dump'!$I56=1, "Dupe", "")</f>
        <v>Dupe</v>
      </c>
      <c r="G56" s="6" t="str">
        <f>IF(AND('Account Dump'!$I56=1,'Account Dump'!$I57=1), "Dupe", 'Account Dump'!G56)</f>
        <v>Dupe</v>
      </c>
      <c r="H56" s="6" t="str">
        <f>IF(AND('Account Dump'!$I56=1,'Account Dump'!$I57=1), "Dupe", 'Account Dump'!H56)</f>
        <v>Dupe</v>
      </c>
      <c r="I56" s="45" t="str">
        <f>IF(AND('Account Dump'!$I56=1,'Account Dump'!$I57=1), "Dupe", 'Account Dump'!I56)</f>
        <v>Dupe</v>
      </c>
    </row>
    <row r="57" spans="1:9" x14ac:dyDescent="0.3">
      <c r="A57" s="44" t="str">
        <f>IF('Account Dump'!$I57=1, "Dupe", 'Account Dump'!A57)</f>
        <v>Dupe</v>
      </c>
      <c r="B57" s="6" t="str">
        <f>IF('Account Dump'!$I57=1, "Dupe", 'Account Dump'!B57)</f>
        <v>Dupe</v>
      </c>
      <c r="C57" s="6" t="str">
        <f>IF('Account Dump'!$I57=1, "Dupe", 'Account Dump'!C57)</f>
        <v>Dupe</v>
      </c>
      <c r="D57" s="6" t="str">
        <f>IF('Account Dump'!$I57=1, "Dupe", 'Account Dump'!D57)</f>
        <v>Dupe</v>
      </c>
      <c r="F57" s="6" t="str">
        <f>IF('Account Dump'!$I57=1, "Dupe", "")</f>
        <v>Dupe</v>
      </c>
      <c r="G57" s="6" t="str">
        <f>IF(AND('Account Dump'!$I57=1,'Account Dump'!$I58=1), "Dupe", 'Account Dump'!G57)</f>
        <v>Dupe</v>
      </c>
      <c r="H57" s="6" t="str">
        <f>IF(AND('Account Dump'!$I57=1,'Account Dump'!$I58=1), "Dupe", 'Account Dump'!H57)</f>
        <v>Dupe</v>
      </c>
      <c r="I57" s="45" t="str">
        <f>IF(AND('Account Dump'!$I57=1,'Account Dump'!$I58=1), "Dupe", 'Account Dump'!I57)</f>
        <v>Dupe</v>
      </c>
    </row>
    <row r="58" spans="1:9" x14ac:dyDescent="0.3">
      <c r="A58" s="44" t="str">
        <f>IF('Account Dump'!$I58=1, "Dupe", 'Account Dump'!A58)</f>
        <v>Dupe</v>
      </c>
      <c r="B58" s="6" t="str">
        <f>IF('Account Dump'!$I58=1, "Dupe", 'Account Dump'!B58)</f>
        <v>Dupe</v>
      </c>
      <c r="C58" s="6" t="str">
        <f>IF('Account Dump'!$I58=1, "Dupe", 'Account Dump'!C58)</f>
        <v>Dupe</v>
      </c>
      <c r="D58" s="6" t="str">
        <f>IF('Account Dump'!$I58=1, "Dupe", 'Account Dump'!D58)</f>
        <v>Dupe</v>
      </c>
      <c r="F58" s="6" t="str">
        <f>IF('Account Dump'!$I58=1, "Dupe", "")</f>
        <v>Dupe</v>
      </c>
      <c r="G58" s="6" t="str">
        <f>IF(AND('Account Dump'!$I58=1,'Account Dump'!$I59=1), "Dupe", 'Account Dump'!G58)</f>
        <v>Dupe</v>
      </c>
      <c r="H58" s="6" t="str">
        <f>IF(AND('Account Dump'!$I58=1,'Account Dump'!$I59=1), "Dupe", 'Account Dump'!H58)</f>
        <v>Dupe</v>
      </c>
      <c r="I58" s="45" t="str">
        <f>IF(AND('Account Dump'!$I58=1,'Account Dump'!$I59=1), "Dupe", 'Account Dump'!I58)</f>
        <v>Dupe</v>
      </c>
    </row>
    <row r="59" spans="1:9" x14ac:dyDescent="0.3">
      <c r="A59" s="44" t="str">
        <f>IF('Account Dump'!$I59=1, "Dupe", 'Account Dump'!A59)</f>
        <v>Dupe</v>
      </c>
      <c r="B59" s="6" t="str">
        <f>IF('Account Dump'!$I59=1, "Dupe", 'Account Dump'!B59)</f>
        <v>Dupe</v>
      </c>
      <c r="C59" s="6" t="str">
        <f>IF('Account Dump'!$I59=1, "Dupe", 'Account Dump'!C59)</f>
        <v>Dupe</v>
      </c>
      <c r="D59" s="6" t="str">
        <f>IF('Account Dump'!$I59=1, "Dupe", 'Account Dump'!D59)</f>
        <v>Dupe</v>
      </c>
      <c r="F59" s="6" t="str">
        <f>IF('Account Dump'!$I59=1, "Dupe", "")</f>
        <v>Dupe</v>
      </c>
      <c r="G59" s="6" t="str">
        <f>IF(AND('Account Dump'!$I59=1,'Account Dump'!$I60=1), "Dupe", 'Account Dump'!G59)</f>
        <v>Dupe</v>
      </c>
      <c r="H59" s="6" t="str">
        <f>IF(AND('Account Dump'!$I59=1,'Account Dump'!$I60=1), "Dupe", 'Account Dump'!H59)</f>
        <v>Dupe</v>
      </c>
      <c r="I59" s="45" t="str">
        <f>IF(AND('Account Dump'!$I59=1,'Account Dump'!$I60=1), "Dupe", 'Account Dump'!I59)</f>
        <v>Dupe</v>
      </c>
    </row>
    <row r="60" spans="1:9" x14ac:dyDescent="0.3">
      <c r="A60" s="44" t="str">
        <f>IF('Account Dump'!$I60=1, "Dupe", 'Account Dump'!A60)</f>
        <v>Dupe</v>
      </c>
      <c r="B60" s="6" t="str">
        <f>IF('Account Dump'!$I60=1, "Dupe", 'Account Dump'!B60)</f>
        <v>Dupe</v>
      </c>
      <c r="C60" s="6" t="str">
        <f>IF('Account Dump'!$I60=1, "Dupe", 'Account Dump'!C60)</f>
        <v>Dupe</v>
      </c>
      <c r="D60" s="6" t="str">
        <f>IF('Account Dump'!$I60=1, "Dupe", 'Account Dump'!D60)</f>
        <v>Dupe</v>
      </c>
      <c r="F60" s="6" t="str">
        <f>IF('Account Dump'!$I60=1, "Dupe", "")</f>
        <v>Dupe</v>
      </c>
      <c r="G60" s="6" t="str">
        <f>IF(AND('Account Dump'!$I60=1,'Account Dump'!$I61=1), "Dupe", 'Account Dump'!G60)</f>
        <v>Dupe</v>
      </c>
      <c r="H60" s="6" t="str">
        <f>IF(AND('Account Dump'!$I60=1,'Account Dump'!$I61=1), "Dupe", 'Account Dump'!H60)</f>
        <v>Dupe</v>
      </c>
      <c r="I60" s="45" t="str">
        <f>IF(AND('Account Dump'!$I60=1,'Account Dump'!$I61=1), "Dupe", 'Account Dump'!I60)</f>
        <v>Dupe</v>
      </c>
    </row>
    <row r="61" spans="1:9" x14ac:dyDescent="0.3">
      <c r="A61" s="44" t="str">
        <f>IF('Account Dump'!$I61=1, "Dupe", 'Account Dump'!A61)</f>
        <v>Dupe</v>
      </c>
      <c r="B61" s="6" t="str">
        <f>IF('Account Dump'!$I61=1, "Dupe", 'Account Dump'!B61)</f>
        <v>Dupe</v>
      </c>
      <c r="C61" s="6" t="str">
        <f>IF('Account Dump'!$I61=1, "Dupe", 'Account Dump'!C61)</f>
        <v>Dupe</v>
      </c>
      <c r="D61" s="6" t="str">
        <f>IF('Account Dump'!$I61=1, "Dupe", 'Account Dump'!D61)</f>
        <v>Dupe</v>
      </c>
      <c r="F61" s="6" t="str">
        <f>IF('Account Dump'!$I61=1, "Dupe", "")</f>
        <v>Dupe</v>
      </c>
      <c r="G61" s="6" t="str">
        <f>IF(AND('Account Dump'!$I61=1,'Account Dump'!$I62=1), "Dupe", 'Account Dump'!G61)</f>
        <v>Dupe</v>
      </c>
      <c r="H61" s="6" t="str">
        <f>IF(AND('Account Dump'!$I61=1,'Account Dump'!$I62=1), "Dupe", 'Account Dump'!H61)</f>
        <v>Dupe</v>
      </c>
      <c r="I61" s="45" t="str">
        <f>IF(AND('Account Dump'!$I61=1,'Account Dump'!$I62=1), "Dupe", 'Account Dump'!I61)</f>
        <v>Dupe</v>
      </c>
    </row>
    <row r="62" spans="1:9" x14ac:dyDescent="0.3">
      <c r="A62" s="44" t="str">
        <f>IF('Account Dump'!$I62=1, "Dupe", 'Account Dump'!A62)</f>
        <v>Dupe</v>
      </c>
      <c r="B62" s="6" t="str">
        <f>IF('Account Dump'!$I62=1, "Dupe", 'Account Dump'!B62)</f>
        <v>Dupe</v>
      </c>
      <c r="C62" s="6" t="str">
        <f>IF('Account Dump'!$I62=1, "Dupe", 'Account Dump'!C62)</f>
        <v>Dupe</v>
      </c>
      <c r="D62" s="6" t="str">
        <f>IF('Account Dump'!$I62=1, "Dupe", 'Account Dump'!D62)</f>
        <v>Dupe</v>
      </c>
      <c r="F62" s="6" t="str">
        <f>IF('Account Dump'!$I62=1, "Dupe", "")</f>
        <v>Dupe</v>
      </c>
      <c r="G62" s="6" t="str">
        <f>IF(AND('Account Dump'!$I62=1,'Account Dump'!$I63=1), "Dupe", 'Account Dump'!G62)</f>
        <v>Dupe</v>
      </c>
      <c r="H62" s="6" t="str">
        <f>IF(AND('Account Dump'!$I62=1,'Account Dump'!$I63=1), "Dupe", 'Account Dump'!H62)</f>
        <v>Dupe</v>
      </c>
      <c r="I62" s="45" t="str">
        <f>IF(AND('Account Dump'!$I62=1,'Account Dump'!$I63=1), "Dupe", 'Account Dump'!I62)</f>
        <v>Dupe</v>
      </c>
    </row>
    <row r="63" spans="1:9" x14ac:dyDescent="0.3">
      <c r="A63" s="44" t="str">
        <f>IF('Account Dump'!$I63=1, "Dupe", 'Account Dump'!A63)</f>
        <v>Dupe</v>
      </c>
      <c r="B63" s="6" t="str">
        <f>IF('Account Dump'!$I63=1, "Dupe", 'Account Dump'!B63)</f>
        <v>Dupe</v>
      </c>
      <c r="C63" s="6" t="str">
        <f>IF('Account Dump'!$I63=1, "Dupe", 'Account Dump'!C63)</f>
        <v>Dupe</v>
      </c>
      <c r="D63" s="6" t="str">
        <f>IF('Account Dump'!$I63=1, "Dupe", 'Account Dump'!D63)</f>
        <v>Dupe</v>
      </c>
      <c r="F63" s="6" t="str">
        <f>IF('Account Dump'!$I63=1, "Dupe", "")</f>
        <v>Dupe</v>
      </c>
      <c r="G63" s="6" t="str">
        <f>IF(AND('Account Dump'!$I63=1,'Account Dump'!$I64=1), "Dupe", 'Account Dump'!G63)</f>
        <v>Dupe</v>
      </c>
      <c r="H63" s="6" t="str">
        <f>IF(AND('Account Dump'!$I63=1,'Account Dump'!$I64=1), "Dupe", 'Account Dump'!H63)</f>
        <v>Dupe</v>
      </c>
      <c r="I63" s="45" t="str">
        <f>IF(AND('Account Dump'!$I63=1,'Account Dump'!$I64=1), "Dupe", 'Account Dump'!I63)</f>
        <v>Dupe</v>
      </c>
    </row>
    <row r="64" spans="1:9" x14ac:dyDescent="0.3">
      <c r="A64" s="44" t="str">
        <f>IF('Account Dump'!$I64=1, "Dupe", 'Account Dump'!A64)</f>
        <v>Dupe</v>
      </c>
      <c r="B64" s="6" t="str">
        <f>IF('Account Dump'!$I64=1, "Dupe", 'Account Dump'!B64)</f>
        <v>Dupe</v>
      </c>
      <c r="C64" s="6" t="str">
        <f>IF('Account Dump'!$I64=1, "Dupe", 'Account Dump'!C64)</f>
        <v>Dupe</v>
      </c>
      <c r="D64" s="6" t="str">
        <f>IF('Account Dump'!$I64=1, "Dupe", 'Account Dump'!D64)</f>
        <v>Dupe</v>
      </c>
      <c r="F64" s="6" t="str">
        <f>IF('Account Dump'!$I64=1, "Dupe", "")</f>
        <v>Dupe</v>
      </c>
      <c r="G64" s="6" t="str">
        <f>IF(AND('Account Dump'!$I64=1,'Account Dump'!$I65=1), "Dupe", 'Account Dump'!G64)</f>
        <v>Dupe</v>
      </c>
      <c r="H64" s="6" t="str">
        <f>IF(AND('Account Dump'!$I64=1,'Account Dump'!$I65=1), "Dupe", 'Account Dump'!H64)</f>
        <v>Dupe</v>
      </c>
      <c r="I64" s="45" t="str">
        <f>IF(AND('Account Dump'!$I64=1,'Account Dump'!$I65=1), "Dupe", 'Account Dump'!I64)</f>
        <v>Dupe</v>
      </c>
    </row>
    <row r="65" spans="1:9" x14ac:dyDescent="0.3">
      <c r="A65" s="44" t="str">
        <f>IF('Account Dump'!$I65=1, "Dupe", 'Account Dump'!A65)</f>
        <v>Dupe</v>
      </c>
      <c r="B65" s="6" t="str">
        <f>IF('Account Dump'!$I65=1, "Dupe", 'Account Dump'!B65)</f>
        <v>Dupe</v>
      </c>
      <c r="C65" s="6" t="str">
        <f>IF('Account Dump'!$I65=1, "Dupe", 'Account Dump'!C65)</f>
        <v>Dupe</v>
      </c>
      <c r="D65" s="6" t="str">
        <f>IF('Account Dump'!$I65=1, "Dupe", 'Account Dump'!D65)</f>
        <v>Dupe</v>
      </c>
      <c r="F65" s="6" t="str">
        <f>IF('Account Dump'!$I65=1, "Dupe", "")</f>
        <v>Dupe</v>
      </c>
      <c r="G65" s="6" t="str">
        <f>IF(AND('Account Dump'!$I65=1,'Account Dump'!$I66=1), "Dupe", 'Account Dump'!G65)</f>
        <v>Dupe</v>
      </c>
      <c r="H65" s="6" t="str">
        <f>IF(AND('Account Dump'!$I65=1,'Account Dump'!$I66=1), "Dupe", 'Account Dump'!H65)</f>
        <v>Dupe</v>
      </c>
      <c r="I65" s="45" t="str">
        <f>IF(AND('Account Dump'!$I65=1,'Account Dump'!$I66=1), "Dupe", 'Account Dump'!I65)</f>
        <v>Dupe</v>
      </c>
    </row>
    <row r="66" spans="1:9" x14ac:dyDescent="0.3">
      <c r="A66" s="44" t="str">
        <f>IF('Account Dump'!$I66=1, "Dupe", 'Account Dump'!A66)</f>
        <v>Dupe</v>
      </c>
      <c r="B66" s="6" t="str">
        <f>IF('Account Dump'!$I66=1, "Dupe", 'Account Dump'!B66)</f>
        <v>Dupe</v>
      </c>
      <c r="C66" s="6" t="str">
        <f>IF('Account Dump'!$I66=1, "Dupe", 'Account Dump'!C66)</f>
        <v>Dupe</v>
      </c>
      <c r="D66" s="6" t="str">
        <f>IF('Account Dump'!$I66=1, "Dupe", 'Account Dump'!D66)</f>
        <v>Dupe</v>
      </c>
      <c r="F66" s="6" t="str">
        <f>IF('Account Dump'!$I66=1, "Dupe", "")</f>
        <v>Dupe</v>
      </c>
      <c r="G66" s="6" t="str">
        <f>IF(AND('Account Dump'!$I66=1,'Account Dump'!$I67=1), "Dupe", 'Account Dump'!G66)</f>
        <v>Dupe</v>
      </c>
      <c r="H66" s="6" t="str">
        <f>IF(AND('Account Dump'!$I66=1,'Account Dump'!$I67=1), "Dupe", 'Account Dump'!H66)</f>
        <v>Dupe</v>
      </c>
      <c r="I66" s="45" t="str">
        <f>IF(AND('Account Dump'!$I66=1,'Account Dump'!$I67=1), "Dupe", 'Account Dump'!I66)</f>
        <v>Dupe</v>
      </c>
    </row>
    <row r="67" spans="1:9" x14ac:dyDescent="0.3">
      <c r="A67" s="44" t="str">
        <f>IF('Account Dump'!$I67=1, "Dupe", 'Account Dump'!A67)</f>
        <v>Dupe</v>
      </c>
      <c r="B67" s="6" t="str">
        <f>IF('Account Dump'!$I67=1, "Dupe", 'Account Dump'!B67)</f>
        <v>Dupe</v>
      </c>
      <c r="C67" s="6" t="str">
        <f>IF('Account Dump'!$I67=1, "Dupe", 'Account Dump'!C67)</f>
        <v>Dupe</v>
      </c>
      <c r="D67" s="6" t="str">
        <f>IF('Account Dump'!$I67=1, "Dupe", 'Account Dump'!D67)</f>
        <v>Dupe</v>
      </c>
      <c r="F67" s="6" t="str">
        <f>IF('Account Dump'!$I67=1, "Dupe", "")</f>
        <v>Dupe</v>
      </c>
      <c r="G67" s="6" t="str">
        <f>IF(AND('Account Dump'!$I67=1,'Account Dump'!$I68=1), "Dupe", 'Account Dump'!G67)</f>
        <v>Dupe</v>
      </c>
      <c r="H67" s="6" t="str">
        <f>IF(AND('Account Dump'!$I67=1,'Account Dump'!$I68=1), "Dupe", 'Account Dump'!H67)</f>
        <v>Dupe</v>
      </c>
      <c r="I67" s="45" t="str">
        <f>IF(AND('Account Dump'!$I67=1,'Account Dump'!$I68=1), "Dupe", 'Account Dump'!I67)</f>
        <v>Dupe</v>
      </c>
    </row>
    <row r="68" spans="1:9" x14ac:dyDescent="0.3">
      <c r="A68" s="44" t="str">
        <f>IF('Account Dump'!$I68=1, "Dupe", 'Account Dump'!A68)</f>
        <v>Dupe</v>
      </c>
      <c r="B68" s="6" t="str">
        <f>IF('Account Dump'!$I68=1, "Dupe", 'Account Dump'!B68)</f>
        <v>Dupe</v>
      </c>
      <c r="C68" s="6" t="str">
        <f>IF('Account Dump'!$I68=1, "Dupe", 'Account Dump'!C68)</f>
        <v>Dupe</v>
      </c>
      <c r="D68" s="6" t="str">
        <f>IF('Account Dump'!$I68=1, "Dupe", 'Account Dump'!D68)</f>
        <v>Dupe</v>
      </c>
      <c r="F68" s="6" t="str">
        <f>IF('Account Dump'!$I68=1, "Dupe", "")</f>
        <v>Dupe</v>
      </c>
      <c r="G68" s="6" t="str">
        <f>IF(AND('Account Dump'!$I68=1,'Account Dump'!$I69=1), "Dupe", 'Account Dump'!G68)</f>
        <v>Dupe</v>
      </c>
      <c r="H68" s="6" t="str">
        <f>IF(AND('Account Dump'!$I68=1,'Account Dump'!$I69=1), "Dupe", 'Account Dump'!H68)</f>
        <v>Dupe</v>
      </c>
      <c r="I68" s="45" t="str">
        <f>IF(AND('Account Dump'!$I68=1,'Account Dump'!$I69=1), "Dupe", 'Account Dump'!I68)</f>
        <v>Dupe</v>
      </c>
    </row>
    <row r="69" spans="1:9" x14ac:dyDescent="0.3">
      <c r="A69" s="44" t="str">
        <f>IF('Account Dump'!$I69=1, "Dupe", 'Account Dump'!A69)</f>
        <v>Dupe</v>
      </c>
      <c r="B69" s="6" t="str">
        <f>IF('Account Dump'!$I69=1, "Dupe", 'Account Dump'!B69)</f>
        <v>Dupe</v>
      </c>
      <c r="C69" s="6" t="str">
        <f>IF('Account Dump'!$I69=1, "Dupe", 'Account Dump'!C69)</f>
        <v>Dupe</v>
      </c>
      <c r="D69" s="6" t="str">
        <f>IF('Account Dump'!$I69=1, "Dupe", 'Account Dump'!D69)</f>
        <v>Dupe</v>
      </c>
      <c r="F69" s="6" t="str">
        <f>IF('Account Dump'!$I69=1, "Dupe", "")</f>
        <v>Dupe</v>
      </c>
      <c r="G69" s="6" t="str">
        <f>IF(AND('Account Dump'!$I69=1,'Account Dump'!$I70=1), "Dupe", 'Account Dump'!G69)</f>
        <v>Dupe</v>
      </c>
      <c r="H69" s="6" t="str">
        <f>IF(AND('Account Dump'!$I69=1,'Account Dump'!$I70=1), "Dupe", 'Account Dump'!H69)</f>
        <v>Dupe</v>
      </c>
      <c r="I69" s="45" t="str">
        <f>IF(AND('Account Dump'!$I69=1,'Account Dump'!$I70=1), "Dupe", 'Account Dump'!I69)</f>
        <v>Dupe</v>
      </c>
    </row>
    <row r="70" spans="1:9" x14ac:dyDescent="0.3">
      <c r="A70" s="44" t="str">
        <f>IF('Account Dump'!$I70=1, "Dupe", 'Account Dump'!A70)</f>
        <v>Dupe</v>
      </c>
      <c r="B70" s="6" t="str">
        <f>IF('Account Dump'!$I70=1, "Dupe", 'Account Dump'!B70)</f>
        <v>Dupe</v>
      </c>
      <c r="C70" s="6" t="str">
        <f>IF('Account Dump'!$I70=1, "Dupe", 'Account Dump'!C70)</f>
        <v>Dupe</v>
      </c>
      <c r="D70" s="6" t="str">
        <f>IF('Account Dump'!$I70=1, "Dupe", 'Account Dump'!D70)</f>
        <v>Dupe</v>
      </c>
      <c r="F70" s="6" t="str">
        <f>IF('Account Dump'!$I70=1, "Dupe", "")</f>
        <v>Dupe</v>
      </c>
      <c r="G70" s="6" t="str">
        <f>IF(AND('Account Dump'!$I70=1,'Account Dump'!$I71=1), "Dupe", 'Account Dump'!G70)</f>
        <v>Dupe</v>
      </c>
      <c r="H70" s="6" t="str">
        <f>IF(AND('Account Dump'!$I70=1,'Account Dump'!$I71=1), "Dupe", 'Account Dump'!H70)</f>
        <v>Dupe</v>
      </c>
      <c r="I70" s="45" t="str">
        <f>IF(AND('Account Dump'!$I70=1,'Account Dump'!$I71=1), "Dupe", 'Account Dump'!I70)</f>
        <v>Dupe</v>
      </c>
    </row>
    <row r="71" spans="1:9" x14ac:dyDescent="0.3">
      <c r="A71" s="44" t="str">
        <f>IF('Account Dump'!$I71=1, "Dupe", 'Account Dump'!A71)</f>
        <v>Dupe</v>
      </c>
      <c r="B71" s="6" t="str">
        <f>IF('Account Dump'!$I71=1, "Dupe", 'Account Dump'!B71)</f>
        <v>Dupe</v>
      </c>
      <c r="C71" s="6" t="str">
        <f>IF('Account Dump'!$I71=1, "Dupe", 'Account Dump'!C71)</f>
        <v>Dupe</v>
      </c>
      <c r="D71" s="6" t="str">
        <f>IF('Account Dump'!$I71=1, "Dupe", 'Account Dump'!D71)</f>
        <v>Dupe</v>
      </c>
      <c r="F71" s="6" t="str">
        <f>IF('Account Dump'!$I71=1, "Dupe", "")</f>
        <v>Dupe</v>
      </c>
      <c r="G71" s="6" t="str">
        <f>IF(AND('Account Dump'!$I71=1,'Account Dump'!$I72=1), "Dupe", 'Account Dump'!G71)</f>
        <v>Dupe</v>
      </c>
      <c r="H71" s="6" t="str">
        <f>IF(AND('Account Dump'!$I71=1,'Account Dump'!$I72=1), "Dupe", 'Account Dump'!H71)</f>
        <v>Dupe</v>
      </c>
      <c r="I71" s="45" t="str">
        <f>IF(AND('Account Dump'!$I71=1,'Account Dump'!$I72=1), "Dupe", 'Account Dump'!I71)</f>
        <v>Dupe</v>
      </c>
    </row>
    <row r="72" spans="1:9" x14ac:dyDescent="0.3">
      <c r="A72" s="44" t="str">
        <f>IF('Account Dump'!$I72=1, "Dupe", 'Account Dump'!A72)</f>
        <v>Dupe</v>
      </c>
      <c r="B72" s="6" t="str">
        <f>IF('Account Dump'!$I72=1, "Dupe", 'Account Dump'!B72)</f>
        <v>Dupe</v>
      </c>
      <c r="C72" s="6" t="str">
        <f>IF('Account Dump'!$I72=1, "Dupe", 'Account Dump'!C72)</f>
        <v>Dupe</v>
      </c>
      <c r="D72" s="6" t="str">
        <f>IF('Account Dump'!$I72=1, "Dupe", 'Account Dump'!D72)</f>
        <v>Dupe</v>
      </c>
      <c r="F72" s="6" t="str">
        <f>IF('Account Dump'!$I72=1, "Dupe", "")</f>
        <v>Dupe</v>
      </c>
      <c r="G72" s="6" t="str">
        <f>IF(AND('Account Dump'!$I72=1,'Account Dump'!$I73=1), "Dupe", 'Account Dump'!G72)</f>
        <v>Dupe</v>
      </c>
      <c r="H72" s="6" t="str">
        <f>IF(AND('Account Dump'!$I72=1,'Account Dump'!$I73=1), "Dupe", 'Account Dump'!H72)</f>
        <v>Dupe</v>
      </c>
      <c r="I72" s="45" t="str">
        <f>IF(AND('Account Dump'!$I72=1,'Account Dump'!$I73=1), "Dupe", 'Account Dump'!I72)</f>
        <v>Dupe</v>
      </c>
    </row>
    <row r="73" spans="1:9" x14ac:dyDescent="0.3">
      <c r="A73" s="44" t="str">
        <f>IF('Account Dump'!$I73=1, "Dupe", 'Account Dump'!A73)</f>
        <v>Dupe</v>
      </c>
      <c r="B73" s="6" t="str">
        <f>IF('Account Dump'!$I73=1, "Dupe", 'Account Dump'!B73)</f>
        <v>Dupe</v>
      </c>
      <c r="C73" s="6" t="str">
        <f>IF('Account Dump'!$I73=1, "Dupe", 'Account Dump'!C73)</f>
        <v>Dupe</v>
      </c>
      <c r="D73" s="6" t="str">
        <f>IF('Account Dump'!$I73=1, "Dupe", 'Account Dump'!D73)</f>
        <v>Dupe</v>
      </c>
      <c r="F73" s="6" t="str">
        <f>IF('Account Dump'!$I73=1, "Dupe", "")</f>
        <v>Dupe</v>
      </c>
      <c r="G73" s="6" t="str">
        <f>IF(AND('Account Dump'!$I73=1,'Account Dump'!$I74=1), "Dupe", 'Account Dump'!G73)</f>
        <v>Dupe</v>
      </c>
      <c r="H73" s="6" t="str">
        <f>IF(AND('Account Dump'!$I73=1,'Account Dump'!$I74=1), "Dupe", 'Account Dump'!H73)</f>
        <v>Dupe</v>
      </c>
      <c r="I73" s="45" t="str">
        <f>IF(AND('Account Dump'!$I73=1,'Account Dump'!$I74=1), "Dupe", 'Account Dump'!I73)</f>
        <v>Dupe</v>
      </c>
    </row>
    <row r="74" spans="1:9" x14ac:dyDescent="0.3">
      <c r="A74" s="44" t="str">
        <f>IF('Account Dump'!$I74=1, "Dupe", 'Account Dump'!A74)</f>
        <v>Dupe</v>
      </c>
      <c r="B74" s="6" t="str">
        <f>IF('Account Dump'!$I74=1, "Dupe", 'Account Dump'!B74)</f>
        <v>Dupe</v>
      </c>
      <c r="C74" s="6" t="str">
        <f>IF('Account Dump'!$I74=1, "Dupe", 'Account Dump'!C74)</f>
        <v>Dupe</v>
      </c>
      <c r="D74" s="6" t="str">
        <f>IF('Account Dump'!$I74=1, "Dupe", 'Account Dump'!D74)</f>
        <v>Dupe</v>
      </c>
      <c r="F74" s="6" t="str">
        <f>IF('Account Dump'!$I74=1, "Dupe", "")</f>
        <v>Dupe</v>
      </c>
      <c r="G74" s="6" t="str">
        <f>IF(AND('Account Dump'!$I74=1,'Account Dump'!$I75=1), "Dupe", 'Account Dump'!G74)</f>
        <v>Dupe</v>
      </c>
      <c r="H74" s="6" t="str">
        <f>IF(AND('Account Dump'!$I74=1,'Account Dump'!$I75=1), "Dupe", 'Account Dump'!H74)</f>
        <v>Dupe</v>
      </c>
      <c r="I74" s="45" t="str">
        <f>IF(AND('Account Dump'!$I74=1,'Account Dump'!$I75=1), "Dupe", 'Account Dump'!I74)</f>
        <v>Dupe</v>
      </c>
    </row>
    <row r="75" spans="1:9" x14ac:dyDescent="0.3">
      <c r="A75" s="44" t="str">
        <f>IF('Account Dump'!$I75=1, "Dupe", 'Account Dump'!A75)</f>
        <v>Dupe</v>
      </c>
      <c r="B75" s="6" t="str">
        <f>IF('Account Dump'!$I75=1, "Dupe", 'Account Dump'!B75)</f>
        <v>Dupe</v>
      </c>
      <c r="C75" s="6" t="str">
        <f>IF('Account Dump'!$I75=1, "Dupe", 'Account Dump'!C75)</f>
        <v>Dupe</v>
      </c>
      <c r="D75" s="6" t="str">
        <f>IF('Account Dump'!$I75=1, "Dupe", 'Account Dump'!D75)</f>
        <v>Dupe</v>
      </c>
      <c r="F75" s="6" t="str">
        <f>IF('Account Dump'!$I75=1, "Dupe", "")</f>
        <v>Dupe</v>
      </c>
      <c r="G75" s="6" t="str">
        <f>IF(AND('Account Dump'!$I75=1,'Account Dump'!$I76=1), "Dupe", 'Account Dump'!G75)</f>
        <v>Dupe</v>
      </c>
      <c r="H75" s="6" t="str">
        <f>IF(AND('Account Dump'!$I75=1,'Account Dump'!$I76=1), "Dupe", 'Account Dump'!H75)</f>
        <v>Dupe</v>
      </c>
      <c r="I75" s="45" t="str">
        <f>IF(AND('Account Dump'!$I75=1,'Account Dump'!$I76=1), "Dupe", 'Account Dump'!I75)</f>
        <v>Dupe</v>
      </c>
    </row>
    <row r="76" spans="1:9" x14ac:dyDescent="0.3">
      <c r="A76" s="44" t="str">
        <f>IF('Account Dump'!$I76=1, "Dupe", 'Account Dump'!A76)</f>
        <v>Dupe</v>
      </c>
      <c r="B76" s="6" t="str">
        <f>IF('Account Dump'!$I76=1, "Dupe", 'Account Dump'!B76)</f>
        <v>Dupe</v>
      </c>
      <c r="C76" s="6" t="str">
        <f>IF('Account Dump'!$I76=1, "Dupe", 'Account Dump'!C76)</f>
        <v>Dupe</v>
      </c>
      <c r="D76" s="6" t="str">
        <f>IF('Account Dump'!$I76=1, "Dupe", 'Account Dump'!D76)</f>
        <v>Dupe</v>
      </c>
      <c r="F76" s="6" t="str">
        <f>IF('Account Dump'!$I76=1, "Dupe", "")</f>
        <v>Dupe</v>
      </c>
      <c r="G76" s="6" t="str">
        <f>IF(AND('Account Dump'!$I76=1,'Account Dump'!$I77=1), "Dupe", 'Account Dump'!G76)</f>
        <v>Dupe</v>
      </c>
      <c r="H76" s="6" t="str">
        <f>IF(AND('Account Dump'!$I76=1,'Account Dump'!$I77=1), "Dupe", 'Account Dump'!H76)</f>
        <v>Dupe</v>
      </c>
      <c r="I76" s="45" t="str">
        <f>IF(AND('Account Dump'!$I76=1,'Account Dump'!$I77=1), "Dupe", 'Account Dump'!I76)</f>
        <v>Dupe</v>
      </c>
    </row>
    <row r="77" spans="1:9" x14ac:dyDescent="0.3">
      <c r="A77" s="44" t="str">
        <f>IF('Account Dump'!$I77=1, "Dupe", 'Account Dump'!A77)</f>
        <v>Dupe</v>
      </c>
      <c r="B77" s="6" t="str">
        <f>IF('Account Dump'!$I77=1, "Dupe", 'Account Dump'!B77)</f>
        <v>Dupe</v>
      </c>
      <c r="C77" s="6" t="str">
        <f>IF('Account Dump'!$I77=1, "Dupe", 'Account Dump'!C77)</f>
        <v>Dupe</v>
      </c>
      <c r="D77" s="6" t="str">
        <f>IF('Account Dump'!$I77=1, "Dupe", 'Account Dump'!D77)</f>
        <v>Dupe</v>
      </c>
      <c r="F77" s="6" t="str">
        <f>IF('Account Dump'!$I77=1, "Dupe", "")</f>
        <v>Dupe</v>
      </c>
      <c r="G77" s="6" t="str">
        <f>IF(AND('Account Dump'!$I77=1,'Account Dump'!$I78=1), "Dupe", 'Account Dump'!G77)</f>
        <v>Dupe</v>
      </c>
      <c r="H77" s="6" t="str">
        <f>IF(AND('Account Dump'!$I77=1,'Account Dump'!$I78=1), "Dupe", 'Account Dump'!H77)</f>
        <v>Dupe</v>
      </c>
      <c r="I77" s="45" t="str">
        <f>IF(AND('Account Dump'!$I77=1,'Account Dump'!$I78=1), "Dupe", 'Account Dump'!I77)</f>
        <v>Dupe</v>
      </c>
    </row>
    <row r="78" spans="1:9" x14ac:dyDescent="0.3">
      <c r="A78" s="44" t="str">
        <f>IF('Account Dump'!$I78=1, "Dupe", 'Account Dump'!A78)</f>
        <v>Dupe</v>
      </c>
      <c r="B78" s="6" t="str">
        <f>IF('Account Dump'!$I78=1, "Dupe", 'Account Dump'!B78)</f>
        <v>Dupe</v>
      </c>
      <c r="C78" s="6" t="str">
        <f>IF('Account Dump'!$I78=1, "Dupe", 'Account Dump'!C78)</f>
        <v>Dupe</v>
      </c>
      <c r="D78" s="6" t="str">
        <f>IF('Account Dump'!$I78=1, "Dupe", 'Account Dump'!D78)</f>
        <v>Dupe</v>
      </c>
      <c r="F78" s="6" t="str">
        <f>IF('Account Dump'!$I78=1, "Dupe", "")</f>
        <v>Dupe</v>
      </c>
      <c r="G78" s="6" t="str">
        <f>IF(AND('Account Dump'!$I78=1,'Account Dump'!$I79=1), "Dupe", 'Account Dump'!G78)</f>
        <v>Dupe</v>
      </c>
      <c r="H78" s="6" t="str">
        <f>IF(AND('Account Dump'!$I78=1,'Account Dump'!$I79=1), "Dupe", 'Account Dump'!H78)</f>
        <v>Dupe</v>
      </c>
      <c r="I78" s="45" t="str">
        <f>IF(AND('Account Dump'!$I78=1,'Account Dump'!$I79=1), "Dupe", 'Account Dump'!I78)</f>
        <v>Dupe</v>
      </c>
    </row>
    <row r="79" spans="1:9" x14ac:dyDescent="0.3">
      <c r="A79" s="44" t="str">
        <f>IF('Account Dump'!$I79=1, "Dupe", 'Account Dump'!A79)</f>
        <v>Dupe</v>
      </c>
      <c r="B79" s="6" t="str">
        <f>IF('Account Dump'!$I79=1, "Dupe", 'Account Dump'!B79)</f>
        <v>Dupe</v>
      </c>
      <c r="C79" s="6" t="str">
        <f>IF('Account Dump'!$I79=1, "Dupe", 'Account Dump'!C79)</f>
        <v>Dupe</v>
      </c>
      <c r="D79" s="6" t="str">
        <f>IF('Account Dump'!$I79=1, "Dupe", 'Account Dump'!D79)</f>
        <v>Dupe</v>
      </c>
      <c r="F79" s="6" t="str">
        <f>IF('Account Dump'!$I79=1, "Dupe", "")</f>
        <v>Dupe</v>
      </c>
      <c r="G79" s="6" t="str">
        <f>IF(AND('Account Dump'!$I79=1,'Account Dump'!$I80=1), "Dupe", 'Account Dump'!G79)</f>
        <v>Dupe</v>
      </c>
      <c r="H79" s="6" t="str">
        <f>IF(AND('Account Dump'!$I79=1,'Account Dump'!$I80=1), "Dupe", 'Account Dump'!H79)</f>
        <v>Dupe</v>
      </c>
      <c r="I79" s="45" t="str">
        <f>IF(AND('Account Dump'!$I79=1,'Account Dump'!$I80=1), "Dupe", 'Account Dump'!I79)</f>
        <v>Dupe</v>
      </c>
    </row>
    <row r="80" spans="1:9" x14ac:dyDescent="0.3">
      <c r="A80" s="44" t="str">
        <f>IF('Account Dump'!$I80=1, "Dupe", 'Account Dump'!A80)</f>
        <v>Dupe</v>
      </c>
      <c r="B80" s="6" t="str">
        <f>IF('Account Dump'!$I80=1, "Dupe", 'Account Dump'!B80)</f>
        <v>Dupe</v>
      </c>
      <c r="C80" s="6" t="str">
        <f>IF('Account Dump'!$I80=1, "Dupe", 'Account Dump'!C80)</f>
        <v>Dupe</v>
      </c>
      <c r="D80" s="6" t="str">
        <f>IF('Account Dump'!$I80=1, "Dupe", 'Account Dump'!D80)</f>
        <v>Dupe</v>
      </c>
      <c r="F80" s="6" t="str">
        <f>IF('Account Dump'!$I80=1, "Dupe", "")</f>
        <v>Dupe</v>
      </c>
      <c r="G80" s="6" t="str">
        <f>IF(AND('Account Dump'!$I80=1,'Account Dump'!$I81=1), "Dupe", 'Account Dump'!G80)</f>
        <v>Dupe</v>
      </c>
      <c r="H80" s="6" t="str">
        <f>IF(AND('Account Dump'!$I80=1,'Account Dump'!$I81=1), "Dupe", 'Account Dump'!H80)</f>
        <v>Dupe</v>
      </c>
      <c r="I80" s="45" t="str">
        <f>IF(AND('Account Dump'!$I80=1,'Account Dump'!$I81=1), "Dupe", 'Account Dump'!I80)</f>
        <v>Dupe</v>
      </c>
    </row>
    <row r="81" spans="1:9" x14ac:dyDescent="0.3">
      <c r="A81" s="44" t="str">
        <f>IF('Account Dump'!$I81=1, "Dupe", 'Account Dump'!A81)</f>
        <v>Dupe</v>
      </c>
      <c r="B81" s="6" t="str">
        <f>IF('Account Dump'!$I81=1, "Dupe", 'Account Dump'!B81)</f>
        <v>Dupe</v>
      </c>
      <c r="C81" s="6" t="str">
        <f>IF('Account Dump'!$I81=1, "Dupe", 'Account Dump'!C81)</f>
        <v>Dupe</v>
      </c>
      <c r="D81" s="6" t="str">
        <f>IF('Account Dump'!$I81=1, "Dupe", 'Account Dump'!D81)</f>
        <v>Dupe</v>
      </c>
      <c r="F81" s="6" t="str">
        <f>IF('Account Dump'!$I81=1, "Dupe", "")</f>
        <v>Dupe</v>
      </c>
      <c r="G81" s="6" t="str">
        <f>IF(AND('Account Dump'!$I81=1,'Account Dump'!$I82=1), "Dupe", 'Account Dump'!G81)</f>
        <v>Dupe</v>
      </c>
      <c r="H81" s="6" t="str">
        <f>IF(AND('Account Dump'!$I81=1,'Account Dump'!$I82=1), "Dupe", 'Account Dump'!H81)</f>
        <v>Dupe</v>
      </c>
      <c r="I81" s="45" t="str">
        <f>IF(AND('Account Dump'!$I81=1,'Account Dump'!$I82=1), "Dupe", 'Account Dump'!I81)</f>
        <v>Dupe</v>
      </c>
    </row>
    <row r="82" spans="1:9" x14ac:dyDescent="0.3">
      <c r="A82" s="44" t="str">
        <f>IF('Account Dump'!$I82=1, "Dupe", 'Account Dump'!A82)</f>
        <v>Dupe</v>
      </c>
      <c r="B82" s="6" t="str">
        <f>IF('Account Dump'!$I82=1, "Dupe", 'Account Dump'!B82)</f>
        <v>Dupe</v>
      </c>
      <c r="C82" s="6" t="str">
        <f>IF('Account Dump'!$I82=1, "Dupe", 'Account Dump'!C82)</f>
        <v>Dupe</v>
      </c>
      <c r="D82" s="6" t="str">
        <f>IF('Account Dump'!$I82=1, "Dupe", 'Account Dump'!D82)</f>
        <v>Dupe</v>
      </c>
      <c r="F82" s="6" t="str">
        <f>IF('Account Dump'!$I82=1, "Dupe", "")</f>
        <v>Dupe</v>
      </c>
      <c r="G82" s="6" t="str">
        <f>IF(AND('Account Dump'!$I82=1,'Account Dump'!$I83=1), "Dupe", 'Account Dump'!G82)</f>
        <v>Dupe</v>
      </c>
      <c r="H82" s="6" t="str">
        <f>IF(AND('Account Dump'!$I82=1,'Account Dump'!$I83=1), "Dupe", 'Account Dump'!H82)</f>
        <v>Dupe</v>
      </c>
      <c r="I82" s="45" t="str">
        <f>IF(AND('Account Dump'!$I82=1,'Account Dump'!$I83=1), "Dupe", 'Account Dump'!I82)</f>
        <v>Dupe</v>
      </c>
    </row>
    <row r="83" spans="1:9" x14ac:dyDescent="0.3">
      <c r="A83" s="44" t="str">
        <f>IF('Account Dump'!$I83=1, "Dupe", 'Account Dump'!A83)</f>
        <v>Dupe</v>
      </c>
      <c r="B83" s="6" t="str">
        <f>IF('Account Dump'!$I83=1, "Dupe", 'Account Dump'!B83)</f>
        <v>Dupe</v>
      </c>
      <c r="C83" s="6" t="str">
        <f>IF('Account Dump'!$I83=1, "Dupe", 'Account Dump'!C83)</f>
        <v>Dupe</v>
      </c>
      <c r="D83" s="6" t="str">
        <f>IF('Account Dump'!$I83=1, "Dupe", 'Account Dump'!D83)</f>
        <v>Dupe</v>
      </c>
      <c r="F83" s="6" t="str">
        <f>IF('Account Dump'!$I83=1, "Dupe", "")</f>
        <v>Dupe</v>
      </c>
      <c r="G83" s="6" t="str">
        <f>IF(AND('Account Dump'!$I83=1,'Account Dump'!$I84=1), "Dupe", 'Account Dump'!G83)</f>
        <v>Dupe</v>
      </c>
      <c r="H83" s="6" t="str">
        <f>IF(AND('Account Dump'!$I83=1,'Account Dump'!$I84=1), "Dupe", 'Account Dump'!H83)</f>
        <v>Dupe</v>
      </c>
      <c r="I83" s="45" t="str">
        <f>IF(AND('Account Dump'!$I83=1,'Account Dump'!$I84=1), "Dupe", 'Account Dump'!I83)</f>
        <v>Dupe</v>
      </c>
    </row>
    <row r="84" spans="1:9" x14ac:dyDescent="0.3">
      <c r="A84" s="44" t="str">
        <f>IF('Account Dump'!$I84=1, "Dupe", 'Account Dump'!A84)</f>
        <v>Dupe</v>
      </c>
      <c r="B84" s="6" t="str">
        <f>IF('Account Dump'!$I84=1, "Dupe", 'Account Dump'!B84)</f>
        <v>Dupe</v>
      </c>
      <c r="C84" s="6" t="str">
        <f>IF('Account Dump'!$I84=1, "Dupe", 'Account Dump'!C84)</f>
        <v>Dupe</v>
      </c>
      <c r="D84" s="6" t="str">
        <f>IF('Account Dump'!$I84=1, "Dupe", 'Account Dump'!D84)</f>
        <v>Dupe</v>
      </c>
      <c r="F84" s="6" t="str">
        <f>IF('Account Dump'!$I84=1, "Dupe", "")</f>
        <v>Dupe</v>
      </c>
      <c r="G84" s="6" t="str">
        <f>IF(AND('Account Dump'!$I84=1,'Account Dump'!$I85=1), "Dupe", 'Account Dump'!G84)</f>
        <v>Dupe</v>
      </c>
      <c r="H84" s="6" t="str">
        <f>IF(AND('Account Dump'!$I84=1,'Account Dump'!$I85=1), "Dupe", 'Account Dump'!H84)</f>
        <v>Dupe</v>
      </c>
      <c r="I84" s="45" t="str">
        <f>IF(AND('Account Dump'!$I84=1,'Account Dump'!$I85=1), "Dupe", 'Account Dump'!I84)</f>
        <v>Dupe</v>
      </c>
    </row>
    <row r="85" spans="1:9" x14ac:dyDescent="0.3">
      <c r="A85" s="44" t="str">
        <f>IF('Account Dump'!$I85=1, "Dupe", 'Account Dump'!A85)</f>
        <v>Dupe</v>
      </c>
      <c r="B85" s="6" t="str">
        <f>IF('Account Dump'!$I85=1, "Dupe", 'Account Dump'!B85)</f>
        <v>Dupe</v>
      </c>
      <c r="C85" s="6" t="str">
        <f>IF('Account Dump'!$I85=1, "Dupe", 'Account Dump'!C85)</f>
        <v>Dupe</v>
      </c>
      <c r="D85" s="6" t="str">
        <f>IF('Account Dump'!$I85=1, "Dupe", 'Account Dump'!D85)</f>
        <v>Dupe</v>
      </c>
      <c r="F85" s="6" t="str">
        <f>IF('Account Dump'!$I85=1, "Dupe", "")</f>
        <v>Dupe</v>
      </c>
      <c r="G85" s="6" t="str">
        <f>IF(AND('Account Dump'!$I85=1,'Account Dump'!$I86=1), "Dupe", 'Account Dump'!G85)</f>
        <v>Dupe</v>
      </c>
      <c r="H85" s="6" t="str">
        <f>IF(AND('Account Dump'!$I85=1,'Account Dump'!$I86=1), "Dupe", 'Account Dump'!H85)</f>
        <v>Dupe</v>
      </c>
      <c r="I85" s="45" t="str">
        <f>IF(AND('Account Dump'!$I85=1,'Account Dump'!$I86=1), "Dupe", 'Account Dump'!I85)</f>
        <v>Dupe</v>
      </c>
    </row>
    <row r="86" spans="1:9" x14ac:dyDescent="0.3">
      <c r="A86" s="44" t="str">
        <f>IF('Account Dump'!$I86=1, "Dupe", 'Account Dump'!A86)</f>
        <v>Dupe</v>
      </c>
      <c r="B86" s="6" t="str">
        <f>IF('Account Dump'!$I86=1, "Dupe", 'Account Dump'!B86)</f>
        <v>Dupe</v>
      </c>
      <c r="C86" s="6" t="str">
        <f>IF('Account Dump'!$I86=1, "Dupe", 'Account Dump'!C86)</f>
        <v>Dupe</v>
      </c>
      <c r="D86" s="6" t="str">
        <f>IF('Account Dump'!$I86=1, "Dupe", 'Account Dump'!D86)</f>
        <v>Dupe</v>
      </c>
      <c r="F86" s="6" t="str">
        <f>IF('Account Dump'!$I86=1, "Dupe", "")</f>
        <v>Dupe</v>
      </c>
      <c r="G86" s="6" t="str">
        <f>IF(AND('Account Dump'!$I86=1,'Account Dump'!$I87=1), "Dupe", 'Account Dump'!G86)</f>
        <v>Dupe</v>
      </c>
      <c r="H86" s="6" t="str">
        <f>IF(AND('Account Dump'!$I86=1,'Account Dump'!$I87=1), "Dupe", 'Account Dump'!H86)</f>
        <v>Dupe</v>
      </c>
      <c r="I86" s="45" t="str">
        <f>IF(AND('Account Dump'!$I86=1,'Account Dump'!$I87=1), "Dupe", 'Account Dump'!I86)</f>
        <v>Dupe</v>
      </c>
    </row>
    <row r="87" spans="1:9" x14ac:dyDescent="0.3">
      <c r="A87" s="44" t="str">
        <f>IF('Account Dump'!$I87=1, "Dupe", 'Account Dump'!A87)</f>
        <v>Dupe</v>
      </c>
      <c r="B87" s="6" t="str">
        <f>IF('Account Dump'!$I87=1, "Dupe", 'Account Dump'!B87)</f>
        <v>Dupe</v>
      </c>
      <c r="C87" s="6" t="str">
        <f>IF('Account Dump'!$I87=1, "Dupe", 'Account Dump'!C87)</f>
        <v>Dupe</v>
      </c>
      <c r="D87" s="6" t="str">
        <f>IF('Account Dump'!$I87=1, "Dupe", 'Account Dump'!D87)</f>
        <v>Dupe</v>
      </c>
      <c r="F87" s="6" t="str">
        <f>IF('Account Dump'!$I87=1, "Dupe", "")</f>
        <v>Dupe</v>
      </c>
      <c r="G87" s="6" t="str">
        <f>IF(AND('Account Dump'!$I87=1,'Account Dump'!$I88=1), "Dupe", 'Account Dump'!G87)</f>
        <v>Dupe</v>
      </c>
      <c r="H87" s="6" t="str">
        <f>IF(AND('Account Dump'!$I87=1,'Account Dump'!$I88=1), "Dupe", 'Account Dump'!H87)</f>
        <v>Dupe</v>
      </c>
      <c r="I87" s="45" t="str">
        <f>IF(AND('Account Dump'!$I87=1,'Account Dump'!$I88=1), "Dupe", 'Account Dump'!I87)</f>
        <v>Dupe</v>
      </c>
    </row>
    <row r="88" spans="1:9" x14ac:dyDescent="0.3">
      <c r="A88" s="44" t="str">
        <f>IF('Account Dump'!$I88=1, "Dupe", 'Account Dump'!A88)</f>
        <v>Dupe</v>
      </c>
      <c r="B88" s="6" t="str">
        <f>IF('Account Dump'!$I88=1, "Dupe", 'Account Dump'!B88)</f>
        <v>Dupe</v>
      </c>
      <c r="C88" s="6" t="str">
        <f>IF('Account Dump'!$I88=1, "Dupe", 'Account Dump'!C88)</f>
        <v>Dupe</v>
      </c>
      <c r="D88" s="6" t="str">
        <f>IF('Account Dump'!$I88=1, "Dupe", 'Account Dump'!D88)</f>
        <v>Dupe</v>
      </c>
      <c r="F88" s="6" t="str">
        <f>IF('Account Dump'!$I88=1, "Dupe", "")</f>
        <v>Dupe</v>
      </c>
      <c r="G88" s="6" t="str">
        <f>IF(AND('Account Dump'!$I88=1,'Account Dump'!$I89=1), "Dupe", 'Account Dump'!G88)</f>
        <v>Dupe</v>
      </c>
      <c r="H88" s="6" t="str">
        <f>IF(AND('Account Dump'!$I88=1,'Account Dump'!$I89=1), "Dupe", 'Account Dump'!H88)</f>
        <v>Dupe</v>
      </c>
      <c r="I88" s="45" t="str">
        <f>IF(AND('Account Dump'!$I88=1,'Account Dump'!$I89=1), "Dupe", 'Account Dump'!I88)</f>
        <v>Dupe</v>
      </c>
    </row>
    <row r="89" spans="1:9" x14ac:dyDescent="0.3">
      <c r="A89" s="44" t="str">
        <f>IF('Account Dump'!$I89=1, "Dupe", 'Account Dump'!A89)</f>
        <v>Dupe</v>
      </c>
      <c r="B89" s="6" t="str">
        <f>IF('Account Dump'!$I89=1, "Dupe", 'Account Dump'!B89)</f>
        <v>Dupe</v>
      </c>
      <c r="C89" s="6" t="str">
        <f>IF('Account Dump'!$I89=1, "Dupe", 'Account Dump'!C89)</f>
        <v>Dupe</v>
      </c>
      <c r="D89" s="6" t="str">
        <f>IF('Account Dump'!$I89=1, "Dupe", 'Account Dump'!D89)</f>
        <v>Dupe</v>
      </c>
      <c r="F89" s="6" t="str">
        <f>IF('Account Dump'!$I89=1, "Dupe", "")</f>
        <v>Dupe</v>
      </c>
      <c r="G89" s="6" t="str">
        <f>IF(AND('Account Dump'!$I89=1,'Account Dump'!$I90=1), "Dupe", 'Account Dump'!G89)</f>
        <v>Dupe</v>
      </c>
      <c r="H89" s="6" t="str">
        <f>IF(AND('Account Dump'!$I89=1,'Account Dump'!$I90=1), "Dupe", 'Account Dump'!H89)</f>
        <v>Dupe</v>
      </c>
      <c r="I89" s="45" t="str">
        <f>IF(AND('Account Dump'!$I89=1,'Account Dump'!$I90=1), "Dupe", 'Account Dump'!I89)</f>
        <v>Dupe</v>
      </c>
    </row>
    <row r="90" spans="1:9" x14ac:dyDescent="0.3">
      <c r="A90" s="44" t="str">
        <f>IF('Account Dump'!$I90=1, "Dupe", 'Account Dump'!A90)</f>
        <v>Dupe</v>
      </c>
      <c r="B90" s="6" t="str">
        <f>IF('Account Dump'!$I90=1, "Dupe", 'Account Dump'!B90)</f>
        <v>Dupe</v>
      </c>
      <c r="C90" s="6" t="str">
        <f>IF('Account Dump'!$I90=1, "Dupe", 'Account Dump'!C90)</f>
        <v>Dupe</v>
      </c>
      <c r="D90" s="6" t="str">
        <f>IF('Account Dump'!$I90=1, "Dupe", 'Account Dump'!D90)</f>
        <v>Dupe</v>
      </c>
      <c r="F90" s="6" t="str">
        <f>IF('Account Dump'!$I90=1, "Dupe", "")</f>
        <v>Dupe</v>
      </c>
      <c r="G90" s="6" t="str">
        <f>IF(AND('Account Dump'!$I90=1,'Account Dump'!$I91=1), "Dupe", 'Account Dump'!G90)</f>
        <v>Dupe</v>
      </c>
      <c r="H90" s="6" t="str">
        <f>IF(AND('Account Dump'!$I90=1,'Account Dump'!$I91=1), "Dupe", 'Account Dump'!H90)</f>
        <v>Dupe</v>
      </c>
      <c r="I90" s="45" t="str">
        <f>IF(AND('Account Dump'!$I90=1,'Account Dump'!$I91=1), "Dupe", 'Account Dump'!I90)</f>
        <v>Dupe</v>
      </c>
    </row>
    <row r="91" spans="1:9" x14ac:dyDescent="0.3">
      <c r="A91" s="44" t="str">
        <f>IF('Account Dump'!$I91=1, "Dupe", 'Account Dump'!A91)</f>
        <v>Dupe</v>
      </c>
      <c r="B91" s="6" t="str">
        <f>IF('Account Dump'!$I91=1, "Dupe", 'Account Dump'!B91)</f>
        <v>Dupe</v>
      </c>
      <c r="C91" s="6" t="str">
        <f>IF('Account Dump'!$I91=1, "Dupe", 'Account Dump'!C91)</f>
        <v>Dupe</v>
      </c>
      <c r="D91" s="6" t="str">
        <f>IF('Account Dump'!$I91=1, "Dupe", 'Account Dump'!D91)</f>
        <v>Dupe</v>
      </c>
      <c r="F91" s="6" t="str">
        <f>IF('Account Dump'!$I91=1, "Dupe", "")</f>
        <v>Dupe</v>
      </c>
      <c r="G91" s="6" t="str">
        <f>IF(AND('Account Dump'!$I91=1,'Account Dump'!$I92=1), "Dupe", 'Account Dump'!G91)</f>
        <v>Dupe</v>
      </c>
      <c r="H91" s="6" t="str">
        <f>IF(AND('Account Dump'!$I91=1,'Account Dump'!$I92=1), "Dupe", 'Account Dump'!H91)</f>
        <v>Dupe</v>
      </c>
      <c r="I91" s="45" t="str">
        <f>IF(AND('Account Dump'!$I91=1,'Account Dump'!$I92=1), "Dupe", 'Account Dump'!I91)</f>
        <v>Dupe</v>
      </c>
    </row>
    <row r="92" spans="1:9" x14ac:dyDescent="0.3">
      <c r="A92" s="44" t="str">
        <f>IF('Account Dump'!$I92=1, "Dupe", 'Account Dump'!A92)</f>
        <v>Dupe</v>
      </c>
      <c r="B92" s="6" t="str">
        <f>IF('Account Dump'!$I92=1, "Dupe", 'Account Dump'!B92)</f>
        <v>Dupe</v>
      </c>
      <c r="C92" s="6" t="str">
        <f>IF('Account Dump'!$I92=1, "Dupe", 'Account Dump'!C92)</f>
        <v>Dupe</v>
      </c>
      <c r="D92" s="6" t="str">
        <f>IF('Account Dump'!$I92=1, "Dupe", 'Account Dump'!D92)</f>
        <v>Dupe</v>
      </c>
      <c r="F92" s="6" t="str">
        <f>IF('Account Dump'!$I92=1, "Dupe", "")</f>
        <v>Dupe</v>
      </c>
      <c r="G92" s="6" t="str">
        <f>IF(AND('Account Dump'!$I92=1,'Account Dump'!$I93=1), "Dupe", 'Account Dump'!G92)</f>
        <v>Dupe</v>
      </c>
      <c r="H92" s="6" t="str">
        <f>IF(AND('Account Dump'!$I92=1,'Account Dump'!$I93=1), "Dupe", 'Account Dump'!H92)</f>
        <v>Dupe</v>
      </c>
      <c r="I92" s="45" t="str">
        <f>IF(AND('Account Dump'!$I92=1,'Account Dump'!$I93=1), "Dupe", 'Account Dump'!I92)</f>
        <v>Dupe</v>
      </c>
    </row>
    <row r="93" spans="1:9" x14ac:dyDescent="0.3">
      <c r="A93" s="44" t="str">
        <f>IF('Account Dump'!$I93=1, "Dupe", 'Account Dump'!A93)</f>
        <v>Dupe</v>
      </c>
      <c r="B93" s="6" t="str">
        <f>IF('Account Dump'!$I93=1, "Dupe", 'Account Dump'!B93)</f>
        <v>Dupe</v>
      </c>
      <c r="C93" s="6" t="str">
        <f>IF('Account Dump'!$I93=1, "Dupe", 'Account Dump'!C93)</f>
        <v>Dupe</v>
      </c>
      <c r="D93" s="6" t="str">
        <f>IF('Account Dump'!$I93=1, "Dupe", 'Account Dump'!D93)</f>
        <v>Dupe</v>
      </c>
      <c r="F93" s="6" t="str">
        <f>IF('Account Dump'!$I93=1, "Dupe", "")</f>
        <v>Dupe</v>
      </c>
      <c r="G93" s="6" t="str">
        <f>IF(AND('Account Dump'!$I93=1,'Account Dump'!$I94=1), "Dupe", 'Account Dump'!G93)</f>
        <v>Dupe</v>
      </c>
      <c r="H93" s="6" t="str">
        <f>IF(AND('Account Dump'!$I93=1,'Account Dump'!$I94=1), "Dupe", 'Account Dump'!H93)</f>
        <v>Dupe</v>
      </c>
      <c r="I93" s="45" t="str">
        <f>IF(AND('Account Dump'!$I93=1,'Account Dump'!$I94=1), "Dupe", 'Account Dump'!I93)</f>
        <v>Dupe</v>
      </c>
    </row>
    <row r="94" spans="1:9" x14ac:dyDescent="0.3">
      <c r="A94" s="44" t="str">
        <f>IF('Account Dump'!$I94=1, "Dupe", 'Account Dump'!A94)</f>
        <v>Dupe</v>
      </c>
      <c r="B94" s="6" t="str">
        <f>IF('Account Dump'!$I94=1, "Dupe", 'Account Dump'!B94)</f>
        <v>Dupe</v>
      </c>
      <c r="C94" s="6" t="str">
        <f>IF('Account Dump'!$I94=1, "Dupe", 'Account Dump'!C94)</f>
        <v>Dupe</v>
      </c>
      <c r="D94" s="6" t="str">
        <f>IF('Account Dump'!$I94=1, "Dupe", 'Account Dump'!D94)</f>
        <v>Dupe</v>
      </c>
      <c r="F94" s="6" t="str">
        <f>IF('Account Dump'!$I94=1, "Dupe", "")</f>
        <v>Dupe</v>
      </c>
      <c r="G94" s="6" t="str">
        <f>IF(AND('Account Dump'!$I94=1,'Account Dump'!$I95=1), "Dupe", 'Account Dump'!G94)</f>
        <v>Dupe</v>
      </c>
      <c r="H94" s="6" t="str">
        <f>IF(AND('Account Dump'!$I94=1,'Account Dump'!$I95=1), "Dupe", 'Account Dump'!H94)</f>
        <v>Dupe</v>
      </c>
      <c r="I94" s="45" t="str">
        <f>IF(AND('Account Dump'!$I94=1,'Account Dump'!$I95=1), "Dupe", 'Account Dump'!I94)</f>
        <v>Dupe</v>
      </c>
    </row>
    <row r="95" spans="1:9" x14ac:dyDescent="0.3">
      <c r="A95" s="44" t="str">
        <f>IF('Account Dump'!$I95=1, "Dupe", 'Account Dump'!A95)</f>
        <v>Dupe</v>
      </c>
      <c r="B95" s="6" t="str">
        <f>IF('Account Dump'!$I95=1, "Dupe", 'Account Dump'!B95)</f>
        <v>Dupe</v>
      </c>
      <c r="C95" s="6" t="str">
        <f>IF('Account Dump'!$I95=1, "Dupe", 'Account Dump'!C95)</f>
        <v>Dupe</v>
      </c>
      <c r="D95" s="6" t="str">
        <f>IF('Account Dump'!$I95=1, "Dupe", 'Account Dump'!D95)</f>
        <v>Dupe</v>
      </c>
      <c r="F95" s="6" t="str">
        <f>IF('Account Dump'!$I95=1, "Dupe", "")</f>
        <v>Dupe</v>
      </c>
      <c r="G95" s="6" t="str">
        <f>IF(AND('Account Dump'!$I95=1,'Account Dump'!$I96=1), "Dupe", 'Account Dump'!G95)</f>
        <v>Dupe</v>
      </c>
      <c r="H95" s="6" t="str">
        <f>IF(AND('Account Dump'!$I95=1,'Account Dump'!$I96=1), "Dupe", 'Account Dump'!H95)</f>
        <v>Dupe</v>
      </c>
      <c r="I95" s="45" t="str">
        <f>IF(AND('Account Dump'!$I95=1,'Account Dump'!$I96=1), "Dupe", 'Account Dump'!I95)</f>
        <v>Dupe</v>
      </c>
    </row>
    <row r="96" spans="1:9" x14ac:dyDescent="0.3">
      <c r="A96" s="44" t="str">
        <f>IF('Account Dump'!$I96=1, "Dupe", 'Account Dump'!A96)</f>
        <v>Dupe</v>
      </c>
      <c r="B96" s="6" t="str">
        <f>IF('Account Dump'!$I96=1, "Dupe", 'Account Dump'!B96)</f>
        <v>Dupe</v>
      </c>
      <c r="C96" s="6" t="str">
        <f>IF('Account Dump'!$I96=1, "Dupe", 'Account Dump'!C96)</f>
        <v>Dupe</v>
      </c>
      <c r="D96" s="6" t="str">
        <f>IF('Account Dump'!$I96=1, "Dupe", 'Account Dump'!D96)</f>
        <v>Dupe</v>
      </c>
      <c r="F96" s="6" t="str">
        <f>IF('Account Dump'!$I96=1, "Dupe", "")</f>
        <v>Dupe</v>
      </c>
      <c r="G96" s="6" t="str">
        <f>IF(AND('Account Dump'!$I96=1,'Account Dump'!$I97=1), "Dupe", 'Account Dump'!G96)</f>
        <v>Dupe</v>
      </c>
      <c r="H96" s="6" t="str">
        <f>IF(AND('Account Dump'!$I96=1,'Account Dump'!$I97=1), "Dupe", 'Account Dump'!H96)</f>
        <v>Dupe</v>
      </c>
      <c r="I96" s="45" t="str">
        <f>IF(AND('Account Dump'!$I96=1,'Account Dump'!$I97=1), "Dupe", 'Account Dump'!I96)</f>
        <v>Dupe</v>
      </c>
    </row>
    <row r="97" spans="1:9" x14ac:dyDescent="0.3">
      <c r="A97" s="44" t="str">
        <f>IF('Account Dump'!$I97=1, "Dupe", 'Account Dump'!A97)</f>
        <v>Dupe</v>
      </c>
      <c r="B97" s="6" t="str">
        <f>IF('Account Dump'!$I97=1, "Dupe", 'Account Dump'!B97)</f>
        <v>Dupe</v>
      </c>
      <c r="C97" s="6" t="str">
        <f>IF('Account Dump'!$I97=1, "Dupe", 'Account Dump'!C97)</f>
        <v>Dupe</v>
      </c>
      <c r="D97" s="6" t="str">
        <f>IF('Account Dump'!$I97=1, "Dupe", 'Account Dump'!D97)</f>
        <v>Dupe</v>
      </c>
      <c r="F97" s="6" t="str">
        <f>IF('Account Dump'!$I97=1, "Dupe", "")</f>
        <v>Dupe</v>
      </c>
      <c r="G97" s="6" t="str">
        <f>IF(AND('Account Dump'!$I97=1,'Account Dump'!$I98=1), "Dupe", 'Account Dump'!G97)</f>
        <v>Dupe</v>
      </c>
      <c r="H97" s="6" t="str">
        <f>IF(AND('Account Dump'!$I97=1,'Account Dump'!$I98=1), "Dupe", 'Account Dump'!H97)</f>
        <v>Dupe</v>
      </c>
      <c r="I97" s="45" t="str">
        <f>IF(AND('Account Dump'!$I97=1,'Account Dump'!$I98=1), "Dupe", 'Account Dump'!I97)</f>
        <v>Dupe</v>
      </c>
    </row>
    <row r="98" spans="1:9" x14ac:dyDescent="0.3">
      <c r="A98" s="44" t="str">
        <f>IF('Account Dump'!$I98=1, "Dupe", 'Account Dump'!A98)</f>
        <v>Dupe</v>
      </c>
      <c r="B98" s="6" t="str">
        <f>IF('Account Dump'!$I98=1, "Dupe", 'Account Dump'!B98)</f>
        <v>Dupe</v>
      </c>
      <c r="C98" s="6" t="str">
        <f>IF('Account Dump'!$I98=1, "Dupe", 'Account Dump'!C98)</f>
        <v>Dupe</v>
      </c>
      <c r="D98" s="6" t="str">
        <f>IF('Account Dump'!$I98=1, "Dupe", 'Account Dump'!D98)</f>
        <v>Dupe</v>
      </c>
      <c r="F98" s="6" t="str">
        <f>IF('Account Dump'!$I98=1, "Dupe", "")</f>
        <v>Dupe</v>
      </c>
      <c r="G98" s="6" t="str">
        <f>IF(AND('Account Dump'!$I98=1,'Account Dump'!$I99=1), "Dupe", 'Account Dump'!G98)</f>
        <v>Dupe</v>
      </c>
      <c r="H98" s="6" t="str">
        <f>IF(AND('Account Dump'!$I98=1,'Account Dump'!$I99=1), "Dupe", 'Account Dump'!H98)</f>
        <v>Dupe</v>
      </c>
      <c r="I98" s="45" t="str">
        <f>IF(AND('Account Dump'!$I98=1,'Account Dump'!$I99=1), "Dupe", 'Account Dump'!I98)</f>
        <v>Dupe</v>
      </c>
    </row>
    <row r="99" spans="1:9" x14ac:dyDescent="0.3">
      <c r="A99" s="44" t="str">
        <f>IF('Account Dump'!$I99=1, "Dupe", 'Account Dump'!A99)</f>
        <v>Dupe</v>
      </c>
      <c r="B99" s="6" t="str">
        <f>IF('Account Dump'!$I99=1, "Dupe", 'Account Dump'!B99)</f>
        <v>Dupe</v>
      </c>
      <c r="C99" s="6" t="str">
        <f>IF('Account Dump'!$I99=1, "Dupe", 'Account Dump'!C99)</f>
        <v>Dupe</v>
      </c>
      <c r="D99" s="6" t="str">
        <f>IF('Account Dump'!$I99=1, "Dupe", 'Account Dump'!D99)</f>
        <v>Dupe</v>
      </c>
      <c r="F99" s="6" t="str">
        <f>IF('Account Dump'!$I99=1, "Dupe", "")</f>
        <v>Dupe</v>
      </c>
      <c r="G99" s="6" t="str">
        <f>IF(AND('Account Dump'!$I99=1,'Account Dump'!$I100=1), "Dupe", 'Account Dump'!G99)</f>
        <v>Dupe</v>
      </c>
      <c r="H99" s="6" t="str">
        <f>IF(AND('Account Dump'!$I99=1,'Account Dump'!$I100=1), "Dupe", 'Account Dump'!H99)</f>
        <v>Dupe</v>
      </c>
      <c r="I99" s="45" t="str">
        <f>IF(AND('Account Dump'!$I99=1,'Account Dump'!$I100=1), "Dupe", 'Account Dump'!I99)</f>
        <v>Dupe</v>
      </c>
    </row>
    <row r="100" spans="1:9" x14ac:dyDescent="0.3">
      <c r="A100" s="44" t="str">
        <f>IF('Account Dump'!$I100=1, "Dupe", 'Account Dump'!A100)</f>
        <v>Dupe</v>
      </c>
      <c r="B100" s="6" t="str">
        <f>IF('Account Dump'!$I100=1, "Dupe", 'Account Dump'!B100)</f>
        <v>Dupe</v>
      </c>
      <c r="C100" s="6" t="str">
        <f>IF('Account Dump'!$I100=1, "Dupe", 'Account Dump'!C100)</f>
        <v>Dupe</v>
      </c>
      <c r="D100" s="6" t="str">
        <f>IF('Account Dump'!$I100=1, "Dupe", 'Account Dump'!D100)</f>
        <v>Dupe</v>
      </c>
      <c r="F100" s="6" t="str">
        <f>IF('Account Dump'!$I100=1, "Dupe", "")</f>
        <v>Dupe</v>
      </c>
      <c r="G100" s="6" t="str">
        <f>IF(AND('Account Dump'!$I100=1,'Account Dump'!$I101=1), "Dupe", 'Account Dump'!G100)</f>
        <v>Dupe</v>
      </c>
      <c r="H100" s="6" t="str">
        <f>IF(AND('Account Dump'!$I100=1,'Account Dump'!$I101=1), "Dupe", 'Account Dump'!H100)</f>
        <v>Dupe</v>
      </c>
      <c r="I100" s="45" t="str">
        <f>IF(AND('Account Dump'!$I100=1,'Account Dump'!$I101=1), "Dupe", 'Account Dump'!I100)</f>
        <v>Dupe</v>
      </c>
    </row>
    <row r="101" spans="1:9" x14ac:dyDescent="0.3">
      <c r="A101" s="44" t="str">
        <f>IF('Account Dump'!$I101=1, "Dupe", 'Account Dump'!A101)</f>
        <v>Dupe</v>
      </c>
      <c r="B101" s="6" t="str">
        <f>IF('Account Dump'!$I101=1, "Dupe", 'Account Dump'!B101)</f>
        <v>Dupe</v>
      </c>
      <c r="C101" s="6" t="str">
        <f>IF('Account Dump'!$I101=1, "Dupe", 'Account Dump'!C101)</f>
        <v>Dupe</v>
      </c>
      <c r="D101" s="6" t="str">
        <f>IF('Account Dump'!$I101=1, "Dupe", 'Account Dump'!D101)</f>
        <v>Dupe</v>
      </c>
      <c r="F101" s="6" t="str">
        <f>IF('Account Dump'!$I101=1, "Dupe", "")</f>
        <v>Dupe</v>
      </c>
      <c r="G101" s="6" t="str">
        <f>IF(AND('Account Dump'!$I101=1,'Account Dump'!$I102=1), "Dupe", 'Account Dump'!G101)</f>
        <v>Dupe</v>
      </c>
      <c r="H101" s="6" t="str">
        <f>IF(AND('Account Dump'!$I101=1,'Account Dump'!$I102=1), "Dupe", 'Account Dump'!H101)</f>
        <v>Dupe</v>
      </c>
      <c r="I101" s="45" t="str">
        <f>IF(AND('Account Dump'!$I101=1,'Account Dump'!$I102=1), "Dupe", 'Account Dump'!I101)</f>
        <v>Dupe</v>
      </c>
    </row>
    <row r="102" spans="1:9" x14ac:dyDescent="0.3">
      <c r="A102" s="44" t="str">
        <f>IF('Account Dump'!$I102=1, "Dupe", 'Account Dump'!A102)</f>
        <v>Dupe</v>
      </c>
      <c r="B102" s="6" t="str">
        <f>IF('Account Dump'!$I102=1, "Dupe", 'Account Dump'!B102)</f>
        <v>Dupe</v>
      </c>
      <c r="C102" s="6" t="str">
        <f>IF('Account Dump'!$I102=1, "Dupe", 'Account Dump'!C102)</f>
        <v>Dupe</v>
      </c>
      <c r="D102" s="6" t="str">
        <f>IF('Account Dump'!$I102=1, "Dupe", 'Account Dump'!D102)</f>
        <v>Dupe</v>
      </c>
      <c r="F102" s="6" t="str">
        <f>IF('Account Dump'!$I102=1, "Dupe", "")</f>
        <v>Dupe</v>
      </c>
      <c r="G102" s="6" t="str">
        <f>IF(AND('Account Dump'!$I102=1,'Account Dump'!$I103=1), "Dupe", 'Account Dump'!G102)</f>
        <v>Dupe</v>
      </c>
      <c r="H102" s="6" t="str">
        <f>IF(AND('Account Dump'!$I102=1,'Account Dump'!$I103=1), "Dupe", 'Account Dump'!H102)</f>
        <v>Dupe</v>
      </c>
      <c r="I102" s="45" t="str">
        <f>IF(AND('Account Dump'!$I102=1,'Account Dump'!$I103=1), "Dupe", 'Account Dump'!I102)</f>
        <v>Dupe</v>
      </c>
    </row>
    <row r="103" spans="1:9" x14ac:dyDescent="0.3">
      <c r="A103" s="44" t="str">
        <f>IF('Account Dump'!$I103=1, "Dupe", 'Account Dump'!A103)</f>
        <v>Dupe</v>
      </c>
      <c r="B103" s="6" t="str">
        <f>IF('Account Dump'!$I103=1, "Dupe", 'Account Dump'!B103)</f>
        <v>Dupe</v>
      </c>
      <c r="C103" s="6" t="str">
        <f>IF('Account Dump'!$I103=1, "Dupe", 'Account Dump'!C103)</f>
        <v>Dupe</v>
      </c>
      <c r="D103" s="6" t="str">
        <f>IF('Account Dump'!$I103=1, "Dupe", 'Account Dump'!D103)</f>
        <v>Dupe</v>
      </c>
      <c r="F103" s="6" t="str">
        <f>IF('Account Dump'!$I103=1, "Dupe", "")</f>
        <v>Dupe</v>
      </c>
      <c r="G103" s="6" t="str">
        <f>IF(AND('Account Dump'!$I103=1,'Account Dump'!$I104=1), "Dupe", 'Account Dump'!G103)</f>
        <v>Dupe</v>
      </c>
      <c r="H103" s="6" t="str">
        <f>IF(AND('Account Dump'!$I103=1,'Account Dump'!$I104=1), "Dupe", 'Account Dump'!H103)</f>
        <v>Dupe</v>
      </c>
      <c r="I103" s="45" t="str">
        <f>IF(AND('Account Dump'!$I103=1,'Account Dump'!$I104=1), "Dupe", 'Account Dump'!I103)</f>
        <v>Dupe</v>
      </c>
    </row>
    <row r="104" spans="1:9" x14ac:dyDescent="0.3">
      <c r="A104" s="44" t="str">
        <f>IF('Account Dump'!$I104=1, "Dupe", 'Account Dump'!A104)</f>
        <v>Dupe</v>
      </c>
      <c r="B104" s="6" t="str">
        <f>IF('Account Dump'!$I104=1, "Dupe", 'Account Dump'!B104)</f>
        <v>Dupe</v>
      </c>
      <c r="C104" s="6" t="str">
        <f>IF('Account Dump'!$I104=1, "Dupe", 'Account Dump'!C104)</f>
        <v>Dupe</v>
      </c>
      <c r="D104" s="6" t="str">
        <f>IF('Account Dump'!$I104=1, "Dupe", 'Account Dump'!D104)</f>
        <v>Dupe</v>
      </c>
      <c r="F104" s="6" t="str">
        <f>IF('Account Dump'!$I104=1, "Dupe", "")</f>
        <v>Dupe</v>
      </c>
      <c r="G104" s="6" t="str">
        <f>IF(AND('Account Dump'!$I104=1,'Account Dump'!$I105=1), "Dupe", 'Account Dump'!G104)</f>
        <v>Dupe</v>
      </c>
      <c r="H104" s="6" t="str">
        <f>IF(AND('Account Dump'!$I104=1,'Account Dump'!$I105=1), "Dupe", 'Account Dump'!H104)</f>
        <v>Dupe</v>
      </c>
      <c r="I104" s="45" t="str">
        <f>IF(AND('Account Dump'!$I104=1,'Account Dump'!$I105=1), "Dupe", 'Account Dump'!I104)</f>
        <v>Dupe</v>
      </c>
    </row>
    <row r="105" spans="1:9" x14ac:dyDescent="0.3">
      <c r="A105" s="44" t="str">
        <f>IF('Account Dump'!$I105=1, "Dupe", 'Account Dump'!A105)</f>
        <v>Dupe</v>
      </c>
      <c r="B105" s="6" t="str">
        <f>IF('Account Dump'!$I105=1, "Dupe", 'Account Dump'!B105)</f>
        <v>Dupe</v>
      </c>
      <c r="C105" s="6" t="str">
        <f>IF('Account Dump'!$I105=1, "Dupe", 'Account Dump'!C105)</f>
        <v>Dupe</v>
      </c>
      <c r="D105" s="6" t="str">
        <f>IF('Account Dump'!$I105=1, "Dupe", 'Account Dump'!D105)</f>
        <v>Dupe</v>
      </c>
      <c r="F105" s="6" t="str">
        <f>IF('Account Dump'!$I105=1, "Dupe", "")</f>
        <v>Dupe</v>
      </c>
      <c r="G105" s="6" t="str">
        <f>IF(AND('Account Dump'!$I105=1,'Account Dump'!$I106=1), "Dupe", 'Account Dump'!G105)</f>
        <v>Dupe</v>
      </c>
      <c r="H105" s="6" t="str">
        <f>IF(AND('Account Dump'!$I105=1,'Account Dump'!$I106=1), "Dupe", 'Account Dump'!H105)</f>
        <v>Dupe</v>
      </c>
      <c r="I105" s="45" t="str">
        <f>IF(AND('Account Dump'!$I105=1,'Account Dump'!$I106=1), "Dupe", 'Account Dump'!I105)</f>
        <v>Dupe</v>
      </c>
    </row>
    <row r="106" spans="1:9" x14ac:dyDescent="0.3">
      <c r="A106" s="44" t="str">
        <f>IF('Account Dump'!$I106=1, "Dupe", 'Account Dump'!A106)</f>
        <v>Dupe</v>
      </c>
      <c r="B106" s="6" t="str">
        <f>IF('Account Dump'!$I106=1, "Dupe", 'Account Dump'!B106)</f>
        <v>Dupe</v>
      </c>
      <c r="C106" s="6" t="str">
        <f>IF('Account Dump'!$I106=1, "Dupe", 'Account Dump'!C106)</f>
        <v>Dupe</v>
      </c>
      <c r="D106" s="6" t="str">
        <f>IF('Account Dump'!$I106=1, "Dupe", 'Account Dump'!D106)</f>
        <v>Dupe</v>
      </c>
      <c r="F106" s="6" t="str">
        <f>IF('Account Dump'!$I106=1, "Dupe", "")</f>
        <v>Dupe</v>
      </c>
      <c r="G106" s="6" t="str">
        <f>IF(AND('Account Dump'!$I106=1,'Account Dump'!$I107=1), "Dupe", 'Account Dump'!G106)</f>
        <v>Dupe</v>
      </c>
      <c r="H106" s="6" t="str">
        <f>IF(AND('Account Dump'!$I106=1,'Account Dump'!$I107=1), "Dupe", 'Account Dump'!H106)</f>
        <v>Dupe</v>
      </c>
      <c r="I106" s="45" t="str">
        <f>IF(AND('Account Dump'!$I106=1,'Account Dump'!$I107=1), "Dupe", 'Account Dump'!I106)</f>
        <v>Dupe</v>
      </c>
    </row>
    <row r="107" spans="1:9" x14ac:dyDescent="0.3">
      <c r="A107" s="44" t="str">
        <f>IF('Account Dump'!$I107=1, "Dupe", 'Account Dump'!A107)</f>
        <v>Dupe</v>
      </c>
      <c r="B107" s="6" t="str">
        <f>IF('Account Dump'!$I107=1, "Dupe", 'Account Dump'!B107)</f>
        <v>Dupe</v>
      </c>
      <c r="C107" s="6" t="str">
        <f>IF('Account Dump'!$I107=1, "Dupe", 'Account Dump'!C107)</f>
        <v>Dupe</v>
      </c>
      <c r="D107" s="6" t="str">
        <f>IF('Account Dump'!$I107=1, "Dupe", 'Account Dump'!D107)</f>
        <v>Dupe</v>
      </c>
      <c r="F107" s="6" t="str">
        <f>IF('Account Dump'!$I107=1, "Dupe", "")</f>
        <v>Dupe</v>
      </c>
      <c r="G107" s="6" t="str">
        <f>IF(AND('Account Dump'!$I107=1,'Account Dump'!$I108=1), "Dupe", 'Account Dump'!G107)</f>
        <v>Dupe</v>
      </c>
      <c r="H107" s="6" t="str">
        <f>IF(AND('Account Dump'!$I107=1,'Account Dump'!$I108=1), "Dupe", 'Account Dump'!H107)</f>
        <v>Dupe</v>
      </c>
      <c r="I107" s="45" t="str">
        <f>IF(AND('Account Dump'!$I107=1,'Account Dump'!$I108=1), "Dupe", 'Account Dump'!I107)</f>
        <v>Dupe</v>
      </c>
    </row>
    <row r="108" spans="1:9" x14ac:dyDescent="0.3">
      <c r="A108" s="44" t="str">
        <f>IF('Account Dump'!$I108=1, "Dupe", 'Account Dump'!A108)</f>
        <v>Dupe</v>
      </c>
      <c r="B108" s="6" t="str">
        <f>IF('Account Dump'!$I108=1, "Dupe", 'Account Dump'!B108)</f>
        <v>Dupe</v>
      </c>
      <c r="C108" s="6" t="str">
        <f>IF('Account Dump'!$I108=1, "Dupe", 'Account Dump'!C108)</f>
        <v>Dupe</v>
      </c>
      <c r="D108" s="6" t="str">
        <f>IF('Account Dump'!$I108=1, "Dupe", 'Account Dump'!D108)</f>
        <v>Dupe</v>
      </c>
      <c r="F108" s="6" t="str">
        <f>IF('Account Dump'!$I108=1, "Dupe", "")</f>
        <v>Dupe</v>
      </c>
      <c r="G108" s="6" t="str">
        <f>IF(AND('Account Dump'!$I108=1,'Account Dump'!$I109=1), "Dupe", 'Account Dump'!G108)</f>
        <v>Dupe</v>
      </c>
      <c r="H108" s="6" t="str">
        <f>IF(AND('Account Dump'!$I108=1,'Account Dump'!$I109=1), "Dupe", 'Account Dump'!H108)</f>
        <v>Dupe</v>
      </c>
      <c r="I108" s="45" t="str">
        <f>IF(AND('Account Dump'!$I108=1,'Account Dump'!$I109=1), "Dupe", 'Account Dump'!I108)</f>
        <v>Dupe</v>
      </c>
    </row>
    <row r="109" spans="1:9" x14ac:dyDescent="0.3">
      <c r="A109" s="44" t="str">
        <f>IF('Account Dump'!$I109=1, "Dupe", 'Account Dump'!A109)</f>
        <v>Dupe</v>
      </c>
      <c r="B109" s="6" t="str">
        <f>IF('Account Dump'!$I109=1, "Dupe", 'Account Dump'!B109)</f>
        <v>Dupe</v>
      </c>
      <c r="C109" s="6" t="str">
        <f>IF('Account Dump'!$I109=1, "Dupe", 'Account Dump'!C109)</f>
        <v>Dupe</v>
      </c>
      <c r="D109" s="6" t="str">
        <f>IF('Account Dump'!$I109=1, "Dupe", 'Account Dump'!D109)</f>
        <v>Dupe</v>
      </c>
      <c r="F109" s="6" t="str">
        <f>IF('Account Dump'!$I109=1, "Dupe", "")</f>
        <v>Dupe</v>
      </c>
      <c r="G109" s="6" t="str">
        <f>IF(AND('Account Dump'!$I109=1,'Account Dump'!$I110=1), "Dupe", 'Account Dump'!G109)</f>
        <v>Dupe</v>
      </c>
      <c r="H109" s="6" t="str">
        <f>IF(AND('Account Dump'!$I109=1,'Account Dump'!$I110=1), "Dupe", 'Account Dump'!H109)</f>
        <v>Dupe</v>
      </c>
      <c r="I109" s="45" t="str">
        <f>IF(AND('Account Dump'!$I109=1,'Account Dump'!$I110=1), "Dupe", 'Account Dump'!I109)</f>
        <v>Dupe</v>
      </c>
    </row>
    <row r="110" spans="1:9" x14ac:dyDescent="0.3">
      <c r="A110" s="44" t="str">
        <f>IF('Account Dump'!$I110=1, "Dupe", 'Account Dump'!A110)</f>
        <v>Dupe</v>
      </c>
      <c r="B110" s="6" t="str">
        <f>IF('Account Dump'!$I110=1, "Dupe", 'Account Dump'!B110)</f>
        <v>Dupe</v>
      </c>
      <c r="C110" s="6" t="str">
        <f>IF('Account Dump'!$I110=1, "Dupe", 'Account Dump'!C110)</f>
        <v>Dupe</v>
      </c>
      <c r="D110" s="6" t="str">
        <f>IF('Account Dump'!$I110=1, "Dupe", 'Account Dump'!D110)</f>
        <v>Dupe</v>
      </c>
      <c r="F110" s="6" t="str">
        <f>IF('Account Dump'!$I110=1, "Dupe", "")</f>
        <v>Dupe</v>
      </c>
      <c r="G110" s="6" t="str">
        <f>IF(AND('Account Dump'!$I110=1,'Account Dump'!$I111=1), "Dupe", 'Account Dump'!G110)</f>
        <v>Dupe</v>
      </c>
      <c r="H110" s="6" t="str">
        <f>IF(AND('Account Dump'!$I110=1,'Account Dump'!$I111=1), "Dupe", 'Account Dump'!H110)</f>
        <v>Dupe</v>
      </c>
      <c r="I110" s="45" t="str">
        <f>IF(AND('Account Dump'!$I110=1,'Account Dump'!$I111=1), "Dupe", 'Account Dump'!I110)</f>
        <v>Dupe</v>
      </c>
    </row>
    <row r="111" spans="1:9" x14ac:dyDescent="0.3">
      <c r="A111" s="44" t="str">
        <f>IF('Account Dump'!$I111=1, "Dupe", 'Account Dump'!A111)</f>
        <v>Dupe</v>
      </c>
      <c r="B111" s="6" t="str">
        <f>IF('Account Dump'!$I111=1, "Dupe", 'Account Dump'!B111)</f>
        <v>Dupe</v>
      </c>
      <c r="C111" s="6" t="str">
        <f>IF('Account Dump'!$I111=1, "Dupe", 'Account Dump'!C111)</f>
        <v>Dupe</v>
      </c>
      <c r="D111" s="6" t="str">
        <f>IF('Account Dump'!$I111=1, "Dupe", 'Account Dump'!D111)</f>
        <v>Dupe</v>
      </c>
      <c r="F111" s="6" t="str">
        <f>IF('Account Dump'!$I111=1, "Dupe", "")</f>
        <v>Dupe</v>
      </c>
      <c r="G111" s="6" t="str">
        <f>IF(AND('Account Dump'!$I111=1,'Account Dump'!$I112=1), "Dupe", 'Account Dump'!G111)</f>
        <v>Dupe</v>
      </c>
      <c r="H111" s="6" t="str">
        <f>IF(AND('Account Dump'!$I111=1,'Account Dump'!$I112=1), "Dupe", 'Account Dump'!H111)</f>
        <v>Dupe</v>
      </c>
      <c r="I111" s="45" t="str">
        <f>IF(AND('Account Dump'!$I111=1,'Account Dump'!$I112=1), "Dupe", 'Account Dump'!I111)</f>
        <v>Dupe</v>
      </c>
    </row>
    <row r="112" spans="1:9" x14ac:dyDescent="0.3">
      <c r="A112" s="44" t="str">
        <f>IF('Account Dump'!$I112=1, "Dupe", 'Account Dump'!A112)</f>
        <v>Dupe</v>
      </c>
      <c r="B112" s="6" t="str">
        <f>IF('Account Dump'!$I112=1, "Dupe", 'Account Dump'!B112)</f>
        <v>Dupe</v>
      </c>
      <c r="C112" s="6" t="str">
        <f>IF('Account Dump'!$I112=1, "Dupe", 'Account Dump'!C112)</f>
        <v>Dupe</v>
      </c>
      <c r="D112" s="6" t="str">
        <f>IF('Account Dump'!$I112=1, "Dupe", 'Account Dump'!D112)</f>
        <v>Dupe</v>
      </c>
      <c r="F112" s="6" t="str">
        <f>IF('Account Dump'!$I112=1, "Dupe", "")</f>
        <v>Dupe</v>
      </c>
      <c r="G112" s="6" t="str">
        <f>IF(AND('Account Dump'!$I112=1,'Account Dump'!$I113=1), "Dupe", 'Account Dump'!G112)</f>
        <v>Dupe</v>
      </c>
      <c r="H112" s="6" t="str">
        <f>IF(AND('Account Dump'!$I112=1,'Account Dump'!$I113=1), "Dupe", 'Account Dump'!H112)</f>
        <v>Dupe</v>
      </c>
      <c r="I112" s="45" t="str">
        <f>IF(AND('Account Dump'!$I112=1,'Account Dump'!$I113=1), "Dupe", 'Account Dump'!I112)</f>
        <v>Dupe</v>
      </c>
    </row>
    <row r="113" spans="1:9" x14ac:dyDescent="0.3">
      <c r="A113" s="44" t="str">
        <f>IF('Account Dump'!$I113=1, "Dupe", 'Account Dump'!A113)</f>
        <v>Dupe</v>
      </c>
      <c r="B113" s="6" t="str">
        <f>IF('Account Dump'!$I113=1, "Dupe", 'Account Dump'!B113)</f>
        <v>Dupe</v>
      </c>
      <c r="C113" s="6" t="str">
        <f>IF('Account Dump'!$I113=1, "Dupe", 'Account Dump'!C113)</f>
        <v>Dupe</v>
      </c>
      <c r="D113" s="6" t="str">
        <f>IF('Account Dump'!$I113=1, "Dupe", 'Account Dump'!D113)</f>
        <v>Dupe</v>
      </c>
      <c r="F113" s="6" t="str">
        <f>IF('Account Dump'!$I113=1, "Dupe", "")</f>
        <v>Dupe</v>
      </c>
      <c r="G113" s="6" t="str">
        <f>IF(AND('Account Dump'!$I113=1,'Account Dump'!$I114=1), "Dupe", 'Account Dump'!G113)</f>
        <v>Dupe</v>
      </c>
      <c r="H113" s="6" t="str">
        <f>IF(AND('Account Dump'!$I113=1,'Account Dump'!$I114=1), "Dupe", 'Account Dump'!H113)</f>
        <v>Dupe</v>
      </c>
      <c r="I113" s="45" t="str">
        <f>IF(AND('Account Dump'!$I113=1,'Account Dump'!$I114=1), "Dupe", 'Account Dump'!I113)</f>
        <v>Dupe</v>
      </c>
    </row>
    <row r="114" spans="1:9" x14ac:dyDescent="0.3">
      <c r="A114" s="44" t="str">
        <f>IF('Account Dump'!$I114=1, "Dupe", 'Account Dump'!A114)</f>
        <v>Dupe</v>
      </c>
      <c r="B114" s="6" t="str">
        <f>IF('Account Dump'!$I114=1, "Dupe", 'Account Dump'!B114)</f>
        <v>Dupe</v>
      </c>
      <c r="C114" s="6" t="str">
        <f>IF('Account Dump'!$I114=1, "Dupe", 'Account Dump'!C114)</f>
        <v>Dupe</v>
      </c>
      <c r="D114" s="6" t="str">
        <f>IF('Account Dump'!$I114=1, "Dupe", 'Account Dump'!D114)</f>
        <v>Dupe</v>
      </c>
      <c r="F114" s="6" t="str">
        <f>IF('Account Dump'!$I114=1, "Dupe", "")</f>
        <v>Dupe</v>
      </c>
      <c r="G114" s="6" t="str">
        <f>IF(AND('Account Dump'!$I114=1,'Account Dump'!$I115=1), "Dupe", 'Account Dump'!G114)</f>
        <v>Dupe</v>
      </c>
      <c r="H114" s="6" t="str">
        <f>IF(AND('Account Dump'!$I114=1,'Account Dump'!$I115=1), "Dupe", 'Account Dump'!H114)</f>
        <v>Dupe</v>
      </c>
      <c r="I114" s="45" t="str">
        <f>IF(AND('Account Dump'!$I114=1,'Account Dump'!$I115=1), "Dupe", 'Account Dump'!I114)</f>
        <v>Dupe</v>
      </c>
    </row>
    <row r="115" spans="1:9" x14ac:dyDescent="0.3">
      <c r="A115" s="44" t="str">
        <f>IF('Account Dump'!$I115=1, "Dupe", 'Account Dump'!A115)</f>
        <v>Dupe</v>
      </c>
      <c r="B115" s="6" t="str">
        <f>IF('Account Dump'!$I115=1, "Dupe", 'Account Dump'!B115)</f>
        <v>Dupe</v>
      </c>
      <c r="C115" s="6" t="str">
        <f>IF('Account Dump'!$I115=1, "Dupe", 'Account Dump'!C115)</f>
        <v>Dupe</v>
      </c>
      <c r="D115" s="6" t="str">
        <f>IF('Account Dump'!$I115=1, "Dupe", 'Account Dump'!D115)</f>
        <v>Dupe</v>
      </c>
      <c r="F115" s="6" t="str">
        <f>IF('Account Dump'!$I115=1, "Dupe", "")</f>
        <v>Dupe</v>
      </c>
      <c r="G115" s="6" t="str">
        <f>IF(AND('Account Dump'!$I115=1,'Account Dump'!$I116=1), "Dupe", 'Account Dump'!G115)</f>
        <v>Dupe</v>
      </c>
      <c r="H115" s="6" t="str">
        <f>IF(AND('Account Dump'!$I115=1,'Account Dump'!$I116=1), "Dupe", 'Account Dump'!H115)</f>
        <v>Dupe</v>
      </c>
      <c r="I115" s="45" t="str">
        <f>IF(AND('Account Dump'!$I115=1,'Account Dump'!$I116=1), "Dupe", 'Account Dump'!I115)</f>
        <v>Dupe</v>
      </c>
    </row>
    <row r="116" spans="1:9" x14ac:dyDescent="0.3">
      <c r="A116" s="44" t="str">
        <f>IF('Account Dump'!$I116=1, "Dupe", 'Account Dump'!A116)</f>
        <v>Dupe</v>
      </c>
      <c r="B116" s="6" t="str">
        <f>IF('Account Dump'!$I116=1, "Dupe", 'Account Dump'!B116)</f>
        <v>Dupe</v>
      </c>
      <c r="C116" s="6" t="str">
        <f>IF('Account Dump'!$I116=1, "Dupe", 'Account Dump'!C116)</f>
        <v>Dupe</v>
      </c>
      <c r="D116" s="6" t="str">
        <f>IF('Account Dump'!$I116=1, "Dupe", 'Account Dump'!D116)</f>
        <v>Dupe</v>
      </c>
      <c r="F116" s="6" t="str">
        <f>IF('Account Dump'!$I116=1, "Dupe", "")</f>
        <v>Dupe</v>
      </c>
      <c r="G116" s="6" t="str">
        <f>IF(AND('Account Dump'!$I116=1,'Account Dump'!$I117=1), "Dupe", 'Account Dump'!G116)</f>
        <v>Dupe</v>
      </c>
      <c r="H116" s="6" t="str">
        <f>IF(AND('Account Dump'!$I116=1,'Account Dump'!$I117=1), "Dupe", 'Account Dump'!H116)</f>
        <v>Dupe</v>
      </c>
      <c r="I116" s="45" t="str">
        <f>IF(AND('Account Dump'!$I116=1,'Account Dump'!$I117=1), "Dupe", 'Account Dump'!I116)</f>
        <v>Dupe</v>
      </c>
    </row>
    <row r="117" spans="1:9" x14ac:dyDescent="0.3">
      <c r="A117" s="44" t="str">
        <f>IF('Account Dump'!$I117=1, "Dupe", 'Account Dump'!A117)</f>
        <v>Dupe</v>
      </c>
      <c r="B117" s="6" t="str">
        <f>IF('Account Dump'!$I117=1, "Dupe", 'Account Dump'!B117)</f>
        <v>Dupe</v>
      </c>
      <c r="C117" s="6" t="str">
        <f>IF('Account Dump'!$I117=1, "Dupe", 'Account Dump'!C117)</f>
        <v>Dupe</v>
      </c>
      <c r="D117" s="6" t="str">
        <f>IF('Account Dump'!$I117=1, "Dupe", 'Account Dump'!D117)</f>
        <v>Dupe</v>
      </c>
      <c r="F117" s="6" t="str">
        <f>IF('Account Dump'!$I117=1, "Dupe", "")</f>
        <v>Dupe</v>
      </c>
      <c r="G117" s="6" t="str">
        <f>IF(AND('Account Dump'!$I117=1,'Account Dump'!$I118=1), "Dupe", 'Account Dump'!G117)</f>
        <v>Dupe</v>
      </c>
      <c r="H117" s="6" t="str">
        <f>IF(AND('Account Dump'!$I117=1,'Account Dump'!$I118=1), "Dupe", 'Account Dump'!H117)</f>
        <v>Dupe</v>
      </c>
      <c r="I117" s="45" t="str">
        <f>IF(AND('Account Dump'!$I117=1,'Account Dump'!$I118=1), "Dupe", 'Account Dump'!I117)</f>
        <v>Dupe</v>
      </c>
    </row>
    <row r="118" spans="1:9" x14ac:dyDescent="0.3">
      <c r="A118" s="44" t="str">
        <f>IF('Account Dump'!$I118=1, "Dupe", 'Account Dump'!A118)</f>
        <v>Dupe</v>
      </c>
      <c r="B118" s="6" t="str">
        <f>IF('Account Dump'!$I118=1, "Dupe", 'Account Dump'!B118)</f>
        <v>Dupe</v>
      </c>
      <c r="C118" s="6" t="str">
        <f>IF('Account Dump'!$I118=1, "Dupe", 'Account Dump'!C118)</f>
        <v>Dupe</v>
      </c>
      <c r="D118" s="6" t="str">
        <f>IF('Account Dump'!$I118=1, "Dupe", 'Account Dump'!D118)</f>
        <v>Dupe</v>
      </c>
      <c r="F118" s="6" t="str">
        <f>IF('Account Dump'!$I118=1, "Dupe", "")</f>
        <v>Dupe</v>
      </c>
      <c r="G118" s="6" t="str">
        <f>IF(AND('Account Dump'!$I118=1,'Account Dump'!$I119=1), "Dupe", 'Account Dump'!G118)</f>
        <v>Dupe</v>
      </c>
      <c r="H118" s="6" t="str">
        <f>IF(AND('Account Dump'!$I118=1,'Account Dump'!$I119=1), "Dupe", 'Account Dump'!H118)</f>
        <v>Dupe</v>
      </c>
      <c r="I118" s="45" t="str">
        <f>IF(AND('Account Dump'!$I118=1,'Account Dump'!$I119=1), "Dupe", 'Account Dump'!I118)</f>
        <v>Dupe</v>
      </c>
    </row>
    <row r="119" spans="1:9" x14ac:dyDescent="0.3">
      <c r="A119" s="44" t="str">
        <f>IF('Account Dump'!$I119=1, "Dupe", 'Account Dump'!A119)</f>
        <v>Dupe</v>
      </c>
      <c r="B119" s="6" t="str">
        <f>IF('Account Dump'!$I119=1, "Dupe", 'Account Dump'!B119)</f>
        <v>Dupe</v>
      </c>
      <c r="C119" s="6" t="str">
        <f>IF('Account Dump'!$I119=1, "Dupe", 'Account Dump'!C119)</f>
        <v>Dupe</v>
      </c>
      <c r="D119" s="6" t="str">
        <f>IF('Account Dump'!$I119=1, "Dupe", 'Account Dump'!D119)</f>
        <v>Dupe</v>
      </c>
      <c r="F119" s="6" t="str">
        <f>IF('Account Dump'!$I119=1, "Dupe", "")</f>
        <v>Dupe</v>
      </c>
      <c r="G119" s="6" t="str">
        <f>IF(AND('Account Dump'!$I119=1,'Account Dump'!$I120=1), "Dupe", 'Account Dump'!G119)</f>
        <v>Dupe</v>
      </c>
      <c r="H119" s="6" t="str">
        <f>IF(AND('Account Dump'!$I119=1,'Account Dump'!$I120=1), "Dupe", 'Account Dump'!H119)</f>
        <v>Dupe</v>
      </c>
      <c r="I119" s="45" t="str">
        <f>IF(AND('Account Dump'!$I119=1,'Account Dump'!$I120=1), "Dupe", 'Account Dump'!I119)</f>
        <v>Dupe</v>
      </c>
    </row>
    <row r="120" spans="1:9" x14ac:dyDescent="0.3">
      <c r="A120" s="44" t="str">
        <f>IF('Account Dump'!$I120=1, "Dupe", 'Account Dump'!A120)</f>
        <v>Dupe</v>
      </c>
      <c r="B120" s="6" t="str">
        <f>IF('Account Dump'!$I120=1, "Dupe", 'Account Dump'!B120)</f>
        <v>Dupe</v>
      </c>
      <c r="C120" s="6" t="str">
        <f>IF('Account Dump'!$I120=1, "Dupe", 'Account Dump'!C120)</f>
        <v>Dupe</v>
      </c>
      <c r="D120" s="6" t="str">
        <f>IF('Account Dump'!$I120=1, "Dupe", 'Account Dump'!D120)</f>
        <v>Dupe</v>
      </c>
      <c r="F120" s="6" t="str">
        <f>IF('Account Dump'!$I120=1, "Dupe", "")</f>
        <v>Dupe</v>
      </c>
      <c r="G120" s="6" t="str">
        <f>IF(AND('Account Dump'!$I120=1,'Account Dump'!$I121=1), "Dupe", 'Account Dump'!G120)</f>
        <v>Dupe</v>
      </c>
      <c r="H120" s="6" t="str">
        <f>IF(AND('Account Dump'!$I120=1,'Account Dump'!$I121=1), "Dupe", 'Account Dump'!H120)</f>
        <v>Dupe</v>
      </c>
      <c r="I120" s="45" t="str">
        <f>IF(AND('Account Dump'!$I120=1,'Account Dump'!$I121=1), "Dupe", 'Account Dump'!I120)</f>
        <v>Dupe</v>
      </c>
    </row>
    <row r="121" spans="1:9" x14ac:dyDescent="0.3">
      <c r="A121" s="44" t="str">
        <f>IF('Account Dump'!$I121=1, "Dupe", 'Account Dump'!A121)</f>
        <v>Dupe</v>
      </c>
      <c r="B121" s="6" t="str">
        <f>IF('Account Dump'!$I121=1, "Dupe", 'Account Dump'!B121)</f>
        <v>Dupe</v>
      </c>
      <c r="C121" s="6" t="str">
        <f>IF('Account Dump'!$I121=1, "Dupe", 'Account Dump'!C121)</f>
        <v>Dupe</v>
      </c>
      <c r="D121" s="6" t="str">
        <f>IF('Account Dump'!$I121=1, "Dupe", 'Account Dump'!D121)</f>
        <v>Dupe</v>
      </c>
      <c r="F121" s="6" t="str">
        <f>IF('Account Dump'!$I121=1, "Dupe", "")</f>
        <v>Dupe</v>
      </c>
      <c r="G121" s="6" t="str">
        <f>IF(AND('Account Dump'!$I121=1,'Account Dump'!$I122=1), "Dupe", 'Account Dump'!G121)</f>
        <v>Dupe</v>
      </c>
      <c r="H121" s="6" t="str">
        <f>IF(AND('Account Dump'!$I121=1,'Account Dump'!$I122=1), "Dupe", 'Account Dump'!H121)</f>
        <v>Dupe</v>
      </c>
      <c r="I121" s="45" t="str">
        <f>IF(AND('Account Dump'!$I121=1,'Account Dump'!$I122=1), "Dupe", 'Account Dump'!I121)</f>
        <v>Dupe</v>
      </c>
    </row>
    <row r="122" spans="1:9" x14ac:dyDescent="0.3">
      <c r="A122" s="44" t="str">
        <f>IF('Account Dump'!$I122=1, "Dupe", 'Account Dump'!A122)</f>
        <v>Dupe</v>
      </c>
      <c r="B122" s="6" t="str">
        <f>IF('Account Dump'!$I122=1, "Dupe", 'Account Dump'!B122)</f>
        <v>Dupe</v>
      </c>
      <c r="C122" s="6" t="str">
        <f>IF('Account Dump'!$I122=1, "Dupe", 'Account Dump'!C122)</f>
        <v>Dupe</v>
      </c>
      <c r="D122" s="6" t="str">
        <f>IF('Account Dump'!$I122=1, "Dupe", 'Account Dump'!D122)</f>
        <v>Dupe</v>
      </c>
      <c r="F122" s="6" t="str">
        <f>IF('Account Dump'!$I122=1, "Dupe", "")</f>
        <v>Dupe</v>
      </c>
      <c r="G122" s="6" t="str">
        <f>IF(AND('Account Dump'!$I122=1,'Account Dump'!$I123=1), "Dupe", 'Account Dump'!G122)</f>
        <v>Dupe</v>
      </c>
      <c r="H122" s="6" t="str">
        <f>IF(AND('Account Dump'!$I122=1,'Account Dump'!$I123=1), "Dupe", 'Account Dump'!H122)</f>
        <v>Dupe</v>
      </c>
      <c r="I122" s="45" t="str">
        <f>IF(AND('Account Dump'!$I122=1,'Account Dump'!$I123=1), "Dupe", 'Account Dump'!I122)</f>
        <v>Dupe</v>
      </c>
    </row>
    <row r="123" spans="1:9" x14ac:dyDescent="0.3">
      <c r="A123" s="44" t="str">
        <f>IF('Account Dump'!$I123=1, "Dupe", 'Account Dump'!A123)</f>
        <v>Dupe</v>
      </c>
      <c r="B123" s="6" t="str">
        <f>IF('Account Dump'!$I123=1, "Dupe", 'Account Dump'!B123)</f>
        <v>Dupe</v>
      </c>
      <c r="C123" s="6" t="str">
        <f>IF('Account Dump'!$I123=1, "Dupe", 'Account Dump'!C123)</f>
        <v>Dupe</v>
      </c>
      <c r="D123" s="6" t="str">
        <f>IF('Account Dump'!$I123=1, "Dupe", 'Account Dump'!D123)</f>
        <v>Dupe</v>
      </c>
      <c r="F123" s="6" t="str">
        <f>IF('Account Dump'!$I123=1, "Dupe", "")</f>
        <v>Dupe</v>
      </c>
      <c r="G123" s="6" t="str">
        <f>IF(AND('Account Dump'!$I123=1,'Account Dump'!$I124=1), "Dupe", 'Account Dump'!G123)</f>
        <v>Dupe</v>
      </c>
      <c r="H123" s="6" t="str">
        <f>IF(AND('Account Dump'!$I123=1,'Account Dump'!$I124=1), "Dupe", 'Account Dump'!H123)</f>
        <v>Dupe</v>
      </c>
      <c r="I123" s="45" t="str">
        <f>IF(AND('Account Dump'!$I123=1,'Account Dump'!$I124=1), "Dupe", 'Account Dump'!I123)</f>
        <v>Dupe</v>
      </c>
    </row>
    <row r="124" spans="1:9" x14ac:dyDescent="0.3">
      <c r="A124" s="44" t="str">
        <f>IF('Account Dump'!$I124=1, "Dupe", 'Account Dump'!A124)</f>
        <v>Dupe</v>
      </c>
      <c r="B124" s="6" t="str">
        <f>IF('Account Dump'!$I124=1, "Dupe", 'Account Dump'!B124)</f>
        <v>Dupe</v>
      </c>
      <c r="C124" s="6" t="str">
        <f>IF('Account Dump'!$I124=1, "Dupe", 'Account Dump'!C124)</f>
        <v>Dupe</v>
      </c>
      <c r="D124" s="6" t="str">
        <f>IF('Account Dump'!$I124=1, "Dupe", 'Account Dump'!D124)</f>
        <v>Dupe</v>
      </c>
      <c r="F124" s="6" t="str">
        <f>IF('Account Dump'!$I124=1, "Dupe", "")</f>
        <v>Dupe</v>
      </c>
      <c r="G124" s="6" t="str">
        <f>IF(AND('Account Dump'!$I124=1,'Account Dump'!$I125=1), "Dupe", 'Account Dump'!G124)</f>
        <v>Dupe</v>
      </c>
      <c r="H124" s="6" t="str">
        <f>IF(AND('Account Dump'!$I124=1,'Account Dump'!$I125=1), "Dupe", 'Account Dump'!H124)</f>
        <v>Dupe</v>
      </c>
      <c r="I124" s="45" t="str">
        <f>IF(AND('Account Dump'!$I124=1,'Account Dump'!$I125=1), "Dupe", 'Account Dump'!I124)</f>
        <v>Dupe</v>
      </c>
    </row>
    <row r="125" spans="1:9" x14ac:dyDescent="0.3">
      <c r="A125" s="44" t="str">
        <f>IF('Account Dump'!$I125=1, "Dupe", 'Account Dump'!A125)</f>
        <v>Dupe</v>
      </c>
      <c r="B125" s="6" t="str">
        <f>IF('Account Dump'!$I125=1, "Dupe", 'Account Dump'!B125)</f>
        <v>Dupe</v>
      </c>
      <c r="C125" s="6" t="str">
        <f>IF('Account Dump'!$I125=1, "Dupe", 'Account Dump'!C125)</f>
        <v>Dupe</v>
      </c>
      <c r="D125" s="6" t="str">
        <f>IF('Account Dump'!$I125=1, "Dupe", 'Account Dump'!D125)</f>
        <v>Dupe</v>
      </c>
      <c r="F125" s="6" t="str">
        <f>IF('Account Dump'!$I125=1, "Dupe", "")</f>
        <v>Dupe</v>
      </c>
      <c r="G125" s="6" t="str">
        <f>IF(AND('Account Dump'!$I125=1,'Account Dump'!$I126=1), "Dupe", 'Account Dump'!G125)</f>
        <v>Dupe</v>
      </c>
      <c r="H125" s="6" t="str">
        <f>IF(AND('Account Dump'!$I125=1,'Account Dump'!$I126=1), "Dupe", 'Account Dump'!H125)</f>
        <v>Dupe</v>
      </c>
      <c r="I125" s="45" t="str">
        <f>IF(AND('Account Dump'!$I125=1,'Account Dump'!$I126=1), "Dupe", 'Account Dump'!I125)</f>
        <v>Dupe</v>
      </c>
    </row>
    <row r="126" spans="1:9" x14ac:dyDescent="0.3">
      <c r="A126" s="44" t="str">
        <f>IF('Account Dump'!$I126=1, "Dupe", 'Account Dump'!A126)</f>
        <v>Dupe</v>
      </c>
      <c r="B126" s="6" t="str">
        <f>IF('Account Dump'!$I126=1, "Dupe", 'Account Dump'!B126)</f>
        <v>Dupe</v>
      </c>
      <c r="C126" s="6" t="str">
        <f>IF('Account Dump'!$I126=1, "Dupe", 'Account Dump'!C126)</f>
        <v>Dupe</v>
      </c>
      <c r="D126" s="6" t="str">
        <f>IF('Account Dump'!$I126=1, "Dupe", 'Account Dump'!D126)</f>
        <v>Dupe</v>
      </c>
      <c r="F126" s="6" t="str">
        <f>IF('Account Dump'!$I126=1, "Dupe", "")</f>
        <v>Dupe</v>
      </c>
      <c r="G126" s="6" t="str">
        <f>IF(AND('Account Dump'!$I126=1,'Account Dump'!$I127=1), "Dupe", 'Account Dump'!G126)</f>
        <v>Dupe</v>
      </c>
      <c r="H126" s="6" t="str">
        <f>IF(AND('Account Dump'!$I126=1,'Account Dump'!$I127=1), "Dupe", 'Account Dump'!H126)</f>
        <v>Dupe</v>
      </c>
      <c r="I126" s="45" t="str">
        <f>IF(AND('Account Dump'!$I126=1,'Account Dump'!$I127=1), "Dupe", 'Account Dump'!I126)</f>
        <v>Dupe</v>
      </c>
    </row>
    <row r="127" spans="1:9" x14ac:dyDescent="0.3">
      <c r="A127" s="44" t="str">
        <f>IF('Account Dump'!$I127=1, "Dupe", 'Account Dump'!A127)</f>
        <v>Dupe</v>
      </c>
      <c r="B127" s="6" t="str">
        <f>IF('Account Dump'!$I127=1, "Dupe", 'Account Dump'!B127)</f>
        <v>Dupe</v>
      </c>
      <c r="C127" s="6" t="str">
        <f>IF('Account Dump'!$I127=1, "Dupe", 'Account Dump'!C127)</f>
        <v>Dupe</v>
      </c>
      <c r="D127" s="6" t="str">
        <f>IF('Account Dump'!$I127=1, "Dupe", 'Account Dump'!D127)</f>
        <v>Dupe</v>
      </c>
      <c r="F127" s="6" t="str">
        <f>IF('Account Dump'!$I127=1, "Dupe", "")</f>
        <v>Dupe</v>
      </c>
      <c r="G127" s="6" t="str">
        <f>IF(AND('Account Dump'!$I127=1,'Account Dump'!$I128=1), "Dupe", 'Account Dump'!G127)</f>
        <v>Dupe</v>
      </c>
      <c r="H127" s="6" t="str">
        <f>IF(AND('Account Dump'!$I127=1,'Account Dump'!$I128=1), "Dupe", 'Account Dump'!H127)</f>
        <v>Dupe</v>
      </c>
      <c r="I127" s="45" t="str">
        <f>IF(AND('Account Dump'!$I127=1,'Account Dump'!$I128=1), "Dupe", 'Account Dump'!I127)</f>
        <v>Dupe</v>
      </c>
    </row>
    <row r="128" spans="1:9" x14ac:dyDescent="0.3">
      <c r="A128" s="44" t="str">
        <f>IF('Account Dump'!$I128=1, "Dupe", 'Account Dump'!A128)</f>
        <v>Dupe</v>
      </c>
      <c r="B128" s="6" t="str">
        <f>IF('Account Dump'!$I128=1, "Dupe", 'Account Dump'!B128)</f>
        <v>Dupe</v>
      </c>
      <c r="C128" s="6" t="str">
        <f>IF('Account Dump'!$I128=1, "Dupe", 'Account Dump'!C128)</f>
        <v>Dupe</v>
      </c>
      <c r="D128" s="6" t="str">
        <f>IF('Account Dump'!$I128=1, "Dupe", 'Account Dump'!D128)</f>
        <v>Dupe</v>
      </c>
      <c r="F128" s="6" t="str">
        <f>IF('Account Dump'!$I128=1, "Dupe", "")</f>
        <v>Dupe</v>
      </c>
      <c r="G128" s="6" t="str">
        <f>IF(AND('Account Dump'!$I128=1,'Account Dump'!$I129=1), "Dupe", 'Account Dump'!G128)</f>
        <v>Dupe</v>
      </c>
      <c r="H128" s="6" t="str">
        <f>IF(AND('Account Dump'!$I128=1,'Account Dump'!$I129=1), "Dupe", 'Account Dump'!H128)</f>
        <v>Dupe</v>
      </c>
      <c r="I128" s="45" t="str">
        <f>IF(AND('Account Dump'!$I128=1,'Account Dump'!$I129=1), "Dupe", 'Account Dump'!I128)</f>
        <v>Dupe</v>
      </c>
    </row>
    <row r="129" spans="1:9" x14ac:dyDescent="0.3">
      <c r="A129" s="44" t="str">
        <f>IF('Account Dump'!$I129=1, "Dupe", 'Account Dump'!A129)</f>
        <v>Dupe</v>
      </c>
      <c r="B129" s="6" t="str">
        <f>IF('Account Dump'!$I129=1, "Dupe", 'Account Dump'!B129)</f>
        <v>Dupe</v>
      </c>
      <c r="C129" s="6" t="str">
        <f>IF('Account Dump'!$I129=1, "Dupe", 'Account Dump'!C129)</f>
        <v>Dupe</v>
      </c>
      <c r="D129" s="6" t="str">
        <f>IF('Account Dump'!$I129=1, "Dupe", 'Account Dump'!D129)</f>
        <v>Dupe</v>
      </c>
      <c r="E129">
        <v>0</v>
      </c>
      <c r="F129" s="6" t="str">
        <f>IF('Account Dump'!$I129=1, "Dupe", "")</f>
        <v>Dupe</v>
      </c>
      <c r="G129" s="6" t="str">
        <f>IF(AND('Account Dump'!$I129=1,'Account Dump'!$I130=1), "Dupe", 'Account Dump'!G129)</f>
        <v>Dupe</v>
      </c>
      <c r="H129" s="6" t="str">
        <f>IF(AND('Account Dump'!$I129=1,'Account Dump'!$I130=1), "Dupe", 'Account Dump'!H129)</f>
        <v>Dupe</v>
      </c>
      <c r="I129" s="45" t="str">
        <f>IF(AND('Account Dump'!$I129=1,'Account Dump'!$I130=1), "Dupe", 'Account Dump'!I129)</f>
        <v>Dupe</v>
      </c>
    </row>
    <row r="130" spans="1:9" x14ac:dyDescent="0.3">
      <c r="A130" s="44" t="str">
        <f>IF('Account Dump'!$I130=1, "Dupe", 'Account Dump'!A130)</f>
        <v>Dupe</v>
      </c>
      <c r="B130" s="6" t="str">
        <f>IF('Account Dump'!$I130=1, "Dupe", 'Account Dump'!B130)</f>
        <v>Dupe</v>
      </c>
      <c r="C130" s="6" t="str">
        <f>IF('Account Dump'!$I130=1, "Dupe", 'Account Dump'!C130)</f>
        <v>Dupe</v>
      </c>
      <c r="D130" s="6" t="str">
        <f>IF('Account Dump'!$I130=1, "Dupe", 'Account Dump'!D130)</f>
        <v>Dupe</v>
      </c>
      <c r="E130">
        <v>0</v>
      </c>
      <c r="F130" s="6" t="str">
        <f>IF('Account Dump'!$I130=1, "Dupe", "")</f>
        <v>Dupe</v>
      </c>
      <c r="G130" s="6" t="str">
        <f>IF(AND('Account Dump'!$I130=1,'Account Dump'!$I131=1), "Dupe", 'Account Dump'!G130)</f>
        <v>Dupe</v>
      </c>
      <c r="H130" s="6" t="str">
        <f>IF(AND('Account Dump'!$I130=1,'Account Dump'!$I131=1), "Dupe", 'Account Dump'!H130)</f>
        <v>Dupe</v>
      </c>
      <c r="I130" s="45" t="str">
        <f>IF(AND('Account Dump'!$I130=1,'Account Dump'!$I131=1), "Dupe", 'Account Dump'!I130)</f>
        <v>Dupe</v>
      </c>
    </row>
    <row r="131" spans="1:9" x14ac:dyDescent="0.3">
      <c r="A131" s="44" t="str">
        <f>IF('Account Dump'!$I131=1, "Dupe", 'Account Dump'!A131)</f>
        <v>Dupe</v>
      </c>
      <c r="B131" s="6" t="str">
        <f>IF('Account Dump'!$I131=1, "Dupe", 'Account Dump'!B131)</f>
        <v>Dupe</v>
      </c>
      <c r="C131" s="6" t="str">
        <f>IF('Account Dump'!$I131=1, "Dupe", 'Account Dump'!C131)</f>
        <v>Dupe</v>
      </c>
      <c r="D131" s="6" t="str">
        <f>IF('Account Dump'!$I131=1, "Dupe", 'Account Dump'!D131)</f>
        <v>Dupe</v>
      </c>
      <c r="E131">
        <v>0</v>
      </c>
      <c r="F131" s="6" t="str">
        <f>IF('Account Dump'!$I131=1, "Dupe", "")</f>
        <v>Dupe</v>
      </c>
      <c r="G131" s="6" t="str">
        <f>IF(AND('Account Dump'!$I131=1,'Account Dump'!$I132=1), "Dupe", 'Account Dump'!G131)</f>
        <v>Dupe</v>
      </c>
      <c r="H131" s="6" t="str">
        <f>IF(AND('Account Dump'!$I131=1,'Account Dump'!$I132=1), "Dupe", 'Account Dump'!H131)</f>
        <v>Dupe</v>
      </c>
      <c r="I131" s="45" t="str">
        <f>IF(AND('Account Dump'!$I131=1,'Account Dump'!$I132=1), "Dupe", 'Account Dump'!I131)</f>
        <v>Dupe</v>
      </c>
    </row>
    <row r="132" spans="1:9" x14ac:dyDescent="0.3">
      <c r="A132" s="44" t="str">
        <f>IF('Account Dump'!$I132=1, "Dupe", 'Account Dump'!A132)</f>
        <v>Dupe</v>
      </c>
      <c r="B132" s="6" t="str">
        <f>IF('Account Dump'!$I132=1, "Dupe", 'Account Dump'!B132)</f>
        <v>Dupe</v>
      </c>
      <c r="C132" s="6" t="str">
        <f>IF('Account Dump'!$I132=1, "Dupe", 'Account Dump'!C132)</f>
        <v>Dupe</v>
      </c>
      <c r="D132" s="6" t="str">
        <f>IF('Account Dump'!$I132=1, "Dupe", 'Account Dump'!D132)</f>
        <v>Dupe</v>
      </c>
      <c r="E132">
        <v>0</v>
      </c>
      <c r="F132" s="6" t="str">
        <f>IF('Account Dump'!$I132=1, "Dupe", "")</f>
        <v>Dupe</v>
      </c>
      <c r="G132" s="6" t="str">
        <f>IF(AND('Account Dump'!$I132=1,'Account Dump'!$I133=1), "Dupe", 'Account Dump'!G132)</f>
        <v>Dupe</v>
      </c>
      <c r="H132" s="6" t="str">
        <f>IF(AND('Account Dump'!$I132=1,'Account Dump'!$I133=1), "Dupe", 'Account Dump'!H132)</f>
        <v>Dupe</v>
      </c>
      <c r="I132" s="45" t="str">
        <f>IF(AND('Account Dump'!$I132=1,'Account Dump'!$I133=1), "Dupe", 'Account Dump'!I132)</f>
        <v>Dupe</v>
      </c>
    </row>
    <row r="133" spans="1:9" x14ac:dyDescent="0.3">
      <c r="A133" s="44" t="str">
        <f>IF('Account Dump'!$I133=1, "Dupe", 'Account Dump'!A133)</f>
        <v>Dupe</v>
      </c>
      <c r="B133" s="6" t="str">
        <f>IF('Account Dump'!$I133=1, "Dupe", 'Account Dump'!B133)</f>
        <v>Dupe</v>
      </c>
      <c r="C133" s="6" t="str">
        <f>IF('Account Dump'!$I133=1, "Dupe", 'Account Dump'!C133)</f>
        <v>Dupe</v>
      </c>
      <c r="D133" s="6" t="str">
        <f>IF('Account Dump'!$I133=1, "Dupe", 'Account Dump'!D133)</f>
        <v>Dupe</v>
      </c>
      <c r="E133">
        <v>0</v>
      </c>
      <c r="F133" s="6" t="str">
        <f>IF('Account Dump'!$I133=1, "Dupe", "")</f>
        <v>Dupe</v>
      </c>
      <c r="G133" s="6" t="str">
        <f>IF(AND('Account Dump'!$I133=1,'Account Dump'!$I134=1), "Dupe", 'Account Dump'!G133)</f>
        <v>Dupe</v>
      </c>
      <c r="H133" s="6" t="str">
        <f>IF(AND('Account Dump'!$I133=1,'Account Dump'!$I134=1), "Dupe", 'Account Dump'!H133)</f>
        <v>Dupe</v>
      </c>
      <c r="I133" s="45" t="str">
        <f>IF(AND('Account Dump'!$I133=1,'Account Dump'!$I134=1), "Dupe", 'Account Dump'!I133)</f>
        <v>Dupe</v>
      </c>
    </row>
    <row r="134" spans="1:9" x14ac:dyDescent="0.3">
      <c r="A134" s="44" t="str">
        <f>IF('Account Dump'!$I134=1, "Dupe", 'Account Dump'!A134)</f>
        <v>Dupe</v>
      </c>
      <c r="B134" s="6" t="str">
        <f>IF('Account Dump'!$I134=1, "Dupe", 'Account Dump'!B134)</f>
        <v>Dupe</v>
      </c>
      <c r="C134" s="6" t="str">
        <f>IF('Account Dump'!$I134=1, "Dupe", 'Account Dump'!C134)</f>
        <v>Dupe</v>
      </c>
      <c r="D134" s="6" t="str">
        <f>IF('Account Dump'!$I134=1, "Dupe", 'Account Dump'!D134)</f>
        <v>Dupe</v>
      </c>
      <c r="E134">
        <v>0</v>
      </c>
      <c r="F134" s="6" t="str">
        <f>IF('Account Dump'!$I134=1, "Dupe", "")</f>
        <v>Dupe</v>
      </c>
      <c r="G134" s="6" t="str">
        <f>IF(AND('Account Dump'!$I134=1,'Account Dump'!$I135=1), "Dupe", 'Account Dump'!G134)</f>
        <v>Dupe</v>
      </c>
      <c r="H134" s="6" t="str">
        <f>IF(AND('Account Dump'!$I134=1,'Account Dump'!$I135=1), "Dupe", 'Account Dump'!H134)</f>
        <v>Dupe</v>
      </c>
      <c r="I134" s="45" t="str">
        <f>IF(AND('Account Dump'!$I134=1,'Account Dump'!$I135=1), "Dupe", 'Account Dump'!I134)</f>
        <v>Dupe</v>
      </c>
    </row>
    <row r="135" spans="1:9" x14ac:dyDescent="0.3">
      <c r="A135" s="44" t="str">
        <f>IF('Account Dump'!$I135=1, "Dupe", 'Account Dump'!A135)</f>
        <v>Dupe</v>
      </c>
      <c r="B135" s="6" t="str">
        <f>IF('Account Dump'!$I135=1, "Dupe", 'Account Dump'!B135)</f>
        <v>Dupe</v>
      </c>
      <c r="C135" s="6" t="str">
        <f>IF('Account Dump'!$I135=1, "Dupe", 'Account Dump'!C135)</f>
        <v>Dupe</v>
      </c>
      <c r="D135" s="6" t="str">
        <f>IF('Account Dump'!$I135=1, "Dupe", 'Account Dump'!D135)</f>
        <v>Dupe</v>
      </c>
      <c r="E135">
        <v>0</v>
      </c>
      <c r="F135" s="6" t="str">
        <f>IF('Account Dump'!$I135=1, "Dupe", "")</f>
        <v>Dupe</v>
      </c>
      <c r="G135" s="6" t="str">
        <f>IF(AND('Account Dump'!$I135=1,'Account Dump'!$I136=1), "Dupe", 'Account Dump'!G135)</f>
        <v>Dupe</v>
      </c>
      <c r="H135" s="6" t="str">
        <f>IF(AND('Account Dump'!$I135=1,'Account Dump'!$I136=1), "Dupe", 'Account Dump'!H135)</f>
        <v>Dupe</v>
      </c>
      <c r="I135" s="45" t="str">
        <f>IF(AND('Account Dump'!$I135=1,'Account Dump'!$I136=1), "Dupe", 'Account Dump'!I135)</f>
        <v>Dupe</v>
      </c>
    </row>
    <row r="136" spans="1:9" x14ac:dyDescent="0.3">
      <c r="A136" s="44" t="str">
        <f>IF('Account Dump'!$I136=1, "Dupe", 'Account Dump'!A136)</f>
        <v>Dupe</v>
      </c>
      <c r="B136" s="6" t="str">
        <f>IF('Account Dump'!$I136=1, "Dupe", 'Account Dump'!B136)</f>
        <v>Dupe</v>
      </c>
      <c r="C136" s="6" t="str">
        <f>IF('Account Dump'!$I136=1, "Dupe", 'Account Dump'!C136)</f>
        <v>Dupe</v>
      </c>
      <c r="D136" s="6" t="str">
        <f>IF('Account Dump'!$I136=1, "Dupe", 'Account Dump'!D136)</f>
        <v>Dupe</v>
      </c>
      <c r="E136">
        <v>0</v>
      </c>
      <c r="F136" s="6" t="str">
        <f>IF('Account Dump'!$I136=1, "Dupe", "")</f>
        <v>Dupe</v>
      </c>
      <c r="G136" s="6" t="str">
        <f>IF(AND('Account Dump'!$I136=1,'Account Dump'!$I137=1), "Dupe", 'Account Dump'!G136)</f>
        <v>Dupe</v>
      </c>
      <c r="H136" s="6" t="str">
        <f>IF(AND('Account Dump'!$I136=1,'Account Dump'!$I137=1), "Dupe", 'Account Dump'!H136)</f>
        <v>Dupe</v>
      </c>
      <c r="I136" s="45" t="str">
        <f>IF(AND('Account Dump'!$I136=1,'Account Dump'!$I137=1), "Dupe", 'Account Dump'!I136)</f>
        <v>Dupe</v>
      </c>
    </row>
    <row r="137" spans="1:9" x14ac:dyDescent="0.3">
      <c r="A137" s="44" t="str">
        <f>IF('Account Dump'!$I137=1, "Dupe", 'Account Dump'!A137)</f>
        <v>Dupe</v>
      </c>
      <c r="B137" s="6" t="str">
        <f>IF('Account Dump'!$I137=1, "Dupe", 'Account Dump'!B137)</f>
        <v>Dupe</v>
      </c>
      <c r="C137" s="6" t="str">
        <f>IF('Account Dump'!$I137=1, "Dupe", 'Account Dump'!C137)</f>
        <v>Dupe</v>
      </c>
      <c r="D137" s="6" t="str">
        <f>IF('Account Dump'!$I137=1, "Dupe", 'Account Dump'!D137)</f>
        <v>Dupe</v>
      </c>
      <c r="E137">
        <v>0</v>
      </c>
      <c r="F137" s="6" t="str">
        <f>IF('Account Dump'!$I137=1, "Dupe", "")</f>
        <v>Dupe</v>
      </c>
      <c r="G137" s="6" t="str">
        <f>IF(AND('Account Dump'!$I137=1,'Account Dump'!$I138=1), "Dupe", 'Account Dump'!G137)</f>
        <v>Dupe</v>
      </c>
      <c r="H137" s="6" t="str">
        <f>IF(AND('Account Dump'!$I137=1,'Account Dump'!$I138=1), "Dupe", 'Account Dump'!H137)</f>
        <v>Dupe</v>
      </c>
      <c r="I137" s="45" t="str">
        <f>IF(AND('Account Dump'!$I137=1,'Account Dump'!$I138=1), "Dupe", 'Account Dump'!I137)</f>
        <v>Dupe</v>
      </c>
    </row>
    <row r="138" spans="1:9" x14ac:dyDescent="0.3">
      <c r="A138" s="44" t="str">
        <f>IF('Account Dump'!$I138=1, "Dupe", 'Account Dump'!A138)</f>
        <v>Dupe</v>
      </c>
      <c r="B138" s="6" t="str">
        <f>IF('Account Dump'!$I138=1, "Dupe", 'Account Dump'!B138)</f>
        <v>Dupe</v>
      </c>
      <c r="C138" s="6" t="str">
        <f>IF('Account Dump'!$I138=1, "Dupe", 'Account Dump'!C138)</f>
        <v>Dupe</v>
      </c>
      <c r="D138" s="6" t="str">
        <f>IF('Account Dump'!$I138=1, "Dupe", 'Account Dump'!D138)</f>
        <v>Dupe</v>
      </c>
      <c r="E138">
        <v>0</v>
      </c>
      <c r="F138" s="6" t="str">
        <f>IF('Account Dump'!$I138=1, "Dupe", "")</f>
        <v>Dupe</v>
      </c>
      <c r="G138" s="6" t="str">
        <f>IF(AND('Account Dump'!$I138=1,'Account Dump'!$I139=1), "Dupe", 'Account Dump'!G138)</f>
        <v>Dupe</v>
      </c>
      <c r="H138" s="6" t="str">
        <f>IF(AND('Account Dump'!$I138=1,'Account Dump'!$I139=1), "Dupe", 'Account Dump'!H138)</f>
        <v>Dupe</v>
      </c>
      <c r="I138" s="45" t="str">
        <f>IF(AND('Account Dump'!$I138=1,'Account Dump'!$I139=1), "Dupe", 'Account Dump'!I138)</f>
        <v>Dupe</v>
      </c>
    </row>
    <row r="139" spans="1:9" x14ac:dyDescent="0.3">
      <c r="A139" s="44" t="str">
        <f>IF('Account Dump'!$I139=1, "Dupe", 'Account Dump'!A139)</f>
        <v>Dupe</v>
      </c>
      <c r="B139" s="6" t="str">
        <f>IF('Account Dump'!$I139=1, "Dupe", 'Account Dump'!B139)</f>
        <v>Dupe</v>
      </c>
      <c r="C139" s="6" t="str">
        <f>IF('Account Dump'!$I139=1, "Dupe", 'Account Dump'!C139)</f>
        <v>Dupe</v>
      </c>
      <c r="D139" s="6" t="str">
        <f>IF('Account Dump'!$I139=1, "Dupe", 'Account Dump'!D139)</f>
        <v>Dupe</v>
      </c>
      <c r="E139">
        <v>0</v>
      </c>
      <c r="F139" s="6" t="str">
        <f>IF('Account Dump'!$I139=1, "Dupe", "")</f>
        <v>Dupe</v>
      </c>
      <c r="G139" s="6" t="str">
        <f>IF(AND('Account Dump'!$I139=1,'Account Dump'!$I140=1), "Dupe", 'Account Dump'!G139)</f>
        <v>Dupe</v>
      </c>
      <c r="H139" s="6" t="str">
        <f>IF(AND('Account Dump'!$I139=1,'Account Dump'!$I140=1), "Dupe", 'Account Dump'!H139)</f>
        <v>Dupe</v>
      </c>
      <c r="I139" s="45" t="str">
        <f>IF(AND('Account Dump'!$I139=1,'Account Dump'!$I140=1), "Dupe", 'Account Dump'!I139)</f>
        <v>Dupe</v>
      </c>
    </row>
    <row r="140" spans="1:9" x14ac:dyDescent="0.3">
      <c r="A140" s="44" t="str">
        <f>IF('Account Dump'!$I140=1, "Dupe", 'Account Dump'!A140)</f>
        <v>Dupe</v>
      </c>
      <c r="B140" s="6" t="str">
        <f>IF('Account Dump'!$I140=1, "Dupe", 'Account Dump'!B140)</f>
        <v>Dupe</v>
      </c>
      <c r="C140" s="6" t="str">
        <f>IF('Account Dump'!$I140=1, "Dupe", 'Account Dump'!C140)</f>
        <v>Dupe</v>
      </c>
      <c r="D140" s="6" t="str">
        <f>IF('Account Dump'!$I140=1, "Dupe", 'Account Dump'!D140)</f>
        <v>Dupe</v>
      </c>
      <c r="E140">
        <v>0</v>
      </c>
      <c r="F140" s="6" t="str">
        <f>IF('Account Dump'!$I140=1, "Dupe", "")</f>
        <v>Dupe</v>
      </c>
      <c r="G140" s="6" t="str">
        <f>IF(AND('Account Dump'!$I140=1,'Account Dump'!$I141=1), "Dupe", 'Account Dump'!G140)</f>
        <v>Dupe</v>
      </c>
      <c r="H140" s="6" t="str">
        <f>IF(AND('Account Dump'!$I140=1,'Account Dump'!$I141=1), "Dupe", 'Account Dump'!H140)</f>
        <v>Dupe</v>
      </c>
      <c r="I140" s="45" t="str">
        <f>IF(AND('Account Dump'!$I140=1,'Account Dump'!$I141=1), "Dupe", 'Account Dump'!I140)</f>
        <v>Dupe</v>
      </c>
    </row>
    <row r="141" spans="1:9" x14ac:dyDescent="0.3">
      <c r="A141" s="44" t="str">
        <f>IF('Account Dump'!$I141=1, "Dupe", 'Account Dump'!A141)</f>
        <v>Dupe</v>
      </c>
      <c r="B141" s="6" t="str">
        <f>IF('Account Dump'!$I141=1, "Dupe", 'Account Dump'!B141)</f>
        <v>Dupe</v>
      </c>
      <c r="C141" s="6" t="str">
        <f>IF('Account Dump'!$I141=1, "Dupe", 'Account Dump'!C141)</f>
        <v>Dupe</v>
      </c>
      <c r="D141" s="6" t="str">
        <f>IF('Account Dump'!$I141=1, "Dupe", 'Account Dump'!D141)</f>
        <v>Dupe</v>
      </c>
      <c r="E141">
        <v>0</v>
      </c>
      <c r="F141" s="6" t="str">
        <f>IF('Account Dump'!$I141=1, "Dupe", "")</f>
        <v>Dupe</v>
      </c>
      <c r="G141" s="6" t="str">
        <f>IF(AND('Account Dump'!$I141=1,'Account Dump'!$I142=1), "Dupe", 'Account Dump'!G141)</f>
        <v>Dupe</v>
      </c>
      <c r="H141" s="6" t="str">
        <f>IF(AND('Account Dump'!$I141=1,'Account Dump'!$I142=1), "Dupe", 'Account Dump'!H141)</f>
        <v>Dupe</v>
      </c>
      <c r="I141" s="45" t="str">
        <f>IF(AND('Account Dump'!$I141=1,'Account Dump'!$I142=1), "Dupe", 'Account Dump'!I141)</f>
        <v>Dupe</v>
      </c>
    </row>
    <row r="142" spans="1:9" x14ac:dyDescent="0.3">
      <c r="A142" s="44" t="str">
        <f>IF('Account Dump'!$I142=1, "Dupe", 'Account Dump'!A142)</f>
        <v>Dupe</v>
      </c>
      <c r="B142" s="6" t="str">
        <f>IF('Account Dump'!$I142=1, "Dupe", 'Account Dump'!B142)</f>
        <v>Dupe</v>
      </c>
      <c r="C142" s="6" t="str">
        <f>IF('Account Dump'!$I142=1, "Dupe", 'Account Dump'!C142)</f>
        <v>Dupe</v>
      </c>
      <c r="D142" s="6" t="str">
        <f>IF('Account Dump'!$I142=1, "Dupe", 'Account Dump'!D142)</f>
        <v>Dupe</v>
      </c>
      <c r="E142">
        <v>0</v>
      </c>
      <c r="F142" s="6" t="str">
        <f>IF('Account Dump'!$I142=1, "Dupe", "")</f>
        <v>Dupe</v>
      </c>
      <c r="G142" s="6" t="str">
        <f>IF(AND('Account Dump'!$I142=1,'Account Dump'!$I143=1), "Dupe", 'Account Dump'!G142)</f>
        <v>Dupe</v>
      </c>
      <c r="H142" s="6" t="str">
        <f>IF(AND('Account Dump'!$I142=1,'Account Dump'!$I143=1), "Dupe", 'Account Dump'!H142)</f>
        <v>Dupe</v>
      </c>
      <c r="I142" s="45" t="str">
        <f>IF(AND('Account Dump'!$I142=1,'Account Dump'!$I143=1), "Dupe", 'Account Dump'!I142)</f>
        <v>Dupe</v>
      </c>
    </row>
    <row r="143" spans="1:9" x14ac:dyDescent="0.3">
      <c r="A143" s="44" t="str">
        <f>IF('Account Dump'!$I143=1, "Dupe", 'Account Dump'!A143)</f>
        <v>Dupe</v>
      </c>
      <c r="B143" s="6" t="str">
        <f>IF('Account Dump'!$I143=1, "Dupe", 'Account Dump'!B143)</f>
        <v>Dupe</v>
      </c>
      <c r="C143" s="6" t="str">
        <f>IF('Account Dump'!$I143=1, "Dupe", 'Account Dump'!C143)</f>
        <v>Dupe</v>
      </c>
      <c r="D143" s="6" t="str">
        <f>IF('Account Dump'!$I143=1, "Dupe", 'Account Dump'!D143)</f>
        <v>Dupe</v>
      </c>
      <c r="E143">
        <v>0</v>
      </c>
      <c r="F143" s="6" t="str">
        <f>IF('Account Dump'!$I143=1, "Dupe", "")</f>
        <v>Dupe</v>
      </c>
      <c r="G143" s="6" t="str">
        <f>IF(AND('Account Dump'!$I143=1,'Account Dump'!$I144=1), "Dupe", 'Account Dump'!G143)</f>
        <v>Dupe</v>
      </c>
      <c r="H143" s="6" t="str">
        <f>IF(AND('Account Dump'!$I143=1,'Account Dump'!$I144=1), "Dupe", 'Account Dump'!H143)</f>
        <v>Dupe</v>
      </c>
      <c r="I143" s="45" t="str">
        <f>IF(AND('Account Dump'!$I143=1,'Account Dump'!$I144=1), "Dupe", 'Account Dump'!I143)</f>
        <v>Dupe</v>
      </c>
    </row>
    <row r="144" spans="1:9" x14ac:dyDescent="0.3">
      <c r="A144" s="44" t="str">
        <f>IF('Account Dump'!$I144=1, "Dupe", 'Account Dump'!A144)</f>
        <v>Dupe</v>
      </c>
      <c r="B144" s="6" t="str">
        <f>IF('Account Dump'!$I144=1, "Dupe", 'Account Dump'!B144)</f>
        <v>Dupe</v>
      </c>
      <c r="C144" s="6" t="str">
        <f>IF('Account Dump'!$I144=1, "Dupe", 'Account Dump'!C144)</f>
        <v>Dupe</v>
      </c>
      <c r="D144" s="6" t="str">
        <f>IF('Account Dump'!$I144=1, "Dupe", 'Account Dump'!D144)</f>
        <v>Dupe</v>
      </c>
      <c r="E144">
        <v>0</v>
      </c>
      <c r="F144" s="6" t="str">
        <f>IF('Account Dump'!$I144=1, "Dupe", "")</f>
        <v>Dupe</v>
      </c>
      <c r="G144" s="6" t="str">
        <f>IF(AND('Account Dump'!$I144=1,'Account Dump'!$I145=1), "Dupe", 'Account Dump'!G144)</f>
        <v>Dupe</v>
      </c>
      <c r="H144" s="6" t="str">
        <f>IF(AND('Account Dump'!$I144=1,'Account Dump'!$I145=1), "Dupe", 'Account Dump'!H144)</f>
        <v>Dupe</v>
      </c>
      <c r="I144" s="45" t="str">
        <f>IF(AND('Account Dump'!$I144=1,'Account Dump'!$I145=1), "Dupe", 'Account Dump'!I144)</f>
        <v>Dupe</v>
      </c>
    </row>
    <row r="145" spans="1:9" x14ac:dyDescent="0.3">
      <c r="A145" s="44" t="str">
        <f>IF('Account Dump'!$I145=1, "Dupe", 'Account Dump'!A145)</f>
        <v>Dupe</v>
      </c>
      <c r="B145" s="6" t="str">
        <f>IF('Account Dump'!$I145=1, "Dupe", 'Account Dump'!B145)</f>
        <v>Dupe</v>
      </c>
      <c r="C145" s="6" t="str">
        <f>IF('Account Dump'!$I145=1, "Dupe", 'Account Dump'!C145)</f>
        <v>Dupe</v>
      </c>
      <c r="D145" s="6" t="str">
        <f>IF('Account Dump'!$I145=1, "Dupe", 'Account Dump'!D145)</f>
        <v>Dupe</v>
      </c>
      <c r="E145">
        <v>0</v>
      </c>
      <c r="F145" s="6" t="str">
        <f>IF('Account Dump'!$I145=1, "Dupe", "")</f>
        <v>Dupe</v>
      </c>
      <c r="G145" s="6" t="str">
        <f>IF(AND('Account Dump'!$I145=1,'Account Dump'!$I146=1), "Dupe", 'Account Dump'!G145)</f>
        <v>Dupe</v>
      </c>
      <c r="H145" s="6" t="str">
        <f>IF(AND('Account Dump'!$I145=1,'Account Dump'!$I146=1), "Dupe", 'Account Dump'!H145)</f>
        <v>Dupe</v>
      </c>
      <c r="I145" s="45" t="str">
        <f>IF(AND('Account Dump'!$I145=1,'Account Dump'!$I146=1), "Dupe", 'Account Dump'!I145)</f>
        <v>Dupe</v>
      </c>
    </row>
    <row r="146" spans="1:9" x14ac:dyDescent="0.3">
      <c r="A146" s="44" t="str">
        <f>IF('Account Dump'!$I146=1, "Dupe", 'Account Dump'!A146)</f>
        <v>Dupe</v>
      </c>
      <c r="B146" s="6" t="str">
        <f>IF('Account Dump'!$I146=1, "Dupe", 'Account Dump'!B146)</f>
        <v>Dupe</v>
      </c>
      <c r="C146" s="6" t="str">
        <f>IF('Account Dump'!$I146=1, "Dupe", 'Account Dump'!C146)</f>
        <v>Dupe</v>
      </c>
      <c r="D146" s="6" t="str">
        <f>IF('Account Dump'!$I146=1, "Dupe", 'Account Dump'!D146)</f>
        <v>Dupe</v>
      </c>
      <c r="E146">
        <v>0</v>
      </c>
      <c r="F146" s="6" t="str">
        <f>IF('Account Dump'!$I146=1, "Dupe", "")</f>
        <v>Dupe</v>
      </c>
      <c r="G146" s="6" t="str">
        <f>IF(AND('Account Dump'!$I146=1,'Account Dump'!$I147=1), "Dupe", 'Account Dump'!G146)</f>
        <v>Dupe</v>
      </c>
      <c r="H146" s="6" t="str">
        <f>IF(AND('Account Dump'!$I146=1,'Account Dump'!$I147=1), "Dupe", 'Account Dump'!H146)</f>
        <v>Dupe</v>
      </c>
      <c r="I146" s="45" t="str">
        <f>IF(AND('Account Dump'!$I146=1,'Account Dump'!$I147=1), "Dupe", 'Account Dump'!I146)</f>
        <v>Dupe</v>
      </c>
    </row>
    <row r="147" spans="1:9" x14ac:dyDescent="0.3">
      <c r="A147" s="44" t="str">
        <f>IF('Account Dump'!$I147=1, "Dupe", 'Account Dump'!A147)</f>
        <v>Dupe</v>
      </c>
      <c r="B147" s="6" t="str">
        <f>IF('Account Dump'!$I147=1, "Dupe", 'Account Dump'!B147)</f>
        <v>Dupe</v>
      </c>
      <c r="C147" s="6" t="str">
        <f>IF('Account Dump'!$I147=1, "Dupe", 'Account Dump'!C147)</f>
        <v>Dupe</v>
      </c>
      <c r="D147" s="6" t="str">
        <f>IF('Account Dump'!$I147=1, "Dupe", 'Account Dump'!D147)</f>
        <v>Dupe</v>
      </c>
      <c r="E147">
        <v>0</v>
      </c>
      <c r="F147" s="6" t="str">
        <f>IF('Account Dump'!$I147=1, "Dupe", "")</f>
        <v>Dupe</v>
      </c>
      <c r="G147" s="6" t="str">
        <f>IF(AND('Account Dump'!$I147=1,'Account Dump'!$I148=1), "Dupe", 'Account Dump'!G147)</f>
        <v>Dupe</v>
      </c>
      <c r="H147" s="6" t="str">
        <f>IF(AND('Account Dump'!$I147=1,'Account Dump'!$I148=1), "Dupe", 'Account Dump'!H147)</f>
        <v>Dupe</v>
      </c>
      <c r="I147" s="45" t="str">
        <f>IF(AND('Account Dump'!$I147=1,'Account Dump'!$I148=1), "Dupe", 'Account Dump'!I147)</f>
        <v>Dupe</v>
      </c>
    </row>
    <row r="148" spans="1:9" x14ac:dyDescent="0.3">
      <c r="A148" s="44" t="str">
        <f>IF('Account Dump'!$I148=1, "Dupe", 'Account Dump'!A148)</f>
        <v>Dupe</v>
      </c>
      <c r="B148" s="6" t="str">
        <f>IF('Account Dump'!$I148=1, "Dupe", 'Account Dump'!B148)</f>
        <v>Dupe</v>
      </c>
      <c r="C148" s="6" t="str">
        <f>IF('Account Dump'!$I148=1, "Dupe", 'Account Dump'!C148)</f>
        <v>Dupe</v>
      </c>
      <c r="D148" s="6" t="str">
        <f>IF('Account Dump'!$I148=1, "Dupe", 'Account Dump'!D148)</f>
        <v>Dupe</v>
      </c>
      <c r="E148">
        <v>0</v>
      </c>
      <c r="F148" s="6" t="str">
        <f>IF('Account Dump'!$I148=1, "Dupe", "")</f>
        <v>Dupe</v>
      </c>
      <c r="G148" s="6" t="str">
        <f>IF(AND('Account Dump'!$I148=1,'Account Dump'!$I149=1), "Dupe", 'Account Dump'!G148)</f>
        <v>Dupe</v>
      </c>
      <c r="H148" s="6" t="str">
        <f>IF(AND('Account Dump'!$I148=1,'Account Dump'!$I149=1), "Dupe", 'Account Dump'!H148)</f>
        <v>Dupe</v>
      </c>
      <c r="I148" s="45" t="str">
        <f>IF(AND('Account Dump'!$I148=1,'Account Dump'!$I149=1), "Dupe", 'Account Dump'!I148)</f>
        <v>Dupe</v>
      </c>
    </row>
    <row r="149" spans="1:9" x14ac:dyDescent="0.3">
      <c r="A149" s="44" t="str">
        <f>IF('Account Dump'!$I149=1, "Dupe", 'Account Dump'!A149)</f>
        <v>Dupe</v>
      </c>
      <c r="B149" s="6" t="str">
        <f>IF('Account Dump'!$I149=1, "Dupe", 'Account Dump'!B149)</f>
        <v>Dupe</v>
      </c>
      <c r="C149" s="6" t="str">
        <f>IF('Account Dump'!$I149=1, "Dupe", 'Account Dump'!C149)</f>
        <v>Dupe</v>
      </c>
      <c r="D149" s="6" t="str">
        <f>IF('Account Dump'!$I149=1, "Dupe", 'Account Dump'!D149)</f>
        <v>Dupe</v>
      </c>
      <c r="E149">
        <v>0</v>
      </c>
      <c r="F149" s="6" t="str">
        <f>IF('Account Dump'!$I149=1, "Dupe", "")</f>
        <v>Dupe</v>
      </c>
      <c r="G149" s="6" t="str">
        <f>IF(AND('Account Dump'!$I149=1,'Account Dump'!$I150=1), "Dupe", 'Account Dump'!G149)</f>
        <v>Dupe</v>
      </c>
      <c r="H149" s="6" t="str">
        <f>IF(AND('Account Dump'!$I149=1,'Account Dump'!$I150=1), "Dupe", 'Account Dump'!H149)</f>
        <v>Dupe</v>
      </c>
      <c r="I149" s="45" t="str">
        <f>IF(AND('Account Dump'!$I149=1,'Account Dump'!$I150=1), "Dupe", 'Account Dump'!I149)</f>
        <v>Dupe</v>
      </c>
    </row>
    <row r="150" spans="1:9" x14ac:dyDescent="0.3">
      <c r="A150" s="44" t="str">
        <f>IF('Account Dump'!$I150=1, "Dupe", 'Account Dump'!A150)</f>
        <v>Dupe</v>
      </c>
      <c r="B150" s="6" t="str">
        <f>IF('Account Dump'!$I150=1, "Dupe", 'Account Dump'!B150)</f>
        <v>Dupe</v>
      </c>
      <c r="C150" s="6" t="str">
        <f>IF('Account Dump'!$I150=1, "Dupe", 'Account Dump'!C150)</f>
        <v>Dupe</v>
      </c>
      <c r="D150" s="6" t="str">
        <f>IF('Account Dump'!$I150=1, "Dupe", 'Account Dump'!D150)</f>
        <v>Dupe</v>
      </c>
      <c r="E150">
        <v>0</v>
      </c>
      <c r="F150" s="6" t="str">
        <f>IF('Account Dump'!$I150=1, "Dupe", "")</f>
        <v>Dupe</v>
      </c>
      <c r="G150" s="6" t="str">
        <f>IF(AND('Account Dump'!$I150=1,'Account Dump'!$I151=1), "Dupe", 'Account Dump'!G150)</f>
        <v>Dupe</v>
      </c>
      <c r="H150" s="6" t="str">
        <f>IF(AND('Account Dump'!$I150=1,'Account Dump'!$I151=1), "Dupe", 'Account Dump'!H150)</f>
        <v>Dupe</v>
      </c>
      <c r="I150" s="45" t="str">
        <f>IF(AND('Account Dump'!$I150=1,'Account Dump'!$I151=1), "Dupe", 'Account Dump'!I150)</f>
        <v>Dupe</v>
      </c>
    </row>
    <row r="151" spans="1:9" x14ac:dyDescent="0.3">
      <c r="A151" s="44" t="str">
        <f>IF('Account Dump'!$I151=1, "Dupe", 'Account Dump'!A151)</f>
        <v>Dupe</v>
      </c>
      <c r="B151" s="6" t="str">
        <f>IF('Account Dump'!$I151=1, "Dupe", 'Account Dump'!B151)</f>
        <v>Dupe</v>
      </c>
      <c r="C151" s="6" t="str">
        <f>IF('Account Dump'!$I151=1, "Dupe", 'Account Dump'!C151)</f>
        <v>Dupe</v>
      </c>
      <c r="D151" s="6" t="str">
        <f>IF('Account Dump'!$I151=1, "Dupe", 'Account Dump'!D151)</f>
        <v>Dupe</v>
      </c>
      <c r="E151">
        <v>0</v>
      </c>
      <c r="F151" s="6" t="str">
        <f>IF('Account Dump'!$I151=1, "Dupe", "")</f>
        <v>Dupe</v>
      </c>
      <c r="G151" s="6" t="str">
        <f>IF(AND('Account Dump'!$I151=1,'Account Dump'!$I152=1), "Dupe", 'Account Dump'!G151)</f>
        <v>Dupe</v>
      </c>
      <c r="H151" s="6" t="str">
        <f>IF(AND('Account Dump'!$I151=1,'Account Dump'!$I152=1), "Dupe", 'Account Dump'!H151)</f>
        <v>Dupe</v>
      </c>
      <c r="I151" s="45" t="str">
        <f>IF(AND('Account Dump'!$I151=1,'Account Dump'!$I152=1), "Dupe", 'Account Dump'!I151)</f>
        <v>Dupe</v>
      </c>
    </row>
    <row r="152" spans="1:9" x14ac:dyDescent="0.3">
      <c r="A152" s="44" t="str">
        <f>IF('Account Dump'!$I152=1, "Dupe", 'Account Dump'!A152)</f>
        <v>Dupe</v>
      </c>
      <c r="B152" s="6" t="str">
        <f>IF('Account Dump'!$I152=1, "Dupe", 'Account Dump'!B152)</f>
        <v>Dupe</v>
      </c>
      <c r="C152" s="6" t="str">
        <f>IF('Account Dump'!$I152=1, "Dupe", 'Account Dump'!C152)</f>
        <v>Dupe</v>
      </c>
      <c r="D152" s="6" t="str">
        <f>IF('Account Dump'!$I152=1, "Dupe", 'Account Dump'!D152)</f>
        <v>Dupe</v>
      </c>
      <c r="E152">
        <v>0</v>
      </c>
      <c r="F152" s="6" t="str">
        <f>IF('Account Dump'!$I152=1, "Dupe", "")</f>
        <v>Dupe</v>
      </c>
      <c r="G152" s="6" t="str">
        <f>IF(AND('Account Dump'!$I152=1,'Account Dump'!$I153=1), "Dupe", 'Account Dump'!G152)</f>
        <v>Dupe</v>
      </c>
      <c r="H152" s="6" t="str">
        <f>IF(AND('Account Dump'!$I152=1,'Account Dump'!$I153=1), "Dupe", 'Account Dump'!H152)</f>
        <v>Dupe</v>
      </c>
      <c r="I152" s="45" t="str">
        <f>IF(AND('Account Dump'!$I152=1,'Account Dump'!$I153=1), "Dupe", 'Account Dump'!I152)</f>
        <v>Dupe</v>
      </c>
    </row>
    <row r="153" spans="1:9" x14ac:dyDescent="0.3">
      <c r="A153" s="44" t="str">
        <f>IF('Account Dump'!$I153=1, "Dupe", 'Account Dump'!A153)</f>
        <v>Dupe</v>
      </c>
      <c r="B153" s="6" t="str">
        <f>IF('Account Dump'!$I153=1, "Dupe", 'Account Dump'!B153)</f>
        <v>Dupe</v>
      </c>
      <c r="C153" s="6" t="str">
        <f>IF('Account Dump'!$I153=1, "Dupe", 'Account Dump'!C153)</f>
        <v>Dupe</v>
      </c>
      <c r="D153" s="6" t="str">
        <f>IF('Account Dump'!$I153=1, "Dupe", 'Account Dump'!D153)</f>
        <v>Dupe</v>
      </c>
      <c r="E153">
        <v>0</v>
      </c>
      <c r="F153" s="6" t="str">
        <f>IF('Account Dump'!$I153=1, "Dupe", "")</f>
        <v>Dupe</v>
      </c>
      <c r="G153" s="6" t="str">
        <f>IF(AND('Account Dump'!$I153=1,'Account Dump'!$I154=1), "Dupe", 'Account Dump'!G153)</f>
        <v>Dupe</v>
      </c>
      <c r="H153" s="6" t="str">
        <f>IF(AND('Account Dump'!$I153=1,'Account Dump'!$I154=1), "Dupe", 'Account Dump'!H153)</f>
        <v>Dupe</v>
      </c>
      <c r="I153" s="45" t="str">
        <f>IF(AND('Account Dump'!$I153=1,'Account Dump'!$I154=1), "Dupe", 'Account Dump'!I153)</f>
        <v>Dupe</v>
      </c>
    </row>
    <row r="154" spans="1:9" x14ac:dyDescent="0.3">
      <c r="A154" s="44" t="str">
        <f>IF('Account Dump'!$I154=1, "Dupe", 'Account Dump'!A154)</f>
        <v>Dupe</v>
      </c>
      <c r="B154" s="6" t="str">
        <f>IF('Account Dump'!$I154=1, "Dupe", 'Account Dump'!B154)</f>
        <v>Dupe</v>
      </c>
      <c r="C154" s="6" t="str">
        <f>IF('Account Dump'!$I154=1, "Dupe", 'Account Dump'!C154)</f>
        <v>Dupe</v>
      </c>
      <c r="D154" s="6" t="str">
        <f>IF('Account Dump'!$I154=1, "Dupe", 'Account Dump'!D154)</f>
        <v>Dupe</v>
      </c>
      <c r="E154">
        <v>0</v>
      </c>
      <c r="F154" s="6" t="str">
        <f>IF('Account Dump'!$I154=1, "Dupe", "")</f>
        <v>Dupe</v>
      </c>
      <c r="G154" s="6" t="str">
        <f>IF(AND('Account Dump'!$I154=1,'Account Dump'!$I155=1), "Dupe", 'Account Dump'!G154)</f>
        <v>Dupe</v>
      </c>
      <c r="H154" s="6" t="str">
        <f>IF(AND('Account Dump'!$I154=1,'Account Dump'!$I155=1), "Dupe", 'Account Dump'!H154)</f>
        <v>Dupe</v>
      </c>
      <c r="I154" s="45" t="str">
        <f>IF(AND('Account Dump'!$I154=1,'Account Dump'!$I155=1), "Dupe", 'Account Dump'!I154)</f>
        <v>Dupe</v>
      </c>
    </row>
    <row r="155" spans="1:9" x14ac:dyDescent="0.3">
      <c r="A155" s="44" t="str">
        <f>IF('Account Dump'!$I155=1, "Dupe", 'Account Dump'!A155)</f>
        <v>Dupe</v>
      </c>
      <c r="B155" s="6" t="str">
        <f>IF('Account Dump'!$I155=1, "Dupe", 'Account Dump'!B155)</f>
        <v>Dupe</v>
      </c>
      <c r="C155" s="6" t="str">
        <f>IF('Account Dump'!$I155=1, "Dupe", 'Account Dump'!C155)</f>
        <v>Dupe</v>
      </c>
      <c r="D155" s="6" t="str">
        <f>IF('Account Dump'!$I155=1, "Dupe", 'Account Dump'!D155)</f>
        <v>Dupe</v>
      </c>
      <c r="E155">
        <v>0</v>
      </c>
      <c r="F155" s="6" t="str">
        <f>IF('Account Dump'!$I155=1, "Dupe", "")</f>
        <v>Dupe</v>
      </c>
      <c r="G155" s="6" t="str">
        <f>IF(AND('Account Dump'!$I155=1,'Account Dump'!$I156=1), "Dupe", 'Account Dump'!G155)</f>
        <v>Dupe</v>
      </c>
      <c r="H155" s="6" t="str">
        <f>IF(AND('Account Dump'!$I155=1,'Account Dump'!$I156=1), "Dupe", 'Account Dump'!H155)</f>
        <v>Dupe</v>
      </c>
      <c r="I155" s="45" t="str">
        <f>IF(AND('Account Dump'!$I155=1,'Account Dump'!$I156=1), "Dupe", 'Account Dump'!I155)</f>
        <v>Dupe</v>
      </c>
    </row>
    <row r="156" spans="1:9" x14ac:dyDescent="0.3">
      <c r="A156" s="44" t="str">
        <f>IF('Account Dump'!$I156=1, "Dupe", 'Account Dump'!A156)</f>
        <v>Dupe</v>
      </c>
      <c r="B156" s="6" t="str">
        <f>IF('Account Dump'!$I156=1, "Dupe", 'Account Dump'!B156)</f>
        <v>Dupe</v>
      </c>
      <c r="C156" s="6" t="str">
        <f>IF('Account Dump'!$I156=1, "Dupe", 'Account Dump'!C156)</f>
        <v>Dupe</v>
      </c>
      <c r="D156" s="6" t="str">
        <f>IF('Account Dump'!$I156=1, "Dupe", 'Account Dump'!D156)</f>
        <v>Dupe</v>
      </c>
      <c r="E156">
        <v>0</v>
      </c>
      <c r="F156" s="6" t="str">
        <f>IF('Account Dump'!$I156=1, "Dupe", "")</f>
        <v>Dupe</v>
      </c>
      <c r="G156" s="6" t="str">
        <f>IF(AND('Account Dump'!$I156=1,'Account Dump'!$I157=1), "Dupe", 'Account Dump'!G156)</f>
        <v>Dupe</v>
      </c>
      <c r="H156" s="6" t="str">
        <f>IF(AND('Account Dump'!$I156=1,'Account Dump'!$I157=1), "Dupe", 'Account Dump'!H156)</f>
        <v>Dupe</v>
      </c>
      <c r="I156" s="45" t="str">
        <f>IF(AND('Account Dump'!$I156=1,'Account Dump'!$I157=1), "Dupe", 'Account Dump'!I156)</f>
        <v>Dupe</v>
      </c>
    </row>
    <row r="157" spans="1:9" x14ac:dyDescent="0.3">
      <c r="A157" s="44" t="str">
        <f>IF('Account Dump'!$I157=1, "Dupe", 'Account Dump'!A157)</f>
        <v>Dupe</v>
      </c>
      <c r="B157" s="6" t="str">
        <f>IF('Account Dump'!$I157=1, "Dupe", 'Account Dump'!B157)</f>
        <v>Dupe</v>
      </c>
      <c r="C157" s="6" t="str">
        <f>IF('Account Dump'!$I157=1, "Dupe", 'Account Dump'!C157)</f>
        <v>Dupe</v>
      </c>
      <c r="D157" s="6" t="str">
        <f>IF('Account Dump'!$I157=1, "Dupe", 'Account Dump'!D157)</f>
        <v>Dupe</v>
      </c>
      <c r="E157">
        <v>0</v>
      </c>
      <c r="F157" s="6" t="str">
        <f>IF('Account Dump'!$I157=1, "Dupe", "")</f>
        <v>Dupe</v>
      </c>
      <c r="G157" s="6" t="str">
        <f>IF(AND('Account Dump'!$I157=1,'Account Dump'!$I158=1), "Dupe", 'Account Dump'!G157)</f>
        <v>Dupe</v>
      </c>
      <c r="H157" s="6" t="str">
        <f>IF(AND('Account Dump'!$I157=1,'Account Dump'!$I158=1), "Dupe", 'Account Dump'!H157)</f>
        <v>Dupe</v>
      </c>
      <c r="I157" s="45" t="str">
        <f>IF(AND('Account Dump'!$I157=1,'Account Dump'!$I158=1), "Dupe", 'Account Dump'!I157)</f>
        <v>Dupe</v>
      </c>
    </row>
    <row r="158" spans="1:9" x14ac:dyDescent="0.3">
      <c r="A158" s="44" t="str">
        <f>IF('Account Dump'!$I158=1, "Dupe", 'Account Dump'!A158)</f>
        <v>Dupe</v>
      </c>
      <c r="B158" s="6" t="str">
        <f>IF('Account Dump'!$I158=1, "Dupe", 'Account Dump'!B158)</f>
        <v>Dupe</v>
      </c>
      <c r="C158" s="6" t="str">
        <f>IF('Account Dump'!$I158=1, "Dupe", 'Account Dump'!C158)</f>
        <v>Dupe</v>
      </c>
      <c r="D158" s="6" t="str">
        <f>IF('Account Dump'!$I158=1, "Dupe", 'Account Dump'!D158)</f>
        <v>Dupe</v>
      </c>
      <c r="E158">
        <v>0</v>
      </c>
      <c r="F158" s="6" t="str">
        <f>IF('Account Dump'!$I158=1, "Dupe", "")</f>
        <v>Dupe</v>
      </c>
      <c r="G158" s="6" t="str">
        <f>IF(AND('Account Dump'!$I158=1,'Account Dump'!$I159=1), "Dupe", 'Account Dump'!G158)</f>
        <v>Dupe</v>
      </c>
      <c r="H158" s="6" t="str">
        <f>IF(AND('Account Dump'!$I158=1,'Account Dump'!$I159=1), "Dupe", 'Account Dump'!H158)</f>
        <v>Dupe</v>
      </c>
      <c r="I158" s="45" t="str">
        <f>IF(AND('Account Dump'!$I158=1,'Account Dump'!$I159=1), "Dupe", 'Account Dump'!I158)</f>
        <v>Dupe</v>
      </c>
    </row>
    <row r="159" spans="1:9" x14ac:dyDescent="0.3">
      <c r="A159" s="44" t="str">
        <f>IF('Account Dump'!$I159=1, "Dupe", 'Account Dump'!A159)</f>
        <v>Dupe</v>
      </c>
      <c r="B159" s="6" t="str">
        <f>IF('Account Dump'!$I159=1, "Dupe", 'Account Dump'!B159)</f>
        <v>Dupe</v>
      </c>
      <c r="C159" s="6" t="str">
        <f>IF('Account Dump'!$I159=1, "Dupe", 'Account Dump'!C159)</f>
        <v>Dupe</v>
      </c>
      <c r="D159" s="6" t="str">
        <f>IF('Account Dump'!$I159=1, "Dupe", 'Account Dump'!D159)</f>
        <v>Dupe</v>
      </c>
      <c r="E159">
        <v>0</v>
      </c>
      <c r="F159" s="6" t="str">
        <f>IF('Account Dump'!$I159=1, "Dupe", "")</f>
        <v>Dupe</v>
      </c>
      <c r="G159" s="6" t="str">
        <f>IF(AND('Account Dump'!$I159=1,'Account Dump'!$I160=1), "Dupe", 'Account Dump'!G159)</f>
        <v>Dupe</v>
      </c>
      <c r="H159" s="6" t="str">
        <f>IF(AND('Account Dump'!$I159=1,'Account Dump'!$I160=1), "Dupe", 'Account Dump'!H159)</f>
        <v>Dupe</v>
      </c>
      <c r="I159" s="45" t="str">
        <f>IF(AND('Account Dump'!$I159=1,'Account Dump'!$I160=1), "Dupe", 'Account Dump'!I159)</f>
        <v>Dupe</v>
      </c>
    </row>
    <row r="160" spans="1:9" x14ac:dyDescent="0.3">
      <c r="A160" s="44" t="str">
        <f>IF('Account Dump'!$I160=1, "Dupe", 'Account Dump'!A160)</f>
        <v>Dupe</v>
      </c>
      <c r="B160" s="6" t="str">
        <f>IF('Account Dump'!$I160=1, "Dupe", 'Account Dump'!B160)</f>
        <v>Dupe</v>
      </c>
      <c r="C160" s="6" t="str">
        <f>IF('Account Dump'!$I160=1, "Dupe", 'Account Dump'!C160)</f>
        <v>Dupe</v>
      </c>
      <c r="D160" s="6" t="str">
        <f>IF('Account Dump'!$I160=1, "Dupe", 'Account Dump'!D160)</f>
        <v>Dupe</v>
      </c>
      <c r="E160">
        <v>0</v>
      </c>
      <c r="F160" s="6" t="str">
        <f>IF('Account Dump'!$I160=1, "Dupe", "")</f>
        <v>Dupe</v>
      </c>
      <c r="G160" s="6" t="str">
        <f>IF(AND('Account Dump'!$I160=1,'Account Dump'!$I161=1), "Dupe", 'Account Dump'!G160)</f>
        <v>Dupe</v>
      </c>
      <c r="H160" s="6" t="str">
        <f>IF(AND('Account Dump'!$I160=1,'Account Dump'!$I161=1), "Dupe", 'Account Dump'!H160)</f>
        <v>Dupe</v>
      </c>
      <c r="I160" s="45" t="str">
        <f>IF(AND('Account Dump'!$I160=1,'Account Dump'!$I161=1), "Dupe", 'Account Dump'!I160)</f>
        <v>Dupe</v>
      </c>
    </row>
    <row r="161" spans="1:9" x14ac:dyDescent="0.3">
      <c r="A161" s="44" t="str">
        <f>IF('Account Dump'!$I161=1, "Dupe", 'Account Dump'!A161)</f>
        <v>Dupe</v>
      </c>
      <c r="B161" s="6" t="str">
        <f>IF('Account Dump'!$I161=1, "Dupe", 'Account Dump'!B161)</f>
        <v>Dupe</v>
      </c>
      <c r="C161" s="6" t="str">
        <f>IF('Account Dump'!$I161=1, "Dupe", 'Account Dump'!C161)</f>
        <v>Dupe</v>
      </c>
      <c r="D161" s="6" t="str">
        <f>IF('Account Dump'!$I161=1, "Dupe", 'Account Dump'!D161)</f>
        <v>Dupe</v>
      </c>
      <c r="E161">
        <v>0</v>
      </c>
      <c r="F161" s="6" t="str">
        <f>IF('Account Dump'!$I161=1, "Dupe", "")</f>
        <v>Dupe</v>
      </c>
      <c r="G161" s="6" t="str">
        <f>IF(AND('Account Dump'!$I161=1,'Account Dump'!$I162=1), "Dupe", 'Account Dump'!G161)</f>
        <v>Dupe</v>
      </c>
      <c r="H161" s="6" t="str">
        <f>IF(AND('Account Dump'!$I161=1,'Account Dump'!$I162=1), "Dupe", 'Account Dump'!H161)</f>
        <v>Dupe</v>
      </c>
      <c r="I161" s="45" t="str">
        <f>IF(AND('Account Dump'!$I161=1,'Account Dump'!$I162=1), "Dupe", 'Account Dump'!I161)</f>
        <v>Dupe</v>
      </c>
    </row>
    <row r="162" spans="1:9" x14ac:dyDescent="0.3">
      <c r="A162" s="44" t="str">
        <f>IF('Account Dump'!$I162=1, "Dupe", 'Account Dump'!A162)</f>
        <v>Dupe</v>
      </c>
      <c r="B162" s="6" t="str">
        <f>IF('Account Dump'!$I162=1, "Dupe", 'Account Dump'!B162)</f>
        <v>Dupe</v>
      </c>
      <c r="C162" s="6" t="str">
        <f>IF('Account Dump'!$I162=1, "Dupe", 'Account Dump'!C162)</f>
        <v>Dupe</v>
      </c>
      <c r="D162" s="6" t="str">
        <f>IF('Account Dump'!$I162=1, "Dupe", 'Account Dump'!D162)</f>
        <v>Dupe</v>
      </c>
      <c r="E162">
        <v>0</v>
      </c>
      <c r="F162" s="6" t="str">
        <f>IF('Account Dump'!$I162=1, "Dupe", "")</f>
        <v>Dupe</v>
      </c>
      <c r="G162" s="6" t="str">
        <f>IF(AND('Account Dump'!$I162=1,'Account Dump'!$I163=1), "Dupe", 'Account Dump'!G162)</f>
        <v>Dupe</v>
      </c>
      <c r="H162" s="6" t="str">
        <f>IF(AND('Account Dump'!$I162=1,'Account Dump'!$I163=1), "Dupe", 'Account Dump'!H162)</f>
        <v>Dupe</v>
      </c>
      <c r="I162" s="45" t="str">
        <f>IF(AND('Account Dump'!$I162=1,'Account Dump'!$I163=1), "Dupe", 'Account Dump'!I162)</f>
        <v>Dupe</v>
      </c>
    </row>
    <row r="163" spans="1:9" x14ac:dyDescent="0.3">
      <c r="A163" s="44" t="str">
        <f>IF('Account Dump'!$I163=1, "Dupe", 'Account Dump'!A163)</f>
        <v>Dupe</v>
      </c>
      <c r="B163" s="6" t="str">
        <f>IF('Account Dump'!$I163=1, "Dupe", 'Account Dump'!B163)</f>
        <v>Dupe</v>
      </c>
      <c r="C163" s="6" t="str">
        <f>IF('Account Dump'!$I163=1, "Dupe", 'Account Dump'!C163)</f>
        <v>Dupe</v>
      </c>
      <c r="D163" s="6" t="str">
        <f>IF('Account Dump'!$I163=1, "Dupe", 'Account Dump'!D163)</f>
        <v>Dupe</v>
      </c>
      <c r="E163">
        <v>0</v>
      </c>
      <c r="F163" s="6" t="str">
        <f>IF('Account Dump'!$I163=1, "Dupe", "")</f>
        <v>Dupe</v>
      </c>
      <c r="G163" s="6" t="str">
        <f>IF(AND('Account Dump'!$I163=1,'Account Dump'!$I164=1), "Dupe", 'Account Dump'!G163)</f>
        <v>Dupe</v>
      </c>
      <c r="H163" s="6" t="str">
        <f>IF(AND('Account Dump'!$I163=1,'Account Dump'!$I164=1), "Dupe", 'Account Dump'!H163)</f>
        <v>Dupe</v>
      </c>
      <c r="I163" s="45" t="str">
        <f>IF(AND('Account Dump'!$I163=1,'Account Dump'!$I164=1), "Dupe", 'Account Dump'!I163)</f>
        <v>Dupe</v>
      </c>
    </row>
    <row r="164" spans="1:9" x14ac:dyDescent="0.3">
      <c r="A164" s="44" t="str">
        <f>IF('Account Dump'!$I164=1, "Dupe", 'Account Dump'!A164)</f>
        <v>Dupe</v>
      </c>
      <c r="B164" s="6" t="str">
        <f>IF('Account Dump'!$I164=1, "Dupe", 'Account Dump'!B164)</f>
        <v>Dupe</v>
      </c>
      <c r="C164" s="6" t="str">
        <f>IF('Account Dump'!$I164=1, "Dupe", 'Account Dump'!C164)</f>
        <v>Dupe</v>
      </c>
      <c r="D164" s="6" t="str">
        <f>IF('Account Dump'!$I164=1, "Dupe", 'Account Dump'!D164)</f>
        <v>Dupe</v>
      </c>
      <c r="E164">
        <v>0</v>
      </c>
      <c r="F164" s="6" t="str">
        <f>IF('Account Dump'!$I164=1, "Dupe", "")</f>
        <v>Dupe</v>
      </c>
      <c r="G164" s="6" t="str">
        <f>IF(AND('Account Dump'!$I164=1,'Account Dump'!$I165=1), "Dupe", 'Account Dump'!G164)</f>
        <v>Dupe</v>
      </c>
      <c r="H164" s="6" t="str">
        <f>IF(AND('Account Dump'!$I164=1,'Account Dump'!$I165=1), "Dupe", 'Account Dump'!H164)</f>
        <v>Dupe</v>
      </c>
      <c r="I164" s="45" t="str">
        <f>IF(AND('Account Dump'!$I164=1,'Account Dump'!$I165=1), "Dupe", 'Account Dump'!I164)</f>
        <v>Dupe</v>
      </c>
    </row>
    <row r="165" spans="1:9" x14ac:dyDescent="0.3">
      <c r="A165" s="44" t="str">
        <f>IF('Account Dump'!$I165=1, "Dupe", 'Account Dump'!A165)</f>
        <v>Dupe</v>
      </c>
      <c r="B165" s="6" t="str">
        <f>IF('Account Dump'!$I165=1, "Dupe", 'Account Dump'!B165)</f>
        <v>Dupe</v>
      </c>
      <c r="C165" s="6" t="str">
        <f>IF('Account Dump'!$I165=1, "Dupe", 'Account Dump'!C165)</f>
        <v>Dupe</v>
      </c>
      <c r="D165" s="6" t="str">
        <f>IF('Account Dump'!$I165=1, "Dupe", 'Account Dump'!D165)</f>
        <v>Dupe</v>
      </c>
      <c r="E165">
        <v>0</v>
      </c>
      <c r="F165" s="6" t="str">
        <f>IF('Account Dump'!$I165=1, "Dupe", "")</f>
        <v>Dupe</v>
      </c>
      <c r="G165" s="6" t="str">
        <f>IF(AND('Account Dump'!$I165=1,'Account Dump'!$I166=1), "Dupe", 'Account Dump'!G165)</f>
        <v>Dupe</v>
      </c>
      <c r="H165" s="6" t="str">
        <f>IF(AND('Account Dump'!$I165=1,'Account Dump'!$I166=1), "Dupe", 'Account Dump'!H165)</f>
        <v>Dupe</v>
      </c>
      <c r="I165" s="45" t="str">
        <f>IF(AND('Account Dump'!$I165=1,'Account Dump'!$I166=1), "Dupe", 'Account Dump'!I165)</f>
        <v>Dupe</v>
      </c>
    </row>
    <row r="166" spans="1:9" x14ac:dyDescent="0.3">
      <c r="A166" s="44" t="str">
        <f>IF('Account Dump'!$I166=1, "Dupe", 'Account Dump'!A166)</f>
        <v>Dupe</v>
      </c>
      <c r="B166" s="6" t="str">
        <f>IF('Account Dump'!$I166=1, "Dupe", 'Account Dump'!B166)</f>
        <v>Dupe</v>
      </c>
      <c r="C166" s="6" t="str">
        <f>IF('Account Dump'!$I166=1, "Dupe", 'Account Dump'!C166)</f>
        <v>Dupe</v>
      </c>
      <c r="D166" s="6" t="str">
        <f>IF('Account Dump'!$I166=1, "Dupe", 'Account Dump'!D166)</f>
        <v>Dupe</v>
      </c>
      <c r="E166">
        <v>0</v>
      </c>
      <c r="F166" s="6" t="str">
        <f>IF('Account Dump'!$I166=1, "Dupe", "")</f>
        <v>Dupe</v>
      </c>
      <c r="G166" s="6" t="str">
        <f>IF(AND('Account Dump'!$I166=1,'Account Dump'!$I167=1), "Dupe", 'Account Dump'!G166)</f>
        <v>Dupe</v>
      </c>
      <c r="H166" s="6" t="str">
        <f>IF(AND('Account Dump'!$I166=1,'Account Dump'!$I167=1), "Dupe", 'Account Dump'!H166)</f>
        <v>Dupe</v>
      </c>
      <c r="I166" s="45" t="str">
        <f>IF(AND('Account Dump'!$I166=1,'Account Dump'!$I167=1), "Dupe", 'Account Dump'!I166)</f>
        <v>Dupe</v>
      </c>
    </row>
    <row r="167" spans="1:9" x14ac:dyDescent="0.3">
      <c r="A167" s="44" t="str">
        <f>IF('Account Dump'!$I167=1, "Dupe", 'Account Dump'!A167)</f>
        <v>Dupe</v>
      </c>
      <c r="B167" s="6" t="str">
        <f>IF('Account Dump'!$I167=1, "Dupe", 'Account Dump'!B167)</f>
        <v>Dupe</v>
      </c>
      <c r="C167" s="6" t="str">
        <f>IF('Account Dump'!$I167=1, "Dupe", 'Account Dump'!C167)</f>
        <v>Dupe</v>
      </c>
      <c r="D167" s="6" t="str">
        <f>IF('Account Dump'!$I167=1, "Dupe", 'Account Dump'!D167)</f>
        <v>Dupe</v>
      </c>
      <c r="E167">
        <v>0</v>
      </c>
      <c r="F167" s="6" t="str">
        <f>IF('Account Dump'!$I167=1, "Dupe", "")</f>
        <v>Dupe</v>
      </c>
      <c r="G167" s="6" t="str">
        <f>IF(AND('Account Dump'!$I167=1,'Account Dump'!$I168=1), "Dupe", 'Account Dump'!G167)</f>
        <v>Dupe</v>
      </c>
      <c r="H167" s="6" t="str">
        <f>IF(AND('Account Dump'!$I167=1,'Account Dump'!$I168=1), "Dupe", 'Account Dump'!H167)</f>
        <v>Dupe</v>
      </c>
      <c r="I167" s="45" t="str">
        <f>IF(AND('Account Dump'!$I167=1,'Account Dump'!$I168=1), "Dupe", 'Account Dump'!I167)</f>
        <v>Dupe</v>
      </c>
    </row>
    <row r="168" spans="1:9" x14ac:dyDescent="0.3">
      <c r="A168" s="44" t="str">
        <f>IF('Account Dump'!$I168=1, "Dupe", 'Account Dump'!A168)</f>
        <v>Dupe</v>
      </c>
      <c r="B168" s="6" t="str">
        <f>IF('Account Dump'!$I168=1, "Dupe", 'Account Dump'!B168)</f>
        <v>Dupe</v>
      </c>
      <c r="C168" s="6" t="str">
        <f>IF('Account Dump'!$I168=1, "Dupe", 'Account Dump'!C168)</f>
        <v>Dupe</v>
      </c>
      <c r="D168" s="6" t="str">
        <f>IF('Account Dump'!$I168=1, "Dupe", 'Account Dump'!D168)</f>
        <v>Dupe</v>
      </c>
      <c r="E168">
        <v>0</v>
      </c>
      <c r="F168" s="6" t="str">
        <f>IF('Account Dump'!$I168=1, "Dupe", "")</f>
        <v>Dupe</v>
      </c>
      <c r="G168" s="6" t="str">
        <f>IF(AND('Account Dump'!$I168=1,'Account Dump'!$I169=1), "Dupe", 'Account Dump'!G168)</f>
        <v>Dupe</v>
      </c>
      <c r="H168" s="6" t="str">
        <f>IF(AND('Account Dump'!$I168=1,'Account Dump'!$I169=1), "Dupe", 'Account Dump'!H168)</f>
        <v>Dupe</v>
      </c>
      <c r="I168" s="45" t="str">
        <f>IF(AND('Account Dump'!$I168=1,'Account Dump'!$I169=1), "Dupe", 'Account Dump'!I168)</f>
        <v>Dupe</v>
      </c>
    </row>
    <row r="169" spans="1:9" x14ac:dyDescent="0.3">
      <c r="A169" s="44" t="str">
        <f>IF('Account Dump'!$I169=1, "Dupe", 'Account Dump'!A169)</f>
        <v>Dupe</v>
      </c>
      <c r="B169" s="6" t="str">
        <f>IF('Account Dump'!$I169=1, "Dupe", 'Account Dump'!B169)</f>
        <v>Dupe</v>
      </c>
      <c r="C169" s="6" t="str">
        <f>IF('Account Dump'!$I169=1, "Dupe", 'Account Dump'!C169)</f>
        <v>Dupe</v>
      </c>
      <c r="D169" s="6" t="str">
        <f>IF('Account Dump'!$I169=1, "Dupe", 'Account Dump'!D169)</f>
        <v>Dupe</v>
      </c>
      <c r="E169">
        <v>0</v>
      </c>
      <c r="F169" s="6" t="str">
        <f>IF('Account Dump'!$I169=1, "Dupe", "")</f>
        <v>Dupe</v>
      </c>
      <c r="G169" s="6" t="str">
        <f>IF(AND('Account Dump'!$I169=1,'Account Dump'!$I170=1), "Dupe", 'Account Dump'!G169)</f>
        <v>Dupe</v>
      </c>
      <c r="H169" s="6" t="str">
        <f>IF(AND('Account Dump'!$I169=1,'Account Dump'!$I170=1), "Dupe", 'Account Dump'!H169)</f>
        <v>Dupe</v>
      </c>
      <c r="I169" s="45" t="str">
        <f>IF(AND('Account Dump'!$I169=1,'Account Dump'!$I170=1), "Dupe", 'Account Dump'!I169)</f>
        <v>Dupe</v>
      </c>
    </row>
    <row r="170" spans="1:9" x14ac:dyDescent="0.3">
      <c r="A170" s="44" t="str">
        <f>IF('Account Dump'!$I170=1, "Dupe", 'Account Dump'!A170)</f>
        <v>Dupe</v>
      </c>
      <c r="B170" s="6" t="str">
        <f>IF('Account Dump'!$I170=1, "Dupe", 'Account Dump'!B170)</f>
        <v>Dupe</v>
      </c>
      <c r="C170" s="6" t="str">
        <f>IF('Account Dump'!$I170=1, "Dupe", 'Account Dump'!C170)</f>
        <v>Dupe</v>
      </c>
      <c r="D170" s="6" t="str">
        <f>IF('Account Dump'!$I170=1, "Dupe", 'Account Dump'!D170)</f>
        <v>Dupe</v>
      </c>
      <c r="E170">
        <v>0</v>
      </c>
      <c r="F170" s="6" t="str">
        <f>IF('Account Dump'!$I170=1, "Dupe", "")</f>
        <v>Dupe</v>
      </c>
      <c r="G170" s="6" t="str">
        <f>IF(AND('Account Dump'!$I170=1,'Account Dump'!$I171=1), "Dupe", 'Account Dump'!G170)</f>
        <v>Dupe</v>
      </c>
      <c r="H170" s="6" t="str">
        <f>IF(AND('Account Dump'!$I170=1,'Account Dump'!$I171=1), "Dupe", 'Account Dump'!H170)</f>
        <v>Dupe</v>
      </c>
      <c r="I170" s="45" t="str">
        <f>IF(AND('Account Dump'!$I170=1,'Account Dump'!$I171=1), "Dupe", 'Account Dump'!I170)</f>
        <v>Dupe</v>
      </c>
    </row>
    <row r="171" spans="1:9" x14ac:dyDescent="0.3">
      <c r="A171" s="44" t="str">
        <f>IF('Account Dump'!$I171=1, "Dupe", 'Account Dump'!A171)</f>
        <v>Dupe</v>
      </c>
      <c r="B171" s="6" t="str">
        <f>IF('Account Dump'!$I171=1, "Dupe", 'Account Dump'!B171)</f>
        <v>Dupe</v>
      </c>
      <c r="C171" s="6" t="str">
        <f>IF('Account Dump'!$I171=1, "Dupe", 'Account Dump'!C171)</f>
        <v>Dupe</v>
      </c>
      <c r="D171" s="6" t="str">
        <f>IF('Account Dump'!$I171=1, "Dupe", 'Account Dump'!D171)</f>
        <v>Dupe</v>
      </c>
      <c r="E171">
        <v>0</v>
      </c>
      <c r="F171" s="6" t="str">
        <f>IF('Account Dump'!$I171=1, "Dupe", "")</f>
        <v>Dupe</v>
      </c>
      <c r="G171" s="6" t="str">
        <f>IF(AND('Account Dump'!$I171=1,'Account Dump'!$I172=1), "Dupe", 'Account Dump'!G171)</f>
        <v>Dupe</v>
      </c>
      <c r="H171" s="6" t="str">
        <f>IF(AND('Account Dump'!$I171=1,'Account Dump'!$I172=1), "Dupe", 'Account Dump'!H171)</f>
        <v>Dupe</v>
      </c>
      <c r="I171" s="45" t="str">
        <f>IF(AND('Account Dump'!$I171=1,'Account Dump'!$I172=1), "Dupe", 'Account Dump'!I171)</f>
        <v>Dupe</v>
      </c>
    </row>
    <row r="172" spans="1:9" x14ac:dyDescent="0.3">
      <c r="A172" s="44" t="str">
        <f>IF('Account Dump'!$I172=1, "Dupe", 'Account Dump'!A172)</f>
        <v>Dupe</v>
      </c>
      <c r="B172" s="6" t="str">
        <f>IF('Account Dump'!$I172=1, "Dupe", 'Account Dump'!B172)</f>
        <v>Dupe</v>
      </c>
      <c r="C172" s="6" t="str">
        <f>IF('Account Dump'!$I172=1, "Dupe", 'Account Dump'!C172)</f>
        <v>Dupe</v>
      </c>
      <c r="D172" s="6" t="str">
        <f>IF('Account Dump'!$I172=1, "Dupe", 'Account Dump'!D172)</f>
        <v>Dupe</v>
      </c>
      <c r="E172">
        <v>0</v>
      </c>
      <c r="F172" s="6" t="str">
        <f>IF('Account Dump'!$I172=1, "Dupe", "")</f>
        <v>Dupe</v>
      </c>
      <c r="G172" s="6" t="str">
        <f>IF(AND('Account Dump'!$I172=1,'Account Dump'!$I173=1), "Dupe", 'Account Dump'!G172)</f>
        <v>Dupe</v>
      </c>
      <c r="H172" s="6" t="str">
        <f>IF(AND('Account Dump'!$I172=1,'Account Dump'!$I173=1), "Dupe", 'Account Dump'!H172)</f>
        <v>Dupe</v>
      </c>
      <c r="I172" s="45" t="str">
        <f>IF(AND('Account Dump'!$I172=1,'Account Dump'!$I173=1), "Dupe", 'Account Dump'!I172)</f>
        <v>Dupe</v>
      </c>
    </row>
    <row r="173" spans="1:9" x14ac:dyDescent="0.3">
      <c r="A173" s="44" t="str">
        <f>IF('Account Dump'!$I173=1, "Dupe", 'Account Dump'!A173)</f>
        <v>Dupe</v>
      </c>
      <c r="B173" s="6" t="str">
        <f>IF('Account Dump'!$I173=1, "Dupe", 'Account Dump'!B173)</f>
        <v>Dupe</v>
      </c>
      <c r="C173" s="6" t="str">
        <f>IF('Account Dump'!$I173=1, "Dupe", 'Account Dump'!C173)</f>
        <v>Dupe</v>
      </c>
      <c r="D173" s="6" t="str">
        <f>IF('Account Dump'!$I173=1, "Dupe", 'Account Dump'!D173)</f>
        <v>Dupe</v>
      </c>
      <c r="E173">
        <v>0</v>
      </c>
      <c r="F173" s="6" t="str">
        <f>IF('Account Dump'!$I173=1, "Dupe", "")</f>
        <v>Dupe</v>
      </c>
      <c r="G173" s="6" t="str">
        <f>IF(AND('Account Dump'!$I173=1,'Account Dump'!$I174=1), "Dupe", 'Account Dump'!G173)</f>
        <v>Dupe</v>
      </c>
      <c r="H173" s="6" t="str">
        <f>IF(AND('Account Dump'!$I173=1,'Account Dump'!$I174=1), "Dupe", 'Account Dump'!H173)</f>
        <v>Dupe</v>
      </c>
      <c r="I173" s="45" t="str">
        <f>IF(AND('Account Dump'!$I173=1,'Account Dump'!$I174=1), "Dupe", 'Account Dump'!I173)</f>
        <v>Dupe</v>
      </c>
    </row>
    <row r="174" spans="1:9" x14ac:dyDescent="0.3">
      <c r="A174" s="44" t="str">
        <f>IF('Account Dump'!$I174=1, "Dupe", 'Account Dump'!A174)</f>
        <v>Dupe</v>
      </c>
      <c r="B174" s="6" t="str">
        <f>IF('Account Dump'!$I174=1, "Dupe", 'Account Dump'!B174)</f>
        <v>Dupe</v>
      </c>
      <c r="C174" s="6" t="str">
        <f>IF('Account Dump'!$I174=1, "Dupe", 'Account Dump'!C174)</f>
        <v>Dupe</v>
      </c>
      <c r="D174" s="6" t="str">
        <f>IF('Account Dump'!$I174=1, "Dupe", 'Account Dump'!D174)</f>
        <v>Dupe</v>
      </c>
      <c r="E174">
        <v>0</v>
      </c>
      <c r="F174" s="6" t="str">
        <f>IF('Account Dump'!$I174=1, "Dupe", "")</f>
        <v>Dupe</v>
      </c>
      <c r="G174" s="6" t="str">
        <f>IF(AND('Account Dump'!$I174=1,'Account Dump'!$I175=1), "Dupe", 'Account Dump'!G174)</f>
        <v>Dupe</v>
      </c>
      <c r="H174" s="6" t="str">
        <f>IF(AND('Account Dump'!$I174=1,'Account Dump'!$I175=1), "Dupe", 'Account Dump'!H174)</f>
        <v>Dupe</v>
      </c>
      <c r="I174" s="45" t="str">
        <f>IF(AND('Account Dump'!$I174=1,'Account Dump'!$I175=1), "Dupe", 'Account Dump'!I174)</f>
        <v>Dupe</v>
      </c>
    </row>
    <row r="175" spans="1:9" x14ac:dyDescent="0.3">
      <c r="A175" s="44" t="str">
        <f>IF('Account Dump'!$I175=1, "Dupe", 'Account Dump'!A175)</f>
        <v>Dupe</v>
      </c>
      <c r="B175" s="6" t="str">
        <f>IF('Account Dump'!$I175=1, "Dupe", 'Account Dump'!B175)</f>
        <v>Dupe</v>
      </c>
      <c r="C175" s="6" t="str">
        <f>IF('Account Dump'!$I175=1, "Dupe", 'Account Dump'!C175)</f>
        <v>Dupe</v>
      </c>
      <c r="D175" s="6" t="str">
        <f>IF('Account Dump'!$I175=1, "Dupe", 'Account Dump'!D175)</f>
        <v>Dupe</v>
      </c>
      <c r="E175">
        <v>0</v>
      </c>
      <c r="F175" s="6" t="str">
        <f>IF('Account Dump'!$I175=1, "Dupe", "")</f>
        <v>Dupe</v>
      </c>
      <c r="G175" s="6" t="str">
        <f>IF(AND('Account Dump'!$I175=1,'Account Dump'!$I176=1), "Dupe", 'Account Dump'!G175)</f>
        <v>Dupe</v>
      </c>
      <c r="H175" s="6" t="str">
        <f>IF(AND('Account Dump'!$I175=1,'Account Dump'!$I176=1), "Dupe", 'Account Dump'!H175)</f>
        <v>Dupe</v>
      </c>
      <c r="I175" s="45" t="str">
        <f>IF(AND('Account Dump'!$I175=1,'Account Dump'!$I176=1), "Dupe", 'Account Dump'!I175)</f>
        <v>Dupe</v>
      </c>
    </row>
    <row r="176" spans="1:9" x14ac:dyDescent="0.3">
      <c r="A176" s="44" t="str">
        <f>IF('Account Dump'!$I176=1, "Dupe", 'Account Dump'!A176)</f>
        <v>Dupe</v>
      </c>
      <c r="B176" s="6" t="str">
        <f>IF('Account Dump'!$I176=1, "Dupe", 'Account Dump'!B176)</f>
        <v>Dupe</v>
      </c>
      <c r="C176" s="6" t="str">
        <f>IF('Account Dump'!$I176=1, "Dupe", 'Account Dump'!C176)</f>
        <v>Dupe</v>
      </c>
      <c r="D176" s="6" t="str">
        <f>IF('Account Dump'!$I176=1, "Dupe", 'Account Dump'!D176)</f>
        <v>Dupe</v>
      </c>
      <c r="E176">
        <v>0</v>
      </c>
      <c r="F176" s="6" t="str">
        <f>IF('Account Dump'!$I176=1, "Dupe", "")</f>
        <v>Dupe</v>
      </c>
      <c r="G176" s="6" t="str">
        <f>IF(AND('Account Dump'!$I176=1,'Account Dump'!$I177=1), "Dupe", 'Account Dump'!G176)</f>
        <v>Dupe</v>
      </c>
      <c r="H176" s="6" t="str">
        <f>IF(AND('Account Dump'!$I176=1,'Account Dump'!$I177=1), "Dupe", 'Account Dump'!H176)</f>
        <v>Dupe</v>
      </c>
      <c r="I176" s="45" t="str">
        <f>IF(AND('Account Dump'!$I176=1,'Account Dump'!$I177=1), "Dupe", 'Account Dump'!I176)</f>
        <v>Dupe</v>
      </c>
    </row>
    <row r="177" spans="1:9" x14ac:dyDescent="0.3">
      <c r="A177" s="44" t="str">
        <f>IF('Account Dump'!$I177=1, "Dupe", 'Account Dump'!A177)</f>
        <v>Dupe</v>
      </c>
      <c r="B177" s="6" t="str">
        <f>IF('Account Dump'!$I177=1, "Dupe", 'Account Dump'!B177)</f>
        <v>Dupe</v>
      </c>
      <c r="C177" s="6" t="str">
        <f>IF('Account Dump'!$I177=1, "Dupe", 'Account Dump'!C177)</f>
        <v>Dupe</v>
      </c>
      <c r="D177" s="6" t="str">
        <f>IF('Account Dump'!$I177=1, "Dupe", 'Account Dump'!D177)</f>
        <v>Dupe</v>
      </c>
      <c r="E177">
        <v>0</v>
      </c>
      <c r="F177" s="6" t="str">
        <f>IF('Account Dump'!$I177=1, "Dupe", "")</f>
        <v>Dupe</v>
      </c>
      <c r="G177" s="6" t="str">
        <f>IF(AND('Account Dump'!$I177=1,'Account Dump'!$I178=1), "Dupe", 'Account Dump'!G177)</f>
        <v>Dupe</v>
      </c>
      <c r="H177" s="6" t="str">
        <f>IF(AND('Account Dump'!$I177=1,'Account Dump'!$I178=1), "Dupe", 'Account Dump'!H177)</f>
        <v>Dupe</v>
      </c>
      <c r="I177" s="45" t="str">
        <f>IF(AND('Account Dump'!$I177=1,'Account Dump'!$I178=1), "Dupe", 'Account Dump'!I177)</f>
        <v>Dupe</v>
      </c>
    </row>
    <row r="178" spans="1:9" x14ac:dyDescent="0.3">
      <c r="A178" s="44" t="str">
        <f>IF('Account Dump'!$I178=1, "Dupe", 'Account Dump'!A178)</f>
        <v>Dupe</v>
      </c>
      <c r="B178" s="6" t="str">
        <f>IF('Account Dump'!$I178=1, "Dupe", 'Account Dump'!B178)</f>
        <v>Dupe</v>
      </c>
      <c r="C178" s="6" t="str">
        <f>IF('Account Dump'!$I178=1, "Dupe", 'Account Dump'!C178)</f>
        <v>Dupe</v>
      </c>
      <c r="D178" s="6" t="str">
        <f>IF('Account Dump'!$I178=1, "Dupe", 'Account Dump'!D178)</f>
        <v>Dupe</v>
      </c>
      <c r="E178">
        <v>0</v>
      </c>
      <c r="F178" s="6" t="str">
        <f>IF('Account Dump'!$I178=1, "Dupe", "")</f>
        <v>Dupe</v>
      </c>
      <c r="G178" s="6" t="str">
        <f>IF(AND('Account Dump'!$I178=1,'Account Dump'!$I179=1), "Dupe", 'Account Dump'!G178)</f>
        <v>Dupe</v>
      </c>
      <c r="H178" s="6" t="str">
        <f>IF(AND('Account Dump'!$I178=1,'Account Dump'!$I179=1), "Dupe", 'Account Dump'!H178)</f>
        <v>Dupe</v>
      </c>
      <c r="I178" s="45" t="str">
        <f>IF(AND('Account Dump'!$I178=1,'Account Dump'!$I179=1), "Dupe", 'Account Dump'!I178)</f>
        <v>Dupe</v>
      </c>
    </row>
    <row r="179" spans="1:9" x14ac:dyDescent="0.3">
      <c r="A179" s="44" t="str">
        <f>IF('Account Dump'!$I179=1, "Dupe", 'Account Dump'!A179)</f>
        <v>Dupe</v>
      </c>
      <c r="B179" s="6" t="str">
        <f>IF('Account Dump'!$I179=1, "Dupe", 'Account Dump'!B179)</f>
        <v>Dupe</v>
      </c>
      <c r="C179" s="6" t="str">
        <f>IF('Account Dump'!$I179=1, "Dupe", 'Account Dump'!C179)</f>
        <v>Dupe</v>
      </c>
      <c r="D179" s="6" t="str">
        <f>IF('Account Dump'!$I179=1, "Dupe", 'Account Dump'!D179)</f>
        <v>Dupe</v>
      </c>
      <c r="E179">
        <v>0</v>
      </c>
      <c r="F179" s="6" t="str">
        <f>IF('Account Dump'!$I179=1, "Dupe", "")</f>
        <v>Dupe</v>
      </c>
      <c r="G179" s="6" t="str">
        <f>IF(AND('Account Dump'!$I179=1,'Account Dump'!$I180=1), "Dupe", 'Account Dump'!G179)</f>
        <v>Dupe</v>
      </c>
      <c r="H179" s="6" t="str">
        <f>IF(AND('Account Dump'!$I179=1,'Account Dump'!$I180=1), "Dupe", 'Account Dump'!H179)</f>
        <v>Dupe</v>
      </c>
      <c r="I179" s="45" t="str">
        <f>IF(AND('Account Dump'!$I179=1,'Account Dump'!$I180=1), "Dupe", 'Account Dump'!I179)</f>
        <v>Dupe</v>
      </c>
    </row>
    <row r="180" spans="1:9" x14ac:dyDescent="0.3">
      <c r="A180" s="44" t="str">
        <f>IF('Account Dump'!$I180=1, "Dupe", 'Account Dump'!A180)</f>
        <v>Dupe</v>
      </c>
      <c r="B180" s="6" t="str">
        <f>IF('Account Dump'!$I180=1, "Dupe", 'Account Dump'!B180)</f>
        <v>Dupe</v>
      </c>
      <c r="C180" s="6" t="str">
        <f>IF('Account Dump'!$I180=1, "Dupe", 'Account Dump'!C180)</f>
        <v>Dupe</v>
      </c>
      <c r="D180" s="6" t="str">
        <f>IF('Account Dump'!$I180=1, "Dupe", 'Account Dump'!D180)</f>
        <v>Dupe</v>
      </c>
      <c r="E180">
        <v>0</v>
      </c>
      <c r="F180" s="6" t="str">
        <f>IF('Account Dump'!$I180=1, "Dupe", "")</f>
        <v>Dupe</v>
      </c>
      <c r="G180" s="6" t="str">
        <f>IF(AND('Account Dump'!$I180=1,'Account Dump'!$I181=1), "Dupe", 'Account Dump'!G180)</f>
        <v>Dupe</v>
      </c>
      <c r="H180" s="6" t="str">
        <f>IF(AND('Account Dump'!$I180=1,'Account Dump'!$I181=1), "Dupe", 'Account Dump'!H180)</f>
        <v>Dupe</v>
      </c>
      <c r="I180" s="45" t="str">
        <f>IF(AND('Account Dump'!$I180=1,'Account Dump'!$I181=1), "Dupe", 'Account Dump'!I180)</f>
        <v>Dupe</v>
      </c>
    </row>
    <row r="181" spans="1:9" x14ac:dyDescent="0.3">
      <c r="A181" s="44" t="str">
        <f>IF('Account Dump'!$I181=1, "Dupe", 'Account Dump'!A181)</f>
        <v>Dupe</v>
      </c>
      <c r="B181" s="6" t="str">
        <f>IF('Account Dump'!$I181=1, "Dupe", 'Account Dump'!B181)</f>
        <v>Dupe</v>
      </c>
      <c r="C181" s="6" t="str">
        <f>IF('Account Dump'!$I181=1, "Dupe", 'Account Dump'!C181)</f>
        <v>Dupe</v>
      </c>
      <c r="D181" s="6" t="str">
        <f>IF('Account Dump'!$I181=1, "Dupe", 'Account Dump'!D181)</f>
        <v>Dupe</v>
      </c>
      <c r="E181">
        <v>0</v>
      </c>
      <c r="F181" s="6" t="str">
        <f>IF('Account Dump'!$I181=1, "Dupe", "")</f>
        <v>Dupe</v>
      </c>
      <c r="G181" s="6" t="str">
        <f>IF(AND('Account Dump'!$I181=1,'Account Dump'!$I182=1), "Dupe", 'Account Dump'!G181)</f>
        <v>Dupe</v>
      </c>
      <c r="H181" s="6" t="str">
        <f>IF(AND('Account Dump'!$I181=1,'Account Dump'!$I182=1), "Dupe", 'Account Dump'!H181)</f>
        <v>Dupe</v>
      </c>
      <c r="I181" s="45" t="str">
        <f>IF(AND('Account Dump'!$I181=1,'Account Dump'!$I182=1), "Dupe", 'Account Dump'!I181)</f>
        <v>Dupe</v>
      </c>
    </row>
    <row r="182" spans="1:9" x14ac:dyDescent="0.3">
      <c r="A182" s="44" t="str">
        <f>IF('Account Dump'!$I182=1, "Dupe", 'Account Dump'!A182)</f>
        <v>Dupe</v>
      </c>
      <c r="B182" s="6" t="str">
        <f>IF('Account Dump'!$I182=1, "Dupe", 'Account Dump'!B182)</f>
        <v>Dupe</v>
      </c>
      <c r="C182" s="6" t="str">
        <f>IF('Account Dump'!$I182=1, "Dupe", 'Account Dump'!C182)</f>
        <v>Dupe</v>
      </c>
      <c r="D182" s="6" t="str">
        <f>IF('Account Dump'!$I182=1, "Dupe", 'Account Dump'!D182)</f>
        <v>Dupe</v>
      </c>
      <c r="E182">
        <v>0</v>
      </c>
      <c r="F182" s="6" t="str">
        <f>IF('Account Dump'!$I182=1, "Dupe", "")</f>
        <v>Dupe</v>
      </c>
      <c r="G182" s="6" t="str">
        <f>IF(AND('Account Dump'!$I182=1,'Account Dump'!$I183=1), "Dupe", 'Account Dump'!G182)</f>
        <v>Dupe</v>
      </c>
      <c r="H182" s="6" t="str">
        <f>IF(AND('Account Dump'!$I182=1,'Account Dump'!$I183=1), "Dupe", 'Account Dump'!H182)</f>
        <v>Dupe</v>
      </c>
      <c r="I182" s="45" t="str">
        <f>IF(AND('Account Dump'!$I182=1,'Account Dump'!$I183=1), "Dupe", 'Account Dump'!I182)</f>
        <v>Dupe</v>
      </c>
    </row>
    <row r="183" spans="1:9" x14ac:dyDescent="0.3">
      <c r="A183" s="44" t="str">
        <f>IF('Account Dump'!$I183=1, "Dupe", 'Account Dump'!A183)</f>
        <v>Dupe</v>
      </c>
      <c r="B183" s="6" t="str">
        <f>IF('Account Dump'!$I183=1, "Dupe", 'Account Dump'!B183)</f>
        <v>Dupe</v>
      </c>
      <c r="C183" s="6" t="str">
        <f>IF('Account Dump'!$I183=1, "Dupe", 'Account Dump'!C183)</f>
        <v>Dupe</v>
      </c>
      <c r="D183" s="6" t="str">
        <f>IF('Account Dump'!$I183=1, "Dupe", 'Account Dump'!D183)</f>
        <v>Dupe</v>
      </c>
      <c r="E183">
        <v>0</v>
      </c>
      <c r="F183" s="6" t="str">
        <f>IF('Account Dump'!$I183=1, "Dupe", "")</f>
        <v>Dupe</v>
      </c>
      <c r="G183" s="6" t="str">
        <f>IF(AND('Account Dump'!$I183=1,'Account Dump'!$I184=1), "Dupe", 'Account Dump'!G183)</f>
        <v>Dupe</v>
      </c>
      <c r="H183" s="6" t="str">
        <f>IF(AND('Account Dump'!$I183=1,'Account Dump'!$I184=1), "Dupe", 'Account Dump'!H183)</f>
        <v>Dupe</v>
      </c>
      <c r="I183" s="45" t="str">
        <f>IF(AND('Account Dump'!$I183=1,'Account Dump'!$I184=1), "Dupe", 'Account Dump'!I183)</f>
        <v>Dupe</v>
      </c>
    </row>
    <row r="184" spans="1:9" x14ac:dyDescent="0.3">
      <c r="A184" s="44" t="str">
        <f>IF('Account Dump'!$I184=1, "Dupe", 'Account Dump'!A184)</f>
        <v>Dupe</v>
      </c>
      <c r="B184" s="6" t="str">
        <f>IF('Account Dump'!$I184=1, "Dupe", 'Account Dump'!B184)</f>
        <v>Dupe</v>
      </c>
      <c r="C184" s="6" t="str">
        <f>IF('Account Dump'!$I184=1, "Dupe", 'Account Dump'!C184)</f>
        <v>Dupe</v>
      </c>
      <c r="D184" s="6" t="str">
        <f>IF('Account Dump'!$I184=1, "Dupe", 'Account Dump'!D184)</f>
        <v>Dupe</v>
      </c>
      <c r="E184">
        <v>0</v>
      </c>
      <c r="F184" s="6" t="str">
        <f>IF('Account Dump'!$I184=1, "Dupe", "")</f>
        <v>Dupe</v>
      </c>
      <c r="G184" s="6" t="str">
        <f>IF(AND('Account Dump'!$I184=1,'Account Dump'!$I185=1), "Dupe", 'Account Dump'!G184)</f>
        <v>Dupe</v>
      </c>
      <c r="H184" s="6" t="str">
        <f>IF(AND('Account Dump'!$I184=1,'Account Dump'!$I185=1), "Dupe", 'Account Dump'!H184)</f>
        <v>Dupe</v>
      </c>
      <c r="I184" s="45" t="str">
        <f>IF(AND('Account Dump'!$I184=1,'Account Dump'!$I185=1), "Dupe", 'Account Dump'!I184)</f>
        <v>Dupe</v>
      </c>
    </row>
    <row r="185" spans="1:9" x14ac:dyDescent="0.3">
      <c r="A185" s="44" t="str">
        <f>IF('Account Dump'!$I185=1, "Dupe", 'Account Dump'!A185)</f>
        <v>Dupe</v>
      </c>
      <c r="B185" s="6" t="str">
        <f>IF('Account Dump'!$I185=1, "Dupe", 'Account Dump'!B185)</f>
        <v>Dupe</v>
      </c>
      <c r="C185" s="6" t="str">
        <f>IF('Account Dump'!$I185=1, "Dupe", 'Account Dump'!C185)</f>
        <v>Dupe</v>
      </c>
      <c r="D185" s="6" t="str">
        <f>IF('Account Dump'!$I185=1, "Dupe", 'Account Dump'!D185)</f>
        <v>Dupe</v>
      </c>
      <c r="E185">
        <v>0</v>
      </c>
      <c r="F185" s="6" t="str">
        <f>IF('Account Dump'!$I185=1, "Dupe", "")</f>
        <v>Dupe</v>
      </c>
      <c r="G185" s="6" t="str">
        <f>IF(AND('Account Dump'!$I185=1,'Account Dump'!$I186=1), "Dupe", 'Account Dump'!G185)</f>
        <v>Dupe</v>
      </c>
      <c r="H185" s="6" t="str">
        <f>IF(AND('Account Dump'!$I185=1,'Account Dump'!$I186=1), "Dupe", 'Account Dump'!H185)</f>
        <v>Dupe</v>
      </c>
      <c r="I185" s="45" t="str">
        <f>IF(AND('Account Dump'!$I185=1,'Account Dump'!$I186=1), "Dupe", 'Account Dump'!I185)</f>
        <v>Dupe</v>
      </c>
    </row>
    <row r="186" spans="1:9" x14ac:dyDescent="0.3">
      <c r="A186" s="44" t="str">
        <f>IF('Account Dump'!$I186=1, "Dupe", 'Account Dump'!A186)</f>
        <v>Dupe</v>
      </c>
      <c r="B186" s="6" t="str">
        <f>IF('Account Dump'!$I186=1, "Dupe", 'Account Dump'!B186)</f>
        <v>Dupe</v>
      </c>
      <c r="C186" s="6" t="str">
        <f>IF('Account Dump'!$I186=1, "Dupe", 'Account Dump'!C186)</f>
        <v>Dupe</v>
      </c>
      <c r="D186" s="6" t="str">
        <f>IF('Account Dump'!$I186=1, "Dupe", 'Account Dump'!D186)</f>
        <v>Dupe</v>
      </c>
      <c r="E186">
        <v>0</v>
      </c>
      <c r="F186" s="6" t="str">
        <f>IF('Account Dump'!$I186=1, "Dupe", "")</f>
        <v>Dupe</v>
      </c>
      <c r="G186" s="6" t="str">
        <f>IF(AND('Account Dump'!$I186=1,'Account Dump'!$I187=1), "Dupe", 'Account Dump'!G186)</f>
        <v>Dupe</v>
      </c>
      <c r="H186" s="6" t="str">
        <f>IF(AND('Account Dump'!$I186=1,'Account Dump'!$I187=1), "Dupe", 'Account Dump'!H186)</f>
        <v>Dupe</v>
      </c>
      <c r="I186" s="45" t="str">
        <f>IF(AND('Account Dump'!$I186=1,'Account Dump'!$I187=1), "Dupe", 'Account Dump'!I186)</f>
        <v>Dupe</v>
      </c>
    </row>
    <row r="187" spans="1:9" x14ac:dyDescent="0.3">
      <c r="A187" s="44" t="str">
        <f>IF('Account Dump'!$I187=1, "Dupe", 'Account Dump'!A187)</f>
        <v>Dupe</v>
      </c>
      <c r="B187" s="6" t="str">
        <f>IF('Account Dump'!$I187=1, "Dupe", 'Account Dump'!B187)</f>
        <v>Dupe</v>
      </c>
      <c r="C187" s="6" t="str">
        <f>IF('Account Dump'!$I187=1, "Dupe", 'Account Dump'!C187)</f>
        <v>Dupe</v>
      </c>
      <c r="D187" s="6" t="str">
        <f>IF('Account Dump'!$I187=1, "Dupe", 'Account Dump'!D187)</f>
        <v>Dupe</v>
      </c>
      <c r="E187">
        <v>0</v>
      </c>
      <c r="F187" s="6" t="str">
        <f>IF('Account Dump'!$I187=1, "Dupe", "")</f>
        <v>Dupe</v>
      </c>
      <c r="G187" s="6" t="str">
        <f>IF(AND('Account Dump'!$I187=1,'Account Dump'!$I188=1), "Dupe", 'Account Dump'!G187)</f>
        <v>Dupe</v>
      </c>
      <c r="H187" s="6" t="str">
        <f>IF(AND('Account Dump'!$I187=1,'Account Dump'!$I188=1), "Dupe", 'Account Dump'!H187)</f>
        <v>Dupe</v>
      </c>
      <c r="I187" s="45" t="str">
        <f>IF(AND('Account Dump'!$I187=1,'Account Dump'!$I188=1), "Dupe", 'Account Dump'!I187)</f>
        <v>Dupe</v>
      </c>
    </row>
    <row r="188" spans="1:9" x14ac:dyDescent="0.3">
      <c r="A188" s="44" t="str">
        <f>IF('Account Dump'!$I188=1, "Dupe", 'Account Dump'!A188)</f>
        <v>Dupe</v>
      </c>
      <c r="B188" s="6" t="str">
        <f>IF('Account Dump'!$I188=1, "Dupe", 'Account Dump'!B188)</f>
        <v>Dupe</v>
      </c>
      <c r="C188" s="6" t="str">
        <f>IF('Account Dump'!$I188=1, "Dupe", 'Account Dump'!C188)</f>
        <v>Dupe</v>
      </c>
      <c r="D188" s="6" t="str">
        <f>IF('Account Dump'!$I188=1, "Dupe", 'Account Dump'!D188)</f>
        <v>Dupe</v>
      </c>
      <c r="E188">
        <v>0</v>
      </c>
      <c r="F188" s="6" t="str">
        <f>IF('Account Dump'!$I188=1, "Dupe", "")</f>
        <v>Dupe</v>
      </c>
      <c r="G188" s="6" t="str">
        <f>IF(AND('Account Dump'!$I188=1,'Account Dump'!$I189=1), "Dupe", 'Account Dump'!G188)</f>
        <v>Dupe</v>
      </c>
      <c r="H188" s="6" t="str">
        <f>IF(AND('Account Dump'!$I188=1,'Account Dump'!$I189=1), "Dupe", 'Account Dump'!H188)</f>
        <v>Dupe</v>
      </c>
      <c r="I188" s="45" t="str">
        <f>IF(AND('Account Dump'!$I188=1,'Account Dump'!$I189=1), "Dupe", 'Account Dump'!I188)</f>
        <v>Dupe</v>
      </c>
    </row>
    <row r="189" spans="1:9" x14ac:dyDescent="0.3">
      <c r="A189" s="44" t="str">
        <f>IF('Account Dump'!$I189=1, "Dupe", 'Account Dump'!A189)</f>
        <v>Dupe</v>
      </c>
      <c r="B189" s="6" t="str">
        <f>IF('Account Dump'!$I189=1, "Dupe", 'Account Dump'!B189)</f>
        <v>Dupe</v>
      </c>
      <c r="C189" s="6" t="str">
        <f>IF('Account Dump'!$I189=1, "Dupe", 'Account Dump'!C189)</f>
        <v>Dupe</v>
      </c>
      <c r="D189" s="6" t="str">
        <f>IF('Account Dump'!$I189=1, "Dupe", 'Account Dump'!D189)</f>
        <v>Dupe</v>
      </c>
      <c r="E189">
        <v>0</v>
      </c>
      <c r="F189" s="6" t="str">
        <f>IF('Account Dump'!$I189=1, "Dupe", "")</f>
        <v>Dupe</v>
      </c>
      <c r="G189" s="6" t="str">
        <f>IF(AND('Account Dump'!$I189=1,'Account Dump'!$I190=1), "Dupe", 'Account Dump'!G189)</f>
        <v>Dupe</v>
      </c>
      <c r="H189" s="6" t="str">
        <f>IF(AND('Account Dump'!$I189=1,'Account Dump'!$I190=1), "Dupe", 'Account Dump'!H189)</f>
        <v>Dupe</v>
      </c>
      <c r="I189" s="45" t="str">
        <f>IF(AND('Account Dump'!$I189=1,'Account Dump'!$I190=1), "Dupe", 'Account Dump'!I189)</f>
        <v>Dupe</v>
      </c>
    </row>
    <row r="190" spans="1:9" x14ac:dyDescent="0.3">
      <c r="A190" s="44" t="str">
        <f>IF('Account Dump'!$I190=1, "Dupe", 'Account Dump'!A190)</f>
        <v>Dupe</v>
      </c>
      <c r="B190" s="6" t="str">
        <f>IF('Account Dump'!$I190=1, "Dupe", 'Account Dump'!B190)</f>
        <v>Dupe</v>
      </c>
      <c r="C190" s="6" t="str">
        <f>IF('Account Dump'!$I190=1, "Dupe", 'Account Dump'!C190)</f>
        <v>Dupe</v>
      </c>
      <c r="D190" s="6" t="str">
        <f>IF('Account Dump'!$I190=1, "Dupe", 'Account Dump'!D190)</f>
        <v>Dupe</v>
      </c>
      <c r="E190">
        <v>0</v>
      </c>
      <c r="F190" s="6" t="str">
        <f>IF('Account Dump'!$I190=1, "Dupe", "")</f>
        <v>Dupe</v>
      </c>
      <c r="G190" s="6" t="str">
        <f>IF(AND('Account Dump'!$I190=1,'Account Dump'!$I191=1), "Dupe", 'Account Dump'!G190)</f>
        <v>Dupe</v>
      </c>
      <c r="H190" s="6" t="str">
        <f>IF(AND('Account Dump'!$I190=1,'Account Dump'!$I191=1), "Dupe", 'Account Dump'!H190)</f>
        <v>Dupe</v>
      </c>
      <c r="I190" s="45" t="str">
        <f>IF(AND('Account Dump'!$I190=1,'Account Dump'!$I191=1), "Dupe", 'Account Dump'!I190)</f>
        <v>Dupe</v>
      </c>
    </row>
    <row r="191" spans="1:9" x14ac:dyDescent="0.3">
      <c r="A191" s="44" t="str">
        <f>IF('Account Dump'!$I191=1, "Dupe", 'Account Dump'!A191)</f>
        <v>Dupe</v>
      </c>
      <c r="B191" s="6" t="str">
        <f>IF('Account Dump'!$I191=1, "Dupe", 'Account Dump'!B191)</f>
        <v>Dupe</v>
      </c>
      <c r="C191" s="6" t="str">
        <f>IF('Account Dump'!$I191=1, "Dupe", 'Account Dump'!C191)</f>
        <v>Dupe</v>
      </c>
      <c r="D191" s="6" t="str">
        <f>IF('Account Dump'!$I191=1, "Dupe", 'Account Dump'!D191)</f>
        <v>Dupe</v>
      </c>
      <c r="E191">
        <v>0</v>
      </c>
      <c r="F191" s="6" t="str">
        <f>IF('Account Dump'!$I191=1, "Dupe", "")</f>
        <v>Dupe</v>
      </c>
      <c r="G191" s="6" t="str">
        <f>IF(AND('Account Dump'!$I191=1,'Account Dump'!$I192=1), "Dupe", 'Account Dump'!G191)</f>
        <v>Dupe</v>
      </c>
      <c r="H191" s="6" t="str">
        <f>IF(AND('Account Dump'!$I191=1,'Account Dump'!$I192=1), "Dupe", 'Account Dump'!H191)</f>
        <v>Dupe</v>
      </c>
      <c r="I191" s="45" t="str">
        <f>IF(AND('Account Dump'!$I191=1,'Account Dump'!$I192=1), "Dupe", 'Account Dump'!I191)</f>
        <v>Dupe</v>
      </c>
    </row>
    <row r="192" spans="1:9" x14ac:dyDescent="0.3">
      <c r="A192" s="44" t="str">
        <f>IF('Account Dump'!$I192=1, "Dupe", 'Account Dump'!A192)</f>
        <v>Dupe</v>
      </c>
      <c r="B192" s="6" t="str">
        <f>IF('Account Dump'!$I192=1, "Dupe", 'Account Dump'!B192)</f>
        <v>Dupe</v>
      </c>
      <c r="C192" s="6" t="str">
        <f>IF('Account Dump'!$I192=1, "Dupe", 'Account Dump'!C192)</f>
        <v>Dupe</v>
      </c>
      <c r="D192" s="6" t="str">
        <f>IF('Account Dump'!$I192=1, "Dupe", 'Account Dump'!D192)</f>
        <v>Dupe</v>
      </c>
      <c r="E192">
        <v>0</v>
      </c>
      <c r="F192" s="6" t="str">
        <f>IF('Account Dump'!$I192=1, "Dupe", "")</f>
        <v>Dupe</v>
      </c>
      <c r="G192" s="6" t="str">
        <f>IF(AND('Account Dump'!$I192=1,'Account Dump'!$I193=1), "Dupe", 'Account Dump'!G192)</f>
        <v>Dupe</v>
      </c>
      <c r="H192" s="6" t="str">
        <f>IF(AND('Account Dump'!$I192=1,'Account Dump'!$I193=1), "Dupe", 'Account Dump'!H192)</f>
        <v>Dupe</v>
      </c>
      <c r="I192" s="45" t="str">
        <f>IF(AND('Account Dump'!$I192=1,'Account Dump'!$I193=1), "Dupe", 'Account Dump'!I192)</f>
        <v>Dupe</v>
      </c>
    </row>
    <row r="193" spans="1:9" x14ac:dyDescent="0.3">
      <c r="A193" s="44" t="str">
        <f>IF('Account Dump'!$I193=1, "Dupe", 'Account Dump'!A193)</f>
        <v>Dupe</v>
      </c>
      <c r="B193" s="6" t="str">
        <f>IF('Account Dump'!$I193=1, "Dupe", 'Account Dump'!B193)</f>
        <v>Dupe</v>
      </c>
      <c r="C193" s="6" t="str">
        <f>IF('Account Dump'!$I193=1, "Dupe", 'Account Dump'!C193)</f>
        <v>Dupe</v>
      </c>
      <c r="D193" s="6" t="str">
        <f>IF('Account Dump'!$I193=1, "Dupe", 'Account Dump'!D193)</f>
        <v>Dupe</v>
      </c>
      <c r="E193">
        <v>0</v>
      </c>
      <c r="F193" s="6" t="str">
        <f>IF('Account Dump'!$I193=1, "Dupe", "")</f>
        <v>Dupe</v>
      </c>
      <c r="G193" s="6" t="str">
        <f>IF(AND('Account Dump'!$I193=1,'Account Dump'!$I194=1), "Dupe", 'Account Dump'!G193)</f>
        <v>Dupe</v>
      </c>
      <c r="H193" s="6" t="str">
        <f>IF(AND('Account Dump'!$I193=1,'Account Dump'!$I194=1), "Dupe", 'Account Dump'!H193)</f>
        <v>Dupe</v>
      </c>
      <c r="I193" s="45" t="str">
        <f>IF(AND('Account Dump'!$I193=1,'Account Dump'!$I194=1), "Dupe", 'Account Dump'!I193)</f>
        <v>Dupe</v>
      </c>
    </row>
    <row r="194" spans="1:9" x14ac:dyDescent="0.3">
      <c r="A194" s="44" t="str">
        <f>IF('Account Dump'!$I194=1, "Dupe", 'Account Dump'!A194)</f>
        <v>Dupe</v>
      </c>
      <c r="B194" s="6" t="str">
        <f>IF('Account Dump'!$I194=1, "Dupe", 'Account Dump'!B194)</f>
        <v>Dupe</v>
      </c>
      <c r="C194" s="6" t="str">
        <f>IF('Account Dump'!$I194=1, "Dupe", 'Account Dump'!C194)</f>
        <v>Dupe</v>
      </c>
      <c r="D194" s="6" t="str">
        <f>IF('Account Dump'!$I194=1, "Dupe", 'Account Dump'!D194)</f>
        <v>Dupe</v>
      </c>
      <c r="E194">
        <v>0</v>
      </c>
      <c r="F194" s="6" t="str">
        <f>IF('Account Dump'!$I194=1, "Dupe", "")</f>
        <v>Dupe</v>
      </c>
      <c r="G194" s="6" t="str">
        <f>IF(AND('Account Dump'!$I194=1,'Account Dump'!$I195=1), "Dupe", 'Account Dump'!G194)</f>
        <v>Dupe</v>
      </c>
      <c r="H194" s="6" t="str">
        <f>IF(AND('Account Dump'!$I194=1,'Account Dump'!$I195=1), "Dupe", 'Account Dump'!H194)</f>
        <v>Dupe</v>
      </c>
      <c r="I194" s="45" t="str">
        <f>IF(AND('Account Dump'!$I194=1,'Account Dump'!$I195=1), "Dupe", 'Account Dump'!I194)</f>
        <v>Dupe</v>
      </c>
    </row>
    <row r="195" spans="1:9" x14ac:dyDescent="0.3">
      <c r="A195" s="44" t="str">
        <f>IF('Account Dump'!$I195=1, "Dupe", 'Account Dump'!A195)</f>
        <v>Dupe</v>
      </c>
      <c r="B195" s="6" t="str">
        <f>IF('Account Dump'!$I195=1, "Dupe", 'Account Dump'!B195)</f>
        <v>Dupe</v>
      </c>
      <c r="C195" s="6" t="str">
        <f>IF('Account Dump'!$I195=1, "Dupe", 'Account Dump'!C195)</f>
        <v>Dupe</v>
      </c>
      <c r="D195" s="6" t="str">
        <f>IF('Account Dump'!$I195=1, "Dupe", 'Account Dump'!D195)</f>
        <v>Dupe</v>
      </c>
      <c r="E195">
        <v>0</v>
      </c>
      <c r="F195" s="6" t="str">
        <f>IF('Account Dump'!$I195=1, "Dupe", "")</f>
        <v>Dupe</v>
      </c>
      <c r="G195" s="6" t="str">
        <f>IF(AND('Account Dump'!$I195=1,'Account Dump'!$I196=1), "Dupe", 'Account Dump'!G195)</f>
        <v>Dupe</v>
      </c>
      <c r="H195" s="6" t="str">
        <f>IF(AND('Account Dump'!$I195=1,'Account Dump'!$I196=1), "Dupe", 'Account Dump'!H195)</f>
        <v>Dupe</v>
      </c>
      <c r="I195" s="45" t="str">
        <f>IF(AND('Account Dump'!$I195=1,'Account Dump'!$I196=1), "Dupe", 'Account Dump'!I195)</f>
        <v>Dupe</v>
      </c>
    </row>
    <row r="196" spans="1:9" x14ac:dyDescent="0.3">
      <c r="A196" s="44" t="str">
        <f>IF('Account Dump'!$I196=1, "Dupe", 'Account Dump'!A196)</f>
        <v>Dupe</v>
      </c>
      <c r="B196" s="6" t="str">
        <f>IF('Account Dump'!$I196=1, "Dupe", 'Account Dump'!B196)</f>
        <v>Dupe</v>
      </c>
      <c r="C196" s="6" t="str">
        <f>IF('Account Dump'!$I196=1, "Dupe", 'Account Dump'!C196)</f>
        <v>Dupe</v>
      </c>
      <c r="D196" s="6" t="str">
        <f>IF('Account Dump'!$I196=1, "Dupe", 'Account Dump'!D196)</f>
        <v>Dupe</v>
      </c>
      <c r="E196">
        <v>0</v>
      </c>
      <c r="F196" s="6" t="str">
        <f>IF('Account Dump'!$I196=1, "Dupe", "")</f>
        <v>Dupe</v>
      </c>
      <c r="G196" s="6" t="str">
        <f>IF(AND('Account Dump'!$I196=1,'Account Dump'!$I197=1), "Dupe", 'Account Dump'!G196)</f>
        <v>Dupe</v>
      </c>
      <c r="H196" s="6" t="str">
        <f>IF(AND('Account Dump'!$I196=1,'Account Dump'!$I197=1), "Dupe", 'Account Dump'!H196)</f>
        <v>Dupe</v>
      </c>
      <c r="I196" s="45" t="str">
        <f>IF(AND('Account Dump'!$I196=1,'Account Dump'!$I197=1), "Dupe", 'Account Dump'!I196)</f>
        <v>Dupe</v>
      </c>
    </row>
    <row r="197" spans="1:9" x14ac:dyDescent="0.3">
      <c r="A197" s="44" t="str">
        <f>IF('Account Dump'!$I197=1, "Dupe", 'Account Dump'!A197)</f>
        <v>Dupe</v>
      </c>
      <c r="B197" s="6" t="str">
        <f>IF('Account Dump'!$I197=1, "Dupe", 'Account Dump'!B197)</f>
        <v>Dupe</v>
      </c>
      <c r="C197" s="6" t="str">
        <f>IF('Account Dump'!$I197=1, "Dupe", 'Account Dump'!C197)</f>
        <v>Dupe</v>
      </c>
      <c r="D197" s="6" t="str">
        <f>IF('Account Dump'!$I197=1, "Dupe", 'Account Dump'!D197)</f>
        <v>Dupe</v>
      </c>
      <c r="E197">
        <v>0</v>
      </c>
      <c r="F197" s="6" t="str">
        <f>IF('Account Dump'!$I197=1, "Dupe", "")</f>
        <v>Dupe</v>
      </c>
      <c r="G197" s="6" t="str">
        <f>IF(AND('Account Dump'!$I197=1,'Account Dump'!$I198=1), "Dupe", 'Account Dump'!G197)</f>
        <v>Dupe</v>
      </c>
      <c r="H197" s="6" t="str">
        <f>IF(AND('Account Dump'!$I197=1,'Account Dump'!$I198=1), "Dupe", 'Account Dump'!H197)</f>
        <v>Dupe</v>
      </c>
      <c r="I197" s="45" t="str">
        <f>IF(AND('Account Dump'!$I197=1,'Account Dump'!$I198=1), "Dupe", 'Account Dump'!I197)</f>
        <v>Dupe</v>
      </c>
    </row>
    <row r="198" spans="1:9" x14ac:dyDescent="0.3">
      <c r="A198" s="44" t="str">
        <f>IF('Account Dump'!$I198=1, "Dupe", 'Account Dump'!A198)</f>
        <v>Dupe</v>
      </c>
      <c r="B198" s="6" t="str">
        <f>IF('Account Dump'!$I198=1, "Dupe", 'Account Dump'!B198)</f>
        <v>Dupe</v>
      </c>
      <c r="C198" s="6" t="str">
        <f>IF('Account Dump'!$I198=1, "Dupe", 'Account Dump'!C198)</f>
        <v>Dupe</v>
      </c>
      <c r="D198" s="6" t="str">
        <f>IF('Account Dump'!$I198=1, "Dupe", 'Account Dump'!D198)</f>
        <v>Dupe</v>
      </c>
      <c r="E198">
        <v>0</v>
      </c>
      <c r="F198" s="6" t="str">
        <f>IF('Account Dump'!$I198=1, "Dupe", "")</f>
        <v>Dupe</v>
      </c>
      <c r="G198" s="6" t="str">
        <f>IF(AND('Account Dump'!$I198=1,'Account Dump'!$I199=1), "Dupe", 'Account Dump'!G198)</f>
        <v>Dupe</v>
      </c>
      <c r="H198" s="6" t="str">
        <f>IF(AND('Account Dump'!$I198=1,'Account Dump'!$I199=1), "Dupe", 'Account Dump'!H198)</f>
        <v>Dupe</v>
      </c>
      <c r="I198" s="45" t="str">
        <f>IF(AND('Account Dump'!$I198=1,'Account Dump'!$I199=1), "Dupe", 'Account Dump'!I198)</f>
        <v>Dupe</v>
      </c>
    </row>
    <row r="199" spans="1:9" x14ac:dyDescent="0.3">
      <c r="A199" s="44" t="str">
        <f>IF('Account Dump'!$I199=1, "Dupe", 'Account Dump'!A199)</f>
        <v>Dupe</v>
      </c>
      <c r="B199" s="6" t="str">
        <f>IF('Account Dump'!$I199=1, "Dupe", 'Account Dump'!B199)</f>
        <v>Dupe</v>
      </c>
      <c r="C199" s="6" t="str">
        <f>IF('Account Dump'!$I199=1, "Dupe", 'Account Dump'!C199)</f>
        <v>Dupe</v>
      </c>
      <c r="D199" s="6" t="str">
        <f>IF('Account Dump'!$I199=1, "Dupe", 'Account Dump'!D199)</f>
        <v>Dupe</v>
      </c>
      <c r="E199">
        <v>0</v>
      </c>
      <c r="F199" s="6" t="str">
        <f>IF('Account Dump'!$I199=1, "Dupe", "")</f>
        <v>Dupe</v>
      </c>
      <c r="G199" s="6" t="str">
        <f>IF(AND('Account Dump'!$I199=1,'Account Dump'!$I200=1), "Dupe", 'Account Dump'!G199)</f>
        <v>Dupe</v>
      </c>
      <c r="H199" s="6" t="str">
        <f>IF(AND('Account Dump'!$I199=1,'Account Dump'!$I200=1), "Dupe", 'Account Dump'!H199)</f>
        <v>Dupe</v>
      </c>
      <c r="I199" s="45" t="str">
        <f>IF(AND('Account Dump'!$I199=1,'Account Dump'!$I200=1), "Dupe", 'Account Dump'!I199)</f>
        <v>Dupe</v>
      </c>
    </row>
    <row r="200" spans="1:9" x14ac:dyDescent="0.3">
      <c r="A200" s="44" t="str">
        <f>IF('Account Dump'!$I200=1, "Dupe", 'Account Dump'!A200)</f>
        <v>Dupe</v>
      </c>
      <c r="B200" s="6" t="str">
        <f>IF('Account Dump'!$I200=1, "Dupe", 'Account Dump'!B200)</f>
        <v>Dupe</v>
      </c>
      <c r="C200" s="6" t="str">
        <f>IF('Account Dump'!$I200=1, "Dupe", 'Account Dump'!C200)</f>
        <v>Dupe</v>
      </c>
      <c r="D200" s="6" t="str">
        <f>IF('Account Dump'!$I200=1, "Dupe", 'Account Dump'!D200)</f>
        <v>Dupe</v>
      </c>
      <c r="E200">
        <v>0</v>
      </c>
      <c r="F200" s="6" t="str">
        <f>IF('Account Dump'!$I200=1, "Dupe", "")</f>
        <v>Dupe</v>
      </c>
      <c r="G200" s="6" t="str">
        <f>IF(AND('Account Dump'!$I200=1,'Account Dump'!$I201=1), "Dupe", 'Account Dump'!G200)</f>
        <v>Dupe</v>
      </c>
      <c r="H200" s="6" t="str">
        <f>IF(AND('Account Dump'!$I200=1,'Account Dump'!$I201=1), "Dupe", 'Account Dump'!H200)</f>
        <v>Dupe</v>
      </c>
      <c r="I200" s="45" t="str">
        <f>IF(AND('Account Dump'!$I200=1,'Account Dump'!$I201=1), "Dupe", 'Account Dump'!I200)</f>
        <v>Dupe</v>
      </c>
    </row>
    <row r="201" spans="1:9" ht="15" thickBot="1" x14ac:dyDescent="0.35">
      <c r="A201" s="44" t="str">
        <f>IF('Account Dump'!$I201=1, "Dupe", 'Account Dump'!A201)</f>
        <v>Dupe</v>
      </c>
      <c r="B201" s="6" t="str">
        <f>IF('Account Dump'!$I201=1, "Dupe", 'Account Dump'!B201)</f>
        <v>Dupe</v>
      </c>
      <c r="C201" s="6" t="str">
        <f>IF('Account Dump'!$I201=1, "Dupe", 'Account Dump'!C201)</f>
        <v>Dupe</v>
      </c>
      <c r="D201" s="6" t="str">
        <f>IF('Account Dump'!$I201=1, "Dupe", 'Account Dump'!D201)</f>
        <v>Dupe</v>
      </c>
      <c r="E201">
        <v>0</v>
      </c>
      <c r="F201" s="6" t="str">
        <f>IF('Account Dump'!$I201=1, "Dupe", "")</f>
        <v>Dupe</v>
      </c>
      <c r="G201" s="46" t="e">
        <f>IF(AND('Account Dump'!$I201=1,'Account Dump'!$I202=1), "Dupe", 'Account Dump'!G201)</f>
        <v>#N/A</v>
      </c>
      <c r="H201" s="46">
        <f>IF(AND('Account Dump'!$I201=1,'Account Dump'!$I202=1), "Dupe", 'Account Dump'!H201)</f>
        <v>43362</v>
      </c>
      <c r="I201" s="47">
        <f>IF(AND('Account Dump'!$I201=1,'Account Dump'!$I202=1), "Dupe", 'Account Dump'!I201)</f>
        <v>1</v>
      </c>
    </row>
    <row r="202" spans="1:9" x14ac:dyDescent="0.3">
      <c r="E202">
        <v>0</v>
      </c>
    </row>
    <row r="203" spans="1:9" x14ac:dyDescent="0.3">
      <c r="E203">
        <v>0</v>
      </c>
    </row>
    <row r="204" spans="1:9" x14ac:dyDescent="0.3">
      <c r="E204">
        <v>0</v>
      </c>
    </row>
    <row r="205" spans="1:9" x14ac:dyDescent="0.3">
      <c r="E205">
        <v>0</v>
      </c>
    </row>
    <row r="206" spans="1:9" x14ac:dyDescent="0.3">
      <c r="E206">
        <v>0</v>
      </c>
    </row>
    <row r="208" spans="1:9" x14ac:dyDescent="0.3">
      <c r="E208">
        <v>0</v>
      </c>
    </row>
    <row r="209" spans="5:5" x14ac:dyDescent="0.3">
      <c r="E209">
        <v>0</v>
      </c>
    </row>
    <row r="213" spans="5:5" x14ac:dyDescent="0.3">
      <c r="E213">
        <v>0</v>
      </c>
    </row>
    <row r="214" spans="5:5" x14ac:dyDescent="0.3">
      <c r="E214">
        <v>0</v>
      </c>
    </row>
    <row r="217" spans="5:5" x14ac:dyDescent="0.3">
      <c r="E217">
        <v>0</v>
      </c>
    </row>
    <row r="218" spans="5:5" x14ac:dyDescent="0.3">
      <c r="E218">
        <v>0</v>
      </c>
    </row>
    <row r="219" spans="5:5" x14ac:dyDescent="0.3">
      <c r="E219">
        <v>0</v>
      </c>
    </row>
    <row r="220" spans="5:5" x14ac:dyDescent="0.3">
      <c r="E220">
        <v>0</v>
      </c>
    </row>
    <row r="221" spans="5:5" x14ac:dyDescent="0.3">
      <c r="E221">
        <v>0</v>
      </c>
    </row>
    <row r="222" spans="5:5" x14ac:dyDescent="0.3">
      <c r="E222">
        <v>0</v>
      </c>
    </row>
    <row r="224" spans="5:5" x14ac:dyDescent="0.3">
      <c r="E224">
        <v>0</v>
      </c>
    </row>
    <row r="225" spans="5:5" x14ac:dyDescent="0.3">
      <c r="E225">
        <v>0</v>
      </c>
    </row>
  </sheetData>
  <sheetProtection autoFilter="0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workbookViewId="0">
      <selection activeCell="G39" sqref="G39"/>
    </sheetView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Results</vt:lpstr>
      <vt:lpstr>Distribution</vt:lpstr>
      <vt:lpstr>Account Dump</vt:lpstr>
      <vt:lpstr>Dupe Controller</vt:lpstr>
      <vt:lpstr>New Account Owner IDs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Duncan Ferguson</dc:creator>
  <cp:lastModifiedBy>Duncan</cp:lastModifiedBy>
  <dcterms:created xsi:type="dcterms:W3CDTF">2018-06-01T16:44:15Z</dcterms:created>
  <dcterms:modified xsi:type="dcterms:W3CDTF">2018-09-20T15:16:42Z</dcterms:modified>
</cp:coreProperties>
</file>