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GITHUB_REPOSITORY\VBA\"/>
    </mc:Choice>
  </mc:AlternateContent>
  <xr:revisionPtr revIDLastSave="0" documentId="13_ncr:1_{F8E9F953-4973-4F52-87E3-BADAC11DBD93}" xr6:coauthVersionLast="47" xr6:coauthVersionMax="47" xr10:uidLastSave="{00000000-0000-0000-0000-000000000000}"/>
  <bookViews>
    <workbookView xWindow="-120" yWindow="-120" windowWidth="29040" windowHeight="17640" activeTab="3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ACCOUNT_DISTRO!$J$2:$J$136</definedName>
    <definedName name="_xlchart.v1.1" hidden="1">ACCOUNT_DISTRO!$K$1</definedName>
    <definedName name="_xlchart.v1.2" hidden="1">ACCOUNT_DISTRO!$K$2:$K$136</definedName>
    <definedName name="_xlchart.v1.3" hidden="1">ACCOUNT_DISTRO!$M$2:$M$201</definedName>
    <definedName name="_xlchart.v1.4" hidden="1">ACCOUNT_DISTRO!$N$1</definedName>
    <definedName name="_xlchart.v1.5" hidden="1">ACCOUNT_DISTRO!$N$2:$N$201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ACCOUNT_DISTRO!$L$2:$L$201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ACCOUNT_DISTRO!$L$2:$L$201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ACCOUNT_DISTRO!$L$2:$L$201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ACCOUNT_DISTRO!$L$2:$L$201</definedName>
    <definedName name="solver_lhs4" localSheetId="3" hidden="1">ACCOUNT_DISTRO!$D$10</definedName>
    <definedName name="solver_lhs5" localSheetId="3" hidden="1">ACCOUNT_DISTRO!$D$10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1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"integer"</definedName>
    <definedName name="solver_rhs4" localSheetId="3" hidden="1">199</definedName>
    <definedName name="solver_rhs5" localSheetId="3" hidden="1">201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39" i="5" l="1"/>
  <c r="G139" i="5" s="1"/>
  <c r="M180" i="5"/>
  <c r="G180" i="5" s="1"/>
  <c r="D16" i="5"/>
  <c r="E17" i="1" s="1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M101" i="5" s="1"/>
  <c r="G101" i="5" s="1"/>
  <c r="A13" i="5"/>
  <c r="C13" i="5" s="1"/>
  <c r="A14" i="5"/>
  <c r="A15" i="5"/>
  <c r="D15" i="5" s="1"/>
  <c r="M157" i="5" l="1"/>
  <c r="G157" i="5" s="1"/>
  <c r="M51" i="5"/>
  <c r="G51" i="5" s="1"/>
  <c r="M191" i="5"/>
  <c r="G191" i="5" s="1"/>
  <c r="M190" i="5"/>
  <c r="G190" i="5" s="1"/>
  <c r="M155" i="5"/>
  <c r="G155" i="5" s="1"/>
  <c r="M60" i="5"/>
  <c r="G60" i="5" s="1"/>
  <c r="M140" i="5"/>
  <c r="G140" i="5" s="1"/>
  <c r="M189" i="5"/>
  <c r="G189" i="5" s="1"/>
  <c r="M113" i="5"/>
  <c r="G113" i="5" s="1"/>
  <c r="M125" i="5"/>
  <c r="G125" i="5" s="1"/>
  <c r="M79" i="5"/>
  <c r="G79" i="5" s="1"/>
  <c r="M63" i="5"/>
  <c r="G63" i="5" s="1"/>
  <c r="M182" i="5"/>
  <c r="G182" i="5" s="1"/>
  <c r="M115" i="5"/>
  <c r="G115" i="5" s="1"/>
  <c r="M161" i="5"/>
  <c r="G161" i="5" s="1"/>
  <c r="M94" i="5"/>
  <c r="G94" i="5" s="1"/>
  <c r="M2" i="5"/>
  <c r="M136" i="5"/>
  <c r="G136" i="5" s="1"/>
  <c r="M134" i="5"/>
  <c r="G134" i="5" s="1"/>
  <c r="M90" i="5"/>
  <c r="G90" i="5" s="1"/>
  <c r="M80" i="5"/>
  <c r="G80" i="5" s="1"/>
  <c r="M47" i="5"/>
  <c r="G47" i="5" s="1"/>
  <c r="M86" i="5"/>
  <c r="G86" i="5" s="1"/>
  <c r="M121" i="5"/>
  <c r="G121" i="5" s="1"/>
  <c r="M185" i="5"/>
  <c r="G185" i="5" s="1"/>
  <c r="M66" i="5"/>
  <c r="G66" i="5" s="1"/>
  <c r="M183" i="5"/>
  <c r="G183" i="5" s="1"/>
  <c r="M138" i="5"/>
  <c r="G138" i="5" s="1"/>
  <c r="M194" i="5"/>
  <c r="G194" i="5" s="1"/>
  <c r="M178" i="5"/>
  <c r="G178" i="5" s="1"/>
  <c r="M187" i="5"/>
  <c r="G187" i="5" s="1"/>
  <c r="M114" i="5"/>
  <c r="G114" i="5" s="1"/>
  <c r="M95" i="5"/>
  <c r="G95" i="5" s="1"/>
  <c r="M143" i="5"/>
  <c r="G143" i="5" s="1"/>
  <c r="M89" i="5"/>
  <c r="G89" i="5" s="1"/>
  <c r="M59" i="5"/>
  <c r="G59" i="5" s="1"/>
  <c r="M116" i="5"/>
  <c r="G116" i="5" s="1"/>
  <c r="M195" i="5"/>
  <c r="G195" i="5" s="1"/>
  <c r="M123" i="5"/>
  <c r="G123" i="5" s="1"/>
  <c r="M109" i="5"/>
  <c r="G109" i="5" s="1"/>
  <c r="M120" i="5"/>
  <c r="G120" i="5" s="1"/>
  <c r="M18" i="5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<sst xmlns="http://schemas.openxmlformats.org/spreadsheetml/2006/main" count="3780" uniqueCount="1936">
  <si>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</si>
  <si>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</si>
  <si>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</si>
  <si>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</si>
  <si>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</si>
  <si>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</si>
  <si>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</si>
  <si>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</si>
  <si>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</si>
  <si>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</si>
  <si>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</si>
  <si>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</si>
  <si>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</si>
  <si>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</si>
  <si>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</si>
  <si>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</si>
  <si>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</si>
  <si>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</si>
  <si>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</si>
  <si>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</si>
  <si>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</si>
  <si>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</si>
  <si>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</si>
  <si>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</si>
  <si>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</si>
  <si>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</si>
  <si>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</si>
  <si>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</si>
  <si>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</si>
  <si>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</si>
  <si>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</si>
  <si>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</si>
  <si>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</si>
  <si>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</si>
  <si>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</si>
  <si>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</si>
  <si>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</si>
  <si>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</si>
  <si>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</si>
  <si>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</si>
  <si>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</si>
  <si>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</si>
  <si>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</si>
  <si>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</si>
  <si>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</si>
  <si>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</si>
  <si>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</si>
  <si>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</si>
  <si>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</si>
  <si>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</si>
  <si>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</si>
  <si>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</si>
  <si>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</si>
  <si>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</si>
  <si>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</si>
  <si>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</si>
  <si>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</si>
  <si>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</si>
  <si>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</si>
  <si>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</si>
  <si>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</si>
  <si>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</si>
  <si>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</si>
  <si>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</si>
  <si>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</si>
  <si>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</si>
  <si>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</si>
  <si>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</si>
  <si>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</si>
  <si>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</si>
  <si>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</si>
  <si>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</si>
  <si>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</si>
  <si>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</si>
  <si>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</si>
  <si>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</si>
  <si>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</si>
  <si>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</si>
  <si>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</si>
  <si>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</si>
  <si>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</si>
  <si>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</si>
  <si>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</si>
  <si>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</si>
  <si>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</si>
  <si>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</si>
  <si>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</si>
  <si>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</si>
  <si>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</si>
  <si>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</si>
  <si>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</si>
  <si>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</si>
  <si>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</si>
  <si>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</si>
  <si>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</si>
  <si>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</si>
  <si>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</si>
  <si>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</si>
  <si>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</si>
  <si>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</si>
  <si>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</si>
  <si>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</si>
  <si>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</si>
  <si>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</si>
  <si>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</si>
  <si>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</si>
  <si>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</si>
  <si>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</si>
  <si>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</si>
  <si>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</si>
  <si>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</si>
  <si>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</si>
  <si>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</si>
  <si>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</si>
  <si>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</si>
  <si>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</si>
  <si>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</si>
  <si>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</si>
  <si>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</si>
  <si>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</si>
  <si>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</si>
  <si>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</si>
  <si>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</si>
  <si>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</si>
  <si>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</si>
  <si>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</si>
  <si>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</si>
  <si>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</si>
  <si>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</si>
  <si>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</si>
  <si>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</si>
  <si>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</si>
  <si>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</si>
  <si>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</si>
  <si>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</si>
  <si>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</si>
  <si>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</si>
  <si>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</si>
  <si>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</si>
  <si>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</si>
  <si>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</si>
  <si>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</si>
  <si>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</si>
  <si>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</si>
  <si>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</si>
  <si>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</si>
  <si>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</si>
  <si>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</si>
  <si>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</si>
  <si>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</si>
  <si>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</si>
  <si>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</si>
  <si>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</si>
  <si>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</si>
  <si>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</si>
  <si>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</si>
  <si>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</si>
  <si>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</si>
  <si>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</si>
  <si>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</si>
  <si>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</si>
  <si>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</si>
  <si>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</si>
  <si>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</si>
  <si>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</si>
  <si>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</si>
  <si>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</si>
  <si>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</si>
  <si>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</si>
  <si>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</si>
  <si>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</si>
  <si>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</si>
  <si>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</si>
  <si>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</si>
  <si>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</si>
  <si>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</si>
  <si>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</si>
  <si>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</si>
  <si>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</si>
  <si>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</si>
  <si>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</si>
  <si>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</si>
  <si>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</si>
  <si>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</si>
  <si>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</si>
  <si>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</si>
  <si>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</si>
  <si>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</si>
  <si>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</si>
  <si>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</si>
  <si>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</si>
  <si>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</si>
  <si>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</si>
  <si>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</si>
  <si>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</si>
  <si>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</si>
  <si>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</si>
  <si>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</si>
  <si>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</si>
  <si>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</si>
  <si>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</si>
  <si>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</si>
  <si>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</si>
  <si>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</si>
  <si>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</si>
  <si>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</si>
  <si>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</si>
  <si>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</si>
  <si>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</si>
  <si>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</si>
  <si>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</si>
  <si>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</si>
  <si>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</si>
  <si>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</si>
  <si>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</si>
  <si>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</si>
  <si>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</si>
  <si>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</si>
  <si>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</si>
  <si>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</si>
  <si>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</si>
  <si>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</si>
  <si>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</si>
  <si>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</si>
  <si>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</si>
  <si>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</si>
  <si>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</si>
  <si>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</si>
  <si>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</si>
  <si>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</si>
  <si>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</si>
  <si>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</si>
  <si>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</si>
  <si>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</si>
  <si>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</si>
  <si>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</si>
  <si>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</si>
  <si>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</si>
  <si>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</si>
  <si>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</si>
  <si>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</si>
  <si>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</si>
  <si>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</si>
  <si>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</si>
  <si>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</si>
  <si>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</si>
  <si>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</si>
  <si>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</si>
  <si>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</si>
  <si>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</si>
  <si>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</si>
  <si>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</si>
  <si>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</si>
  <si>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</si>
  <si>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</si>
  <si>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</si>
  <si>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</si>
  <si>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</si>
  <si>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</si>
  <si>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</si>
  <si>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</si>
  <si>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</si>
  <si>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</si>
  <si>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</si>
  <si>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</si>
  <si>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</si>
  <si>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</si>
  <si>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</si>
  <si>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</si>
  <si>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</si>
  <si>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</si>
  <si>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</si>
  <si>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</si>
  <si>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</si>
  <si>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</si>
  <si>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</si>
  <si>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</si>
  <si>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</si>
  <si>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</si>
  <si>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</si>
  <si>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</si>
  <si>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</si>
  <si>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</si>
  <si>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</si>
  <si>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</si>
  <si>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</si>
  <si>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</si>
  <si>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</si>
  <si>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</si>
  <si>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</si>
  <si>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</si>
  <si>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</si>
  <si>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</si>
  <si>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</si>
  <si>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</si>
  <si>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</si>
  <si>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</si>
  <si>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</si>
  <si>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</si>
  <si>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</si>
  <si>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</si>
  <si>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</si>
  <si>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</si>
  <si>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</si>
  <si>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</si>
  <si>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</si>
  <si>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</si>
  <si>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</si>
  <si>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</si>
  <si>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</si>
  <si>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</si>
  <si>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</si>
  <si>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</si>
  <si>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</si>
  <si>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</si>
  <si>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</si>
  <si>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</si>
  <si>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</si>
  <si>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</si>
  <si>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</si>
  <si>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</si>
  <si>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</si>
  <si>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</si>
  <si>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</si>
  <si>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</si>
  <si>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</si>
  <si>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</si>
  <si>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</si>
  <si>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</si>
  <si>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</si>
  <si>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</si>
  <si>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</si>
  <si>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</si>
  <si>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</si>
  <si>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</si>
  <si>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</si>
  <si>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</si>
  <si>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</si>
  <si>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</si>
  <si>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</si>
  <si>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</si>
  <si>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</si>
  <si>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</si>
  <si>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</si>
  <si>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</si>
  <si>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</si>
  <si>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</si>
  <si>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</si>
  <si>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</si>
  <si>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</si>
  <si>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</si>
  <si>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</si>
  <si>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</si>
  <si>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</si>
  <si>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</si>
  <si>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</si>
  <si>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</si>
  <si>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</si>
  <si>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</si>
  <si>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</si>
  <si>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</si>
  <si>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</si>
  <si>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</si>
  <si>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</si>
  <si>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</si>
  <si>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</si>
  <si>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</si>
  <si>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</si>
  <si>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</si>
  <si>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</si>
  <si>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</si>
  <si>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</si>
  <si>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</si>
  <si>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</si>
  <si>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</si>
  <si>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</si>
  <si>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</si>
  <si>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</si>
  <si>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</si>
  <si>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</si>
  <si>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</si>
  <si>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</si>
  <si>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</si>
  <si>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</si>
  <si>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</si>
  <si>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</si>
  <si>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</si>
  <si>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</si>
  <si>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</si>
  <si>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</si>
  <si>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</si>
  <si>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</si>
  <si>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</si>
  <si>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</si>
  <si>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</si>
  <si>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</si>
  <si>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</si>
  <si>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</si>
  <si>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</si>
  <si>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</si>
  <si>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</si>
  <si>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</si>
  <si>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</si>
  <si>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</si>
  <si>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</si>
  <si>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</si>
  <si>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</si>
  <si>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</si>
  <si>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</si>
  <si>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</si>
  <si>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</si>
  <si>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</si>
  <si>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</si>
  <si>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</si>
  <si>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</si>
  <si>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</si>
  <si>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</si>
  <si>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</si>
  <si>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</si>
  <si>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</si>
  <si>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</si>
  <si>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</si>
  <si>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</si>
  <si>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</si>
  <si>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</si>
  <si>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</si>
  <si>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</si>
  <si>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</si>
  <si>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</si>
  <si>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</si>
  <si>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</si>
  <si>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</si>
  <si>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</si>
  <si>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</si>
  <si>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</si>
  <si>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</si>
  <si>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</si>
  <si>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</si>
  <si>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</si>
  <si>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</si>
  <si>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</si>
  <si>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</si>
  <si>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7/17/2019</t>
  </si>
  <si>
    <t>0011U00000hWmlPQAS</t>
  </si>
  <si>
    <t>Pam Humphreys</t>
  </si>
  <si>
    <t>0011U00000hWmlTQAS</t>
  </si>
  <si>
    <t>Patricia A Bateman</t>
  </si>
  <si>
    <t>0011U00000hWmlYQAS</t>
  </si>
  <si>
    <t>Pearlene Welch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</si>
  <si>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</si>
  <si>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</si>
  <si>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</si>
  <si>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</si>
  <si>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</si>
  <si>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</si>
  <si>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</si>
  <si>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</si>
  <si>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0011U00000hWmlxQAC</t>
  </si>
  <si>
    <t>Robert G Freeman</t>
  </si>
  <si>
    <t>0011U00000hWmm2QAC</t>
  </si>
  <si>
    <t>Robert M Thomas</t>
  </si>
  <si>
    <t>0011U00000hWmmAQAS</t>
  </si>
  <si>
    <t>Sanvin Inc</t>
  </si>
  <si>
    <t>0011U00000hWmmHQAS</t>
  </si>
  <si>
    <t>Stephen H Sands</t>
  </si>
  <si>
    <t>0011U00000hWmmMQAS</t>
  </si>
  <si>
    <t>The Tucker Revocable Trust</t>
  </si>
  <si>
    <t>0011U00000hWmmOQAS</t>
  </si>
  <si>
    <t>Thomas Anderson Beckham</t>
  </si>
  <si>
    <t>0011U00000hWmmPQAS</t>
  </si>
  <si>
    <t>Thomas Mike Mckenzie</t>
  </si>
  <si>
    <t>0011U00000hWmmSQAS</t>
  </si>
  <si>
    <t>Tiffany Wagstaff</t>
  </si>
  <si>
    <t>0011U00000hWmjgQAC</t>
  </si>
  <si>
    <t>John Mark Mcclean</t>
  </si>
  <si>
    <t>0011U00000hWmjlQAC</t>
  </si>
  <si>
    <t>Johnston 1988 Trust</t>
  </si>
  <si>
    <t>0011U00000hWmmZQAS</t>
  </si>
  <si>
    <t>Vermon Leroy Goltry Jr</t>
  </si>
  <si>
    <t>0011U00000hWmmdQAC</t>
  </si>
  <si>
    <t>Virginia Hladik</t>
  </si>
  <si>
    <t>0011U00000hWmmeQAC</t>
  </si>
  <si>
    <t>Virginia Simmons Phillips</t>
  </si>
  <si>
    <t>0011U00000hWmjwQAC</t>
  </si>
  <si>
    <t>Julia Cecil Robertson</t>
  </si>
  <si>
    <t>0011U00000hWmkMQAS</t>
  </si>
  <si>
    <t>Leslie N Scott III</t>
  </si>
  <si>
    <t>0011U00000hWmkUQAS</t>
  </si>
  <si>
    <t>Linda Gotlieb II</t>
  </si>
  <si>
    <t>0011U00000hWmkcQAC</t>
  </si>
  <si>
    <t>Marcheta Walker</t>
  </si>
  <si>
    <t>0011U00000hWmkeQAC</t>
  </si>
  <si>
    <t>Marcla Brooks Howell</t>
  </si>
  <si>
    <t>0011U00000hWmkjQAC</t>
  </si>
  <si>
    <t>Marilyn R Adams</t>
  </si>
  <si>
    <t>0011U00000hWmkmQAC</t>
  </si>
  <si>
    <t>Marrs And Smith Ltd</t>
  </si>
  <si>
    <t>0011U00000hWmkoQAC</t>
  </si>
  <si>
    <t>Marsland E Johnson</t>
  </si>
  <si>
    <t>0011U00000hWmkpQAC</t>
  </si>
  <si>
    <t>Martha West</t>
  </si>
  <si>
    <t>0011U00000hWmkvQAC</t>
  </si>
  <si>
    <t>Mary Nell Haley</t>
  </si>
  <si>
    <t>0011U00000hWmkwQAC</t>
  </si>
  <si>
    <t>Mary R Rombokas</t>
  </si>
  <si>
    <t>0011U00000hWml5QAC</t>
  </si>
  <si>
    <t>Michael B Athey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</si>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</sst>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_xlchart.v1.1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_xlchart.v1.4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workbookViewId="0">
      <selection activeCell="B14" sqref="B14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>
        <f>IF(ACCOUNT_DISTRO!B2=0,"Load Accounts!!",ACCOUNT_DISTRO!B2)</f>
        <v>200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200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50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524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 t="s">
        <v>5</v>
      </c>
      <c r="C12" s="13" t="str">
        <f>IF(B12="","",VLOOKUP(B12,USER_ID[#All],2,0))</f>
        <v>0051U000002mMcS</v>
      </c>
      <c r="D12" s="14">
        <f>IF(B12="","",SUMIF(ACCOUNT_DISTRO!$L$2:$L$208,MASTER!A12,ACCOUNT_DISTRO!$K$2:$K$208))</f>
        <v>0</v>
      </c>
      <c r="E12" s="15">
        <f>IF(B12="","",ACCOUNT_DISTRO!D11)</f>
        <v>0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 t="s">
        <v>524</v>
      </c>
      <c r="C13" s="13" t="str">
        <f>IF(B13="","",VLOOKUP(B13,USER_ID[#All],2,0))</f>
        <v>0051U000002mMTi</v>
      </c>
      <c r="D13" s="14">
        <f>IF(B13="","",SUMIF(ACCOUNT_DISTRO!$L$2:$L$208,MASTER!A13,ACCOUNT_DISTRO!$K$2:$K$208))</f>
        <v>0</v>
      </c>
      <c r="E13" s="15">
        <f>IF(B13="","",ACCOUNT_DISTRO!D12)</f>
        <v>0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 t="s">
        <v>4</v>
      </c>
      <c r="C14" s="13" t="str">
        <f>IF(B14="","",VLOOKUP(B14,USER_ID[#All],2,0))</f>
        <v>0051U000002mM44</v>
      </c>
      <c r="D14" s="14">
        <f>IF(B14="","",SUMIF(ACCOUNT_DISTRO!$L$2:$L$208,MASTER!A14,ACCOUNT_DISTRO!$K$2:$K$208))</f>
        <v>0</v>
      </c>
      <c r="E14" s="15">
        <f>IF(B14="","",ACCOUNT_DISTRO!D13)</f>
        <v>0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607</v>
      </c>
      <c r="B2" s="1" t="s">
        <v>608</v>
      </c>
      <c r="C2" s="1" t="s">
        <v>5</v>
      </c>
      <c r="D2">
        <v>0</v>
      </c>
      <c r="E2" s="1" t="s">
        <v>609</v>
      </c>
    </row>
    <row r="3" spans="1:5" hidden="1" x14ac:dyDescent="0.25">
      <c r="A3" s="1" t="s">
        <v>610</v>
      </c>
      <c r="B3" s="1" t="s">
        <v>611</v>
      </c>
      <c r="C3" s="1" t="s">
        <v>5</v>
      </c>
      <c r="D3">
        <v>0</v>
      </c>
      <c r="E3" s="1" t="s">
        <v>609</v>
      </c>
    </row>
    <row r="4" spans="1:5" hidden="1" x14ac:dyDescent="0.25">
      <c r="A4" s="1" t="s">
        <v>612</v>
      </c>
      <c r="B4" s="1" t="s">
        <v>613</v>
      </c>
      <c r="C4" s="1" t="s">
        <v>5</v>
      </c>
      <c r="D4">
        <v>0</v>
      </c>
      <c r="E4" s="1" t="s">
        <v>609</v>
      </c>
    </row>
    <row r="5" spans="1:5" hidden="1" x14ac:dyDescent="0.25">
      <c r="A5" s="1" t="s">
        <v>614</v>
      </c>
      <c r="B5" s="1" t="s">
        <v>615</v>
      </c>
      <c r="C5" s="1" t="s">
        <v>5</v>
      </c>
      <c r="D5">
        <v>0</v>
      </c>
      <c r="E5" s="1" t="s">
        <v>609</v>
      </c>
    </row>
    <row r="6" spans="1:5" hidden="1" x14ac:dyDescent="0.25">
      <c r="A6" s="1" t="s">
        <v>616</v>
      </c>
      <c r="B6" s="1" t="s">
        <v>617</v>
      </c>
      <c r="C6" s="1" t="s">
        <v>5</v>
      </c>
      <c r="D6">
        <v>0</v>
      </c>
      <c r="E6" s="1" t="s">
        <v>609</v>
      </c>
    </row>
    <row r="7" spans="1:5" hidden="1" x14ac:dyDescent="0.25">
      <c r="A7" s="1" t="s">
        <v>618</v>
      </c>
      <c r="B7" s="1" t="s">
        <v>619</v>
      </c>
      <c r="C7" s="1" t="s">
        <v>5</v>
      </c>
      <c r="D7">
        <v>0</v>
      </c>
      <c r="E7" s="1" t="s">
        <v>609</v>
      </c>
    </row>
    <row r="8" spans="1:5" hidden="1" x14ac:dyDescent="0.25">
      <c r="A8" s="1" t="s">
        <v>620</v>
      </c>
      <c r="B8" s="1" t="s">
        <v>621</v>
      </c>
      <c r="C8" s="1" t="s">
        <v>5</v>
      </c>
      <c r="D8">
        <v>0</v>
      </c>
      <c r="E8" s="1" t="s">
        <v>609</v>
      </c>
    </row>
    <row r="9" spans="1:5" hidden="1" x14ac:dyDescent="0.25">
      <c r="A9" s="1" t="s">
        <v>622</v>
      </c>
      <c r="B9" s="1" t="s">
        <v>623</v>
      </c>
      <c r="C9" s="1" t="s">
        <v>5</v>
      </c>
      <c r="D9">
        <v>0</v>
      </c>
      <c r="E9" s="1" t="s">
        <v>609</v>
      </c>
    </row>
    <row r="10" spans="1:5" hidden="1" x14ac:dyDescent="0.25">
      <c r="A10" s="1" t="s">
        <v>624</v>
      </c>
      <c r="B10" s="1" t="s">
        <v>625</v>
      </c>
      <c r="C10" s="1" t="s">
        <v>5</v>
      </c>
      <c r="D10">
        <v>0</v>
      </c>
      <c r="E10" s="1" t="s">
        <v>609</v>
      </c>
    </row>
    <row r="11" spans="1:5" hidden="1" x14ac:dyDescent="0.25">
      <c r="A11" s="1" t="s">
        <v>626</v>
      </c>
      <c r="B11" s="1" t="s">
        <v>627</v>
      </c>
      <c r="C11" s="1" t="s">
        <v>5</v>
      </c>
      <c r="D11">
        <v>0</v>
      </c>
      <c r="E11" s="1" t="s">
        <v>609</v>
      </c>
    </row>
    <row r="12" spans="1:5" hidden="1" x14ac:dyDescent="0.25">
      <c r="A12" s="1" t="s">
        <v>628</v>
      </c>
      <c r="B12" s="1" t="s">
        <v>629</v>
      </c>
      <c r="C12" s="1" t="s">
        <v>5</v>
      </c>
      <c r="D12">
        <v>0</v>
      </c>
      <c r="E12" s="1" t="s">
        <v>609</v>
      </c>
    </row>
    <row r="13" spans="1:5" hidden="1" x14ac:dyDescent="0.25">
      <c r="A13" s="1" t="s">
        <v>630</v>
      </c>
      <c r="B13" s="1" t="s">
        <v>631</v>
      </c>
      <c r="C13" s="1" t="s">
        <v>5</v>
      </c>
      <c r="D13">
        <v>0</v>
      </c>
      <c r="E13" s="1" t="s">
        <v>609</v>
      </c>
    </row>
    <row r="14" spans="1:5" hidden="1" x14ac:dyDescent="0.25">
      <c r="A14" s="1" t="s">
        <v>632</v>
      </c>
      <c r="B14" s="1" t="s">
        <v>633</v>
      </c>
      <c r="C14" s="1" t="s">
        <v>5</v>
      </c>
      <c r="D14">
        <v>0</v>
      </c>
      <c r="E14" s="1" t="s">
        <v>609</v>
      </c>
    </row>
    <row r="15" spans="1:5" hidden="1" x14ac:dyDescent="0.25">
      <c r="A15" s="1" t="s">
        <v>634</v>
      </c>
      <c r="B15" s="1" t="s">
        <v>635</v>
      </c>
      <c r="C15" s="1" t="s">
        <v>5</v>
      </c>
      <c r="D15">
        <v>0</v>
      </c>
      <c r="E15" s="1" t="s">
        <v>609</v>
      </c>
    </row>
    <row r="16" spans="1:5" hidden="1" x14ac:dyDescent="0.25">
      <c r="A16" s="1" t="s">
        <v>636</v>
      </c>
      <c r="B16" s="1" t="s">
        <v>637</v>
      </c>
      <c r="C16" s="1" t="s">
        <v>5</v>
      </c>
      <c r="D16">
        <v>0</v>
      </c>
      <c r="E16" s="1" t="s">
        <v>609</v>
      </c>
    </row>
    <row r="17" spans="1:5" hidden="1" x14ac:dyDescent="0.25">
      <c r="A17" s="1" t="s">
        <v>638</v>
      </c>
      <c r="B17" s="1" t="s">
        <v>639</v>
      </c>
      <c r="C17" s="1" t="s">
        <v>5</v>
      </c>
      <c r="D17">
        <v>0</v>
      </c>
      <c r="E17" s="1" t="s">
        <v>609</v>
      </c>
    </row>
    <row r="18" spans="1:5" hidden="1" x14ac:dyDescent="0.25">
      <c r="A18" s="1" t="s">
        <v>640</v>
      </c>
      <c r="B18" s="1" t="s">
        <v>641</v>
      </c>
      <c r="C18" s="1" t="s">
        <v>5</v>
      </c>
      <c r="D18">
        <v>0</v>
      </c>
      <c r="E18" s="1" t="s">
        <v>609</v>
      </c>
    </row>
    <row r="19" spans="1:5" hidden="1" x14ac:dyDescent="0.25">
      <c r="A19" s="1" t="s">
        <v>642</v>
      </c>
      <c r="B19" s="1" t="s">
        <v>643</v>
      </c>
      <c r="C19" s="1" t="s">
        <v>5</v>
      </c>
      <c r="D19">
        <v>0</v>
      </c>
      <c r="E19" s="1" t="s">
        <v>609</v>
      </c>
    </row>
    <row r="20" spans="1:5" hidden="1" x14ac:dyDescent="0.25">
      <c r="A20" s="1" t="s">
        <v>644</v>
      </c>
      <c r="B20" s="1" t="s">
        <v>645</v>
      </c>
      <c r="C20" s="1" t="s">
        <v>5</v>
      </c>
      <c r="D20">
        <v>0</v>
      </c>
      <c r="E20" s="1" t="s">
        <v>609</v>
      </c>
    </row>
    <row r="21" spans="1:5" hidden="1" x14ac:dyDescent="0.25">
      <c r="A21" s="1" t="s">
        <v>646</v>
      </c>
      <c r="B21" s="1" t="s">
        <v>647</v>
      </c>
      <c r="C21" s="1" t="s">
        <v>5</v>
      </c>
      <c r="D21">
        <v>0</v>
      </c>
      <c r="E21" s="1" t="s">
        <v>609</v>
      </c>
    </row>
    <row r="22" spans="1:5" hidden="1" x14ac:dyDescent="0.25">
      <c r="A22" s="1" t="s">
        <v>648</v>
      </c>
      <c r="B22" s="1" t="s">
        <v>649</v>
      </c>
      <c r="C22" s="1" t="s">
        <v>5</v>
      </c>
      <c r="D22">
        <v>0</v>
      </c>
      <c r="E22" s="1" t="s">
        <v>609</v>
      </c>
    </row>
    <row r="23" spans="1:5" hidden="1" x14ac:dyDescent="0.25">
      <c r="A23" s="1" t="s">
        <v>650</v>
      </c>
      <c r="B23" s="1" t="s">
        <v>651</v>
      </c>
      <c r="C23" s="1" t="s">
        <v>5</v>
      </c>
      <c r="D23">
        <v>0</v>
      </c>
      <c r="E23" s="1" t="s">
        <v>609</v>
      </c>
    </row>
    <row r="24" spans="1:5" hidden="1" x14ac:dyDescent="0.25">
      <c r="A24" s="1" t="s">
        <v>652</v>
      </c>
      <c r="B24" s="1" t="s">
        <v>653</v>
      </c>
      <c r="C24" s="1" t="s">
        <v>5</v>
      </c>
      <c r="D24">
        <v>0</v>
      </c>
      <c r="E24" s="1" t="s">
        <v>609</v>
      </c>
    </row>
    <row r="25" spans="1:5" hidden="1" x14ac:dyDescent="0.25">
      <c r="A25" s="1" t="s">
        <v>654</v>
      </c>
      <c r="B25" s="1" t="s">
        <v>655</v>
      </c>
      <c r="C25" s="1" t="s">
        <v>5</v>
      </c>
      <c r="D25">
        <v>0</v>
      </c>
      <c r="E25" s="1" t="s">
        <v>609</v>
      </c>
    </row>
    <row r="26" spans="1:5" hidden="1" x14ac:dyDescent="0.25">
      <c r="A26" s="1" t="s">
        <v>656</v>
      </c>
      <c r="B26" s="1" t="s">
        <v>657</v>
      </c>
      <c r="C26" s="1" t="s">
        <v>5</v>
      </c>
      <c r="D26">
        <v>0</v>
      </c>
      <c r="E26" s="1" t="s">
        <v>609</v>
      </c>
    </row>
    <row r="27" spans="1:5" hidden="1" x14ac:dyDescent="0.25">
      <c r="A27" s="1" t="s">
        <v>658</v>
      </c>
      <c r="B27" s="1" t="s">
        <v>659</v>
      </c>
      <c r="C27" s="1" t="s">
        <v>5</v>
      </c>
      <c r="D27">
        <v>0</v>
      </c>
      <c r="E27" s="1" t="s">
        <v>609</v>
      </c>
    </row>
    <row r="28" spans="1:5" hidden="1" x14ac:dyDescent="0.25">
      <c r="A28" s="1" t="s">
        <v>660</v>
      </c>
      <c r="B28" s="1" t="s">
        <v>661</v>
      </c>
      <c r="C28" s="1" t="s">
        <v>5</v>
      </c>
      <c r="D28">
        <v>0</v>
      </c>
      <c r="E28" s="1" t="s">
        <v>609</v>
      </c>
    </row>
    <row r="29" spans="1:5" hidden="1" x14ac:dyDescent="0.25">
      <c r="A29" s="1" t="s">
        <v>662</v>
      </c>
      <c r="B29" s="1" t="s">
        <v>663</v>
      </c>
      <c r="C29" s="1" t="s">
        <v>5</v>
      </c>
      <c r="D29">
        <v>0</v>
      </c>
      <c r="E29" s="1" t="s">
        <v>609</v>
      </c>
    </row>
    <row r="30" spans="1:5" hidden="1" x14ac:dyDescent="0.25">
      <c r="A30" s="1" t="s">
        <v>664</v>
      </c>
      <c r="B30" s="1" t="s">
        <v>665</v>
      </c>
      <c r="C30" s="1" t="s">
        <v>5</v>
      </c>
      <c r="D30">
        <v>0</v>
      </c>
      <c r="E30" s="1" t="s">
        <v>609</v>
      </c>
    </row>
    <row r="31" spans="1:5" hidden="1" x14ac:dyDescent="0.25">
      <c r="A31" s="1" t="s">
        <v>666</v>
      </c>
      <c r="B31" s="1" t="s">
        <v>667</v>
      </c>
      <c r="C31" s="1" t="s">
        <v>5</v>
      </c>
      <c r="D31">
        <v>0</v>
      </c>
      <c r="E31" s="1" t="s">
        <v>609</v>
      </c>
    </row>
    <row r="32" spans="1:5" hidden="1" x14ac:dyDescent="0.25">
      <c r="A32" s="1" t="s">
        <v>668</v>
      </c>
      <c r="B32" s="1" t="s">
        <v>669</v>
      </c>
      <c r="C32" s="1" t="s">
        <v>5</v>
      </c>
      <c r="D32">
        <v>0</v>
      </c>
      <c r="E32" s="1" t="s">
        <v>609</v>
      </c>
    </row>
    <row r="33" spans="1:5" hidden="1" x14ac:dyDescent="0.25">
      <c r="A33" s="1" t="s">
        <v>670</v>
      </c>
      <c r="B33" s="1" t="s">
        <v>671</v>
      </c>
      <c r="C33" s="1" t="s">
        <v>5</v>
      </c>
      <c r="D33">
        <v>0</v>
      </c>
      <c r="E33" s="1" t="s">
        <v>609</v>
      </c>
    </row>
    <row r="34" spans="1:5" hidden="1" x14ac:dyDescent="0.25">
      <c r="A34" s="1" t="s">
        <v>672</v>
      </c>
      <c r="B34" s="1" t="s">
        <v>673</v>
      </c>
      <c r="C34" s="1" t="s">
        <v>5</v>
      </c>
      <c r="D34">
        <v>0</v>
      </c>
      <c r="E34" s="1" t="s">
        <v>609</v>
      </c>
    </row>
    <row r="35" spans="1:5" hidden="1" x14ac:dyDescent="0.25">
      <c r="A35" s="1" t="s">
        <v>674</v>
      </c>
      <c r="B35" s="1" t="s">
        <v>675</v>
      </c>
      <c r="C35" s="1" t="s">
        <v>5</v>
      </c>
      <c r="D35">
        <v>0</v>
      </c>
      <c r="E35" s="1" t="s">
        <v>609</v>
      </c>
    </row>
    <row r="36" spans="1:5" hidden="1" x14ac:dyDescent="0.25">
      <c r="A36" s="1" t="s">
        <v>676</v>
      </c>
      <c r="B36" s="1" t="s">
        <v>677</v>
      </c>
      <c r="C36" s="1" t="s">
        <v>5</v>
      </c>
      <c r="D36">
        <v>0</v>
      </c>
      <c r="E36" s="1" t="s">
        <v>609</v>
      </c>
    </row>
    <row r="37" spans="1:5" hidden="1" x14ac:dyDescent="0.25">
      <c r="A37" s="1" t="s">
        <v>678</v>
      </c>
      <c r="B37" s="1" t="s">
        <v>679</v>
      </c>
      <c r="C37" s="1" t="s">
        <v>5</v>
      </c>
      <c r="D37">
        <v>0</v>
      </c>
      <c r="E37" s="1" t="s">
        <v>609</v>
      </c>
    </row>
    <row r="38" spans="1:5" hidden="1" x14ac:dyDescent="0.25">
      <c r="A38" s="1" t="s">
        <v>680</v>
      </c>
      <c r="B38" s="1" t="s">
        <v>681</v>
      </c>
      <c r="C38" s="1" t="s">
        <v>5</v>
      </c>
      <c r="D38">
        <v>0</v>
      </c>
      <c r="E38" s="1" t="s">
        <v>609</v>
      </c>
    </row>
    <row r="39" spans="1:5" hidden="1" x14ac:dyDescent="0.25">
      <c r="A39" s="1" t="s">
        <v>682</v>
      </c>
      <c r="B39" s="1" t="s">
        <v>683</v>
      </c>
      <c r="C39" s="1" t="s">
        <v>5</v>
      </c>
      <c r="D39">
        <v>0</v>
      </c>
      <c r="E39" s="1" t="s">
        <v>609</v>
      </c>
    </row>
    <row r="40" spans="1:5" hidden="1" x14ac:dyDescent="0.25">
      <c r="A40" s="1" t="s">
        <v>684</v>
      </c>
      <c r="B40" s="1" t="s">
        <v>685</v>
      </c>
      <c r="C40" s="1" t="s">
        <v>5</v>
      </c>
      <c r="D40">
        <v>0</v>
      </c>
      <c r="E40" s="1" t="s">
        <v>609</v>
      </c>
    </row>
    <row r="41" spans="1:5" hidden="1" x14ac:dyDescent="0.25">
      <c r="A41" s="1" t="s">
        <v>686</v>
      </c>
      <c r="B41" s="1" t="s">
        <v>687</v>
      </c>
      <c r="C41" s="1" t="s">
        <v>5</v>
      </c>
      <c r="D41">
        <v>0</v>
      </c>
      <c r="E41" s="1" t="s">
        <v>609</v>
      </c>
    </row>
    <row r="42" spans="1:5" hidden="1" x14ac:dyDescent="0.25">
      <c r="A42" s="1" t="s">
        <v>688</v>
      </c>
      <c r="B42" s="1" t="s">
        <v>689</v>
      </c>
      <c r="C42" s="1" t="s">
        <v>5</v>
      </c>
      <c r="D42">
        <v>0</v>
      </c>
      <c r="E42" s="1" t="s">
        <v>609</v>
      </c>
    </row>
    <row r="43" spans="1:5" hidden="1" x14ac:dyDescent="0.25">
      <c r="A43" s="1" t="s">
        <v>690</v>
      </c>
      <c r="B43" s="1" t="s">
        <v>691</v>
      </c>
      <c r="C43" s="1" t="s">
        <v>5</v>
      </c>
      <c r="D43">
        <v>0</v>
      </c>
      <c r="E43" s="1" t="s">
        <v>609</v>
      </c>
    </row>
    <row r="44" spans="1:5" hidden="1" x14ac:dyDescent="0.25">
      <c r="A44" s="1" t="s">
        <v>692</v>
      </c>
      <c r="B44" s="1" t="s">
        <v>693</v>
      </c>
      <c r="C44" s="1" t="s">
        <v>5</v>
      </c>
      <c r="D44">
        <v>0</v>
      </c>
      <c r="E44" s="1" t="s">
        <v>609</v>
      </c>
    </row>
    <row r="45" spans="1:5" hidden="1" x14ac:dyDescent="0.25">
      <c r="A45" s="1" t="s">
        <v>694</v>
      </c>
      <c r="B45" s="1" t="s">
        <v>695</v>
      </c>
      <c r="C45" s="1" t="s">
        <v>5</v>
      </c>
      <c r="D45">
        <v>0</v>
      </c>
      <c r="E45" s="1" t="s">
        <v>609</v>
      </c>
    </row>
    <row r="46" spans="1:5" hidden="1" x14ac:dyDescent="0.25">
      <c r="A46" s="1" t="s">
        <v>696</v>
      </c>
      <c r="B46" s="1" t="s">
        <v>697</v>
      </c>
      <c r="C46" s="1" t="s">
        <v>5</v>
      </c>
      <c r="D46">
        <v>0</v>
      </c>
      <c r="E46" s="1" t="s">
        <v>609</v>
      </c>
    </row>
    <row r="47" spans="1:5" hidden="1" x14ac:dyDescent="0.25">
      <c r="A47" s="1" t="s">
        <v>698</v>
      </c>
      <c r="B47" s="1" t="s">
        <v>699</v>
      </c>
      <c r="C47" s="1" t="s">
        <v>5</v>
      </c>
      <c r="D47">
        <v>0</v>
      </c>
      <c r="E47" s="1" t="s">
        <v>609</v>
      </c>
    </row>
    <row r="48" spans="1:5" hidden="1" x14ac:dyDescent="0.25">
      <c r="A48" s="1" t="s">
        <v>712</v>
      </c>
      <c r="B48" s="1" t="s">
        <v>713</v>
      </c>
      <c r="C48" s="1" t="s">
        <v>5</v>
      </c>
      <c r="D48">
        <v>0</v>
      </c>
      <c r="E48" s="1" t="s">
        <v>714</v>
      </c>
    </row>
    <row r="49" spans="1:5" hidden="1" x14ac:dyDescent="0.25">
      <c r="A49" s="1" t="s">
        <v>715</v>
      </c>
      <c r="B49" s="1" t="s">
        <v>716</v>
      </c>
      <c r="C49" s="1" t="s">
        <v>5</v>
      </c>
      <c r="D49">
        <v>0</v>
      </c>
      <c r="E49" s="1" t="s">
        <v>714</v>
      </c>
    </row>
    <row r="50" spans="1:5" hidden="1" x14ac:dyDescent="0.25">
      <c r="A50" s="1" t="s">
        <v>717</v>
      </c>
      <c r="B50" s="1" t="s">
        <v>718</v>
      </c>
      <c r="C50" s="1" t="s">
        <v>5</v>
      </c>
      <c r="D50">
        <v>0</v>
      </c>
      <c r="E50" s="1" t="s">
        <v>714</v>
      </c>
    </row>
    <row r="51" spans="1:5" hidden="1" x14ac:dyDescent="0.25">
      <c r="A51" s="1" t="s">
        <v>719</v>
      </c>
      <c r="B51" s="1" t="s">
        <v>720</v>
      </c>
      <c r="C51" s="1" t="s">
        <v>5</v>
      </c>
      <c r="D51">
        <v>0</v>
      </c>
      <c r="E51" s="1" t="s">
        <v>714</v>
      </c>
    </row>
    <row r="52" spans="1:5" hidden="1" x14ac:dyDescent="0.25">
      <c r="A52" s="1" t="s">
        <v>723</v>
      </c>
      <c r="B52" s="1" t="s">
        <v>724</v>
      </c>
      <c r="C52" s="1" t="s">
        <v>5</v>
      </c>
      <c r="D52">
        <v>0</v>
      </c>
      <c r="E52" s="1" t="s">
        <v>714</v>
      </c>
    </row>
    <row r="53" spans="1:5" hidden="1" x14ac:dyDescent="0.25">
      <c r="A53" s="1" t="s">
        <v>727</v>
      </c>
      <c r="B53" s="1" t="s">
        <v>728</v>
      </c>
      <c r="C53" s="1" t="s">
        <v>5</v>
      </c>
      <c r="D53">
        <v>0</v>
      </c>
      <c r="E53" s="1" t="s">
        <v>714</v>
      </c>
    </row>
    <row r="54" spans="1:5" hidden="1" x14ac:dyDescent="0.25">
      <c r="A54" s="1" t="s">
        <v>729</v>
      </c>
      <c r="B54" s="1" t="s">
        <v>730</v>
      </c>
      <c r="C54" s="1" t="s">
        <v>5</v>
      </c>
      <c r="D54">
        <v>0</v>
      </c>
      <c r="E54" s="1" t="s">
        <v>714</v>
      </c>
    </row>
    <row r="55" spans="1:5" hidden="1" x14ac:dyDescent="0.25">
      <c r="A55" s="1" t="s">
        <v>731</v>
      </c>
      <c r="B55" s="1" t="s">
        <v>732</v>
      </c>
      <c r="C55" s="1" t="s">
        <v>5</v>
      </c>
      <c r="D55">
        <v>0</v>
      </c>
      <c r="E55" s="1" t="s">
        <v>714</v>
      </c>
    </row>
    <row r="56" spans="1:5" hidden="1" x14ac:dyDescent="0.25">
      <c r="A56" s="1" t="s">
        <v>737</v>
      </c>
      <c r="B56" s="1" t="s">
        <v>738</v>
      </c>
      <c r="C56" s="1" t="s">
        <v>5</v>
      </c>
      <c r="D56">
        <v>0</v>
      </c>
      <c r="E56" s="1" t="s">
        <v>714</v>
      </c>
    </row>
    <row r="57" spans="1:5" hidden="1" x14ac:dyDescent="0.25">
      <c r="A57" s="1" t="s">
        <v>739</v>
      </c>
      <c r="B57" s="1" t="s">
        <v>740</v>
      </c>
      <c r="C57" s="1" t="s">
        <v>5</v>
      </c>
      <c r="D57">
        <v>0</v>
      </c>
      <c r="E57" s="1" t="s">
        <v>714</v>
      </c>
    </row>
    <row r="58" spans="1:5" hidden="1" x14ac:dyDescent="0.25">
      <c r="A58" s="1" t="s">
        <v>741</v>
      </c>
      <c r="B58" s="1" t="s">
        <v>742</v>
      </c>
      <c r="C58" s="1" t="s">
        <v>5</v>
      </c>
      <c r="D58">
        <v>0</v>
      </c>
      <c r="E58" s="1" t="s">
        <v>714</v>
      </c>
    </row>
    <row r="59" spans="1:5" hidden="1" x14ac:dyDescent="0.25">
      <c r="A59" s="1" t="s">
        <v>757</v>
      </c>
      <c r="B59" s="1" t="s">
        <v>758</v>
      </c>
      <c r="C59" s="1" t="s">
        <v>5</v>
      </c>
      <c r="D59">
        <v>0</v>
      </c>
      <c r="E59" s="1" t="s">
        <v>754</v>
      </c>
    </row>
    <row r="60" spans="1:5" hidden="1" x14ac:dyDescent="0.25">
      <c r="A60" s="1" t="s">
        <v>759</v>
      </c>
      <c r="B60" s="1" t="s">
        <v>760</v>
      </c>
      <c r="C60" s="1" t="s">
        <v>5</v>
      </c>
      <c r="D60">
        <v>0</v>
      </c>
      <c r="E60" s="1" t="s">
        <v>754</v>
      </c>
    </row>
    <row r="61" spans="1:5" hidden="1" x14ac:dyDescent="0.25">
      <c r="A61" s="1" t="s">
        <v>761</v>
      </c>
      <c r="B61" s="1" t="s">
        <v>762</v>
      </c>
      <c r="C61" s="1" t="s">
        <v>5</v>
      </c>
      <c r="D61">
        <v>0</v>
      </c>
      <c r="E61" s="1" t="s">
        <v>754</v>
      </c>
    </row>
    <row r="62" spans="1:5" hidden="1" x14ac:dyDescent="0.25">
      <c r="A62" s="1" t="s">
        <v>771</v>
      </c>
      <c r="B62" s="1" t="s">
        <v>772</v>
      </c>
      <c r="C62" s="1" t="s">
        <v>5</v>
      </c>
      <c r="D62">
        <v>0</v>
      </c>
      <c r="E62" s="1" t="s">
        <v>773</v>
      </c>
    </row>
    <row r="63" spans="1:5" hidden="1" x14ac:dyDescent="0.25">
      <c r="A63" s="1" t="s">
        <v>774</v>
      </c>
      <c r="B63" s="1" t="s">
        <v>775</v>
      </c>
      <c r="C63" s="1" t="s">
        <v>5</v>
      </c>
      <c r="D63">
        <v>0</v>
      </c>
      <c r="E63" s="1" t="s">
        <v>773</v>
      </c>
    </row>
    <row r="64" spans="1:5" hidden="1" x14ac:dyDescent="0.25">
      <c r="A64" s="1" t="s">
        <v>776</v>
      </c>
      <c r="B64" s="1" t="s">
        <v>777</v>
      </c>
      <c r="C64" s="1" t="s">
        <v>5</v>
      </c>
      <c r="D64">
        <v>0</v>
      </c>
      <c r="E64" s="1" t="s">
        <v>773</v>
      </c>
    </row>
    <row r="65" spans="1:5" hidden="1" x14ac:dyDescent="0.25">
      <c r="A65" s="1" t="s">
        <v>778</v>
      </c>
      <c r="B65" s="1" t="s">
        <v>779</v>
      </c>
      <c r="C65" s="1" t="s">
        <v>5</v>
      </c>
      <c r="D65">
        <v>0</v>
      </c>
      <c r="E65" s="1" t="s">
        <v>773</v>
      </c>
    </row>
    <row r="66" spans="1:5" hidden="1" x14ac:dyDescent="0.25">
      <c r="A66" s="1" t="s">
        <v>780</v>
      </c>
      <c r="B66" s="1" t="s">
        <v>781</v>
      </c>
      <c r="C66" s="1" t="s">
        <v>5</v>
      </c>
      <c r="D66">
        <v>0</v>
      </c>
      <c r="E66" s="1" t="s">
        <v>773</v>
      </c>
    </row>
    <row r="67" spans="1:5" hidden="1" x14ac:dyDescent="0.25">
      <c r="A67" s="1" t="s">
        <v>782</v>
      </c>
      <c r="B67" s="1" t="s">
        <v>783</v>
      </c>
      <c r="C67" s="1" t="s">
        <v>5</v>
      </c>
      <c r="D67">
        <v>0</v>
      </c>
      <c r="E67" s="1" t="s">
        <v>773</v>
      </c>
    </row>
    <row r="68" spans="1:5" hidden="1" x14ac:dyDescent="0.25">
      <c r="A68" s="1" t="s">
        <v>784</v>
      </c>
      <c r="B68" s="1" t="s">
        <v>785</v>
      </c>
      <c r="C68" s="1" t="s">
        <v>5</v>
      </c>
      <c r="D68">
        <v>0</v>
      </c>
      <c r="E68" s="1" t="s">
        <v>773</v>
      </c>
    </row>
    <row r="69" spans="1:5" hidden="1" x14ac:dyDescent="0.25">
      <c r="A69" s="1" t="s">
        <v>786</v>
      </c>
      <c r="B69" s="1" t="s">
        <v>787</v>
      </c>
      <c r="C69" s="1" t="s">
        <v>5</v>
      </c>
      <c r="D69">
        <v>0</v>
      </c>
      <c r="E69" s="1" t="s">
        <v>773</v>
      </c>
    </row>
    <row r="70" spans="1:5" hidden="1" x14ac:dyDescent="0.25">
      <c r="A70" s="1" t="s">
        <v>788</v>
      </c>
      <c r="B70" s="1" t="s">
        <v>789</v>
      </c>
      <c r="C70" s="1" t="s">
        <v>5</v>
      </c>
      <c r="D70">
        <v>0</v>
      </c>
      <c r="E70" s="1" t="s">
        <v>773</v>
      </c>
    </row>
    <row r="71" spans="1:5" hidden="1" x14ac:dyDescent="0.25">
      <c r="A71" s="1" t="s">
        <v>790</v>
      </c>
      <c r="B71" s="1" t="s">
        <v>791</v>
      </c>
      <c r="C71" s="1" t="s">
        <v>5</v>
      </c>
      <c r="D71">
        <v>0</v>
      </c>
      <c r="E71" s="1" t="s">
        <v>773</v>
      </c>
    </row>
    <row r="72" spans="1:5" hidden="1" x14ac:dyDescent="0.25">
      <c r="A72" s="1" t="s">
        <v>792</v>
      </c>
      <c r="B72" s="1" t="s">
        <v>793</v>
      </c>
      <c r="C72" s="1" t="s">
        <v>5</v>
      </c>
      <c r="D72">
        <v>0</v>
      </c>
      <c r="E72" s="1" t="s">
        <v>773</v>
      </c>
    </row>
    <row r="73" spans="1:5" hidden="1" x14ac:dyDescent="0.25">
      <c r="A73" s="1" t="s">
        <v>794</v>
      </c>
      <c r="B73" s="1" t="s">
        <v>795</v>
      </c>
      <c r="C73" s="1" t="s">
        <v>5</v>
      </c>
      <c r="D73">
        <v>0</v>
      </c>
      <c r="E73" s="1" t="s">
        <v>773</v>
      </c>
    </row>
    <row r="74" spans="1:5" hidden="1" x14ac:dyDescent="0.25">
      <c r="A74" s="1" t="s">
        <v>796</v>
      </c>
      <c r="B74" s="1" t="s">
        <v>797</v>
      </c>
      <c r="C74" s="1" t="s">
        <v>5</v>
      </c>
      <c r="D74">
        <v>0</v>
      </c>
      <c r="E74" s="1" t="s">
        <v>773</v>
      </c>
    </row>
    <row r="75" spans="1:5" hidden="1" x14ac:dyDescent="0.25">
      <c r="A75" s="1" t="s">
        <v>798</v>
      </c>
      <c r="B75" s="1" t="s">
        <v>799</v>
      </c>
      <c r="C75" s="1" t="s">
        <v>5</v>
      </c>
      <c r="D75">
        <v>0</v>
      </c>
      <c r="E75" s="1" t="s">
        <v>773</v>
      </c>
    </row>
    <row r="76" spans="1:5" hidden="1" x14ac:dyDescent="0.25">
      <c r="A76" s="1" t="s">
        <v>800</v>
      </c>
      <c r="B76" s="1" t="s">
        <v>801</v>
      </c>
      <c r="C76" s="1" t="s">
        <v>5</v>
      </c>
      <c r="D76">
        <v>0</v>
      </c>
      <c r="E76" s="1" t="s">
        <v>773</v>
      </c>
    </row>
    <row r="77" spans="1:5" hidden="1" x14ac:dyDescent="0.25">
      <c r="A77" s="1" t="s">
        <v>802</v>
      </c>
      <c r="B77" s="1" t="s">
        <v>803</v>
      </c>
      <c r="C77" s="1" t="s">
        <v>5</v>
      </c>
      <c r="D77">
        <v>0</v>
      </c>
      <c r="E77" s="1" t="s">
        <v>773</v>
      </c>
    </row>
    <row r="78" spans="1:5" hidden="1" x14ac:dyDescent="0.25">
      <c r="A78" s="1" t="s">
        <v>804</v>
      </c>
      <c r="B78" s="1" t="s">
        <v>805</v>
      </c>
      <c r="C78" s="1" t="s">
        <v>5</v>
      </c>
      <c r="D78">
        <v>0</v>
      </c>
      <c r="E78" s="1" t="s">
        <v>773</v>
      </c>
    </row>
    <row r="79" spans="1:5" hidden="1" x14ac:dyDescent="0.25">
      <c r="A79" s="1" t="s">
        <v>806</v>
      </c>
      <c r="B79" s="1" t="s">
        <v>807</v>
      </c>
      <c r="C79" s="1" t="s">
        <v>5</v>
      </c>
      <c r="D79">
        <v>0</v>
      </c>
      <c r="E79" s="1" t="s">
        <v>773</v>
      </c>
    </row>
    <row r="80" spans="1:5" hidden="1" x14ac:dyDescent="0.25">
      <c r="A80" s="1" t="s">
        <v>808</v>
      </c>
      <c r="B80" s="1" t="s">
        <v>809</v>
      </c>
      <c r="C80" s="1" t="s">
        <v>5</v>
      </c>
      <c r="D80">
        <v>0</v>
      </c>
      <c r="E80" s="1" t="s">
        <v>773</v>
      </c>
    </row>
    <row r="81" spans="1:5" hidden="1" x14ac:dyDescent="0.25">
      <c r="A81" s="1" t="s">
        <v>810</v>
      </c>
      <c r="B81" s="1" t="s">
        <v>811</v>
      </c>
      <c r="C81" s="1" t="s">
        <v>5</v>
      </c>
      <c r="D81">
        <v>0</v>
      </c>
      <c r="E81" s="1" t="s">
        <v>773</v>
      </c>
    </row>
    <row r="82" spans="1:5" hidden="1" x14ac:dyDescent="0.25">
      <c r="A82" s="1" t="s">
        <v>812</v>
      </c>
      <c r="B82" s="1" t="s">
        <v>813</v>
      </c>
      <c r="C82" s="1" t="s">
        <v>5</v>
      </c>
      <c r="D82">
        <v>0</v>
      </c>
      <c r="E82" s="1" t="s">
        <v>773</v>
      </c>
    </row>
    <row r="83" spans="1:5" hidden="1" x14ac:dyDescent="0.25">
      <c r="A83" s="1" t="s">
        <v>814</v>
      </c>
      <c r="B83" s="1" t="s">
        <v>815</v>
      </c>
      <c r="C83" s="1" t="s">
        <v>5</v>
      </c>
      <c r="D83">
        <v>0</v>
      </c>
      <c r="E83" s="1" t="s">
        <v>773</v>
      </c>
    </row>
    <row r="84" spans="1:5" hidden="1" x14ac:dyDescent="0.25">
      <c r="A84" s="1" t="s">
        <v>816</v>
      </c>
      <c r="B84" s="1" t="s">
        <v>817</v>
      </c>
      <c r="C84" s="1" t="s">
        <v>5</v>
      </c>
      <c r="D84">
        <v>0</v>
      </c>
      <c r="E84" s="1" t="s">
        <v>773</v>
      </c>
    </row>
    <row r="85" spans="1:5" hidden="1" x14ac:dyDescent="0.25">
      <c r="A85" s="1" t="s">
        <v>818</v>
      </c>
      <c r="B85" s="1" t="s">
        <v>819</v>
      </c>
      <c r="C85" s="1" t="s">
        <v>5</v>
      </c>
      <c r="D85">
        <v>0</v>
      </c>
      <c r="E85" s="1" t="s">
        <v>773</v>
      </c>
    </row>
    <row r="86" spans="1:5" hidden="1" x14ac:dyDescent="0.25">
      <c r="A86" s="1" t="s">
        <v>820</v>
      </c>
      <c r="B86" s="1" t="s">
        <v>821</v>
      </c>
      <c r="C86" s="1" t="s">
        <v>5</v>
      </c>
      <c r="D86">
        <v>0</v>
      </c>
      <c r="E86" s="1" t="s">
        <v>773</v>
      </c>
    </row>
    <row r="87" spans="1:5" hidden="1" x14ac:dyDescent="0.25">
      <c r="A87" s="1" t="s">
        <v>822</v>
      </c>
      <c r="B87" s="1" t="s">
        <v>823</v>
      </c>
      <c r="C87" s="1" t="s">
        <v>5</v>
      </c>
      <c r="D87">
        <v>0</v>
      </c>
      <c r="E87" s="1" t="s">
        <v>773</v>
      </c>
    </row>
    <row r="88" spans="1:5" hidden="1" x14ac:dyDescent="0.25">
      <c r="A88" s="1" t="s">
        <v>824</v>
      </c>
      <c r="B88" s="1" t="s">
        <v>825</v>
      </c>
      <c r="C88" s="1" t="s">
        <v>5</v>
      </c>
      <c r="D88">
        <v>0</v>
      </c>
      <c r="E88" s="1" t="s">
        <v>773</v>
      </c>
    </row>
    <row r="89" spans="1:5" hidden="1" x14ac:dyDescent="0.25">
      <c r="A89" s="1" t="s">
        <v>826</v>
      </c>
      <c r="B89" s="1" t="s">
        <v>827</v>
      </c>
      <c r="C89" s="1" t="s">
        <v>5</v>
      </c>
      <c r="D89">
        <v>0</v>
      </c>
      <c r="E89" s="1" t="s">
        <v>773</v>
      </c>
    </row>
    <row r="90" spans="1:5" hidden="1" x14ac:dyDescent="0.25">
      <c r="A90" s="1" t="s">
        <v>828</v>
      </c>
      <c r="B90" s="1" t="s">
        <v>829</v>
      </c>
      <c r="C90" s="1" t="s">
        <v>5</v>
      </c>
      <c r="D90">
        <v>0</v>
      </c>
      <c r="E90" s="1" t="s">
        <v>773</v>
      </c>
    </row>
    <row r="91" spans="1:5" hidden="1" x14ac:dyDescent="0.25">
      <c r="A91" s="1" t="s">
        <v>830</v>
      </c>
      <c r="B91" s="1" t="s">
        <v>831</v>
      </c>
      <c r="C91" s="1" t="s">
        <v>5</v>
      </c>
      <c r="D91">
        <v>0</v>
      </c>
      <c r="E91" s="1" t="s">
        <v>773</v>
      </c>
    </row>
    <row r="92" spans="1:5" hidden="1" x14ac:dyDescent="0.25">
      <c r="A92" s="1" t="s">
        <v>832</v>
      </c>
      <c r="B92" s="1" t="s">
        <v>833</v>
      </c>
      <c r="C92" s="1" t="s">
        <v>5</v>
      </c>
      <c r="D92">
        <v>0</v>
      </c>
      <c r="E92" s="1" t="s">
        <v>773</v>
      </c>
    </row>
    <row r="93" spans="1:5" hidden="1" x14ac:dyDescent="0.25">
      <c r="A93" s="1" t="s">
        <v>834</v>
      </c>
      <c r="B93" s="1" t="s">
        <v>835</v>
      </c>
      <c r="C93" s="1" t="s">
        <v>5</v>
      </c>
      <c r="D93">
        <v>0</v>
      </c>
      <c r="E93" s="1" t="s">
        <v>773</v>
      </c>
    </row>
    <row r="94" spans="1:5" hidden="1" x14ac:dyDescent="0.25">
      <c r="A94" s="1" t="s">
        <v>836</v>
      </c>
      <c r="B94" s="1" t="s">
        <v>837</v>
      </c>
      <c r="C94" s="1" t="s">
        <v>5</v>
      </c>
      <c r="D94">
        <v>0</v>
      </c>
      <c r="E94" s="1" t="s">
        <v>773</v>
      </c>
    </row>
    <row r="95" spans="1:5" hidden="1" x14ac:dyDescent="0.25">
      <c r="A95" s="1" t="s">
        <v>838</v>
      </c>
      <c r="B95" s="1" t="s">
        <v>839</v>
      </c>
      <c r="C95" s="1" t="s">
        <v>5</v>
      </c>
      <c r="D95">
        <v>0</v>
      </c>
      <c r="E95" s="1" t="s">
        <v>773</v>
      </c>
    </row>
    <row r="96" spans="1:5" hidden="1" x14ac:dyDescent="0.25">
      <c r="A96" s="1" t="s">
        <v>840</v>
      </c>
      <c r="B96" s="1" t="s">
        <v>841</v>
      </c>
      <c r="C96" s="1" t="s">
        <v>5</v>
      </c>
      <c r="D96">
        <v>0</v>
      </c>
      <c r="E96" s="1" t="s">
        <v>773</v>
      </c>
    </row>
    <row r="97" spans="1:5" hidden="1" x14ac:dyDescent="0.25">
      <c r="A97" s="1" t="s">
        <v>842</v>
      </c>
      <c r="B97" s="1" t="s">
        <v>843</v>
      </c>
      <c r="C97" s="1" t="s">
        <v>5</v>
      </c>
      <c r="D97">
        <v>0</v>
      </c>
      <c r="E97" s="1" t="s">
        <v>773</v>
      </c>
    </row>
    <row r="98" spans="1:5" hidden="1" x14ac:dyDescent="0.25">
      <c r="A98" s="1" t="s">
        <v>844</v>
      </c>
      <c r="B98" s="1" t="s">
        <v>845</v>
      </c>
      <c r="C98" s="1" t="s">
        <v>5</v>
      </c>
      <c r="D98">
        <v>0</v>
      </c>
      <c r="E98" s="1" t="s">
        <v>773</v>
      </c>
    </row>
    <row r="99" spans="1:5" hidden="1" x14ac:dyDescent="0.25">
      <c r="A99" s="1" t="s">
        <v>846</v>
      </c>
      <c r="B99" s="1" t="s">
        <v>847</v>
      </c>
      <c r="C99" s="1" t="s">
        <v>5</v>
      </c>
      <c r="D99">
        <v>0</v>
      </c>
      <c r="E99" s="1" t="s">
        <v>848</v>
      </c>
    </row>
    <row r="100" spans="1:5" hidden="1" x14ac:dyDescent="0.25">
      <c r="A100" s="1" t="s">
        <v>849</v>
      </c>
      <c r="B100" s="1" t="s">
        <v>850</v>
      </c>
      <c r="C100" s="1" t="s">
        <v>5</v>
      </c>
      <c r="D100">
        <v>0</v>
      </c>
      <c r="E100" s="1" t="s">
        <v>848</v>
      </c>
    </row>
    <row r="101" spans="1:5" hidden="1" x14ac:dyDescent="0.25">
      <c r="A101" s="1" t="s">
        <v>851</v>
      </c>
      <c r="B101" s="1" t="s">
        <v>852</v>
      </c>
      <c r="C101" s="1" t="s">
        <v>5</v>
      </c>
      <c r="D101">
        <v>0</v>
      </c>
      <c r="E101" s="1" t="s">
        <v>848</v>
      </c>
    </row>
    <row r="102" spans="1:5" hidden="1" x14ac:dyDescent="0.25">
      <c r="A102" s="1" t="s">
        <v>855</v>
      </c>
      <c r="B102" s="1" t="s">
        <v>856</v>
      </c>
      <c r="C102" s="1" t="s">
        <v>5</v>
      </c>
      <c r="D102">
        <v>0</v>
      </c>
      <c r="E102" s="1" t="s">
        <v>848</v>
      </c>
    </row>
    <row r="103" spans="1:5" hidden="1" x14ac:dyDescent="0.25">
      <c r="A103" s="1" t="s">
        <v>857</v>
      </c>
      <c r="B103" s="1" t="s">
        <v>858</v>
      </c>
      <c r="C103" s="1" t="s">
        <v>5</v>
      </c>
      <c r="D103">
        <v>0</v>
      </c>
      <c r="E103" s="1" t="s">
        <v>848</v>
      </c>
    </row>
    <row r="104" spans="1:5" hidden="1" x14ac:dyDescent="0.25">
      <c r="A104" s="1" t="s">
        <v>859</v>
      </c>
      <c r="B104" s="1" t="s">
        <v>860</v>
      </c>
      <c r="C104" s="1" t="s">
        <v>5</v>
      </c>
      <c r="D104">
        <v>0</v>
      </c>
      <c r="E104" s="1" t="s">
        <v>848</v>
      </c>
    </row>
    <row r="105" spans="1:5" hidden="1" x14ac:dyDescent="0.25">
      <c r="A105" s="1" t="s">
        <v>861</v>
      </c>
      <c r="B105" s="1" t="s">
        <v>862</v>
      </c>
      <c r="C105" s="1" t="s">
        <v>5</v>
      </c>
      <c r="D105">
        <v>0</v>
      </c>
      <c r="E105" s="1" t="s">
        <v>848</v>
      </c>
    </row>
    <row r="106" spans="1:5" hidden="1" x14ac:dyDescent="0.25">
      <c r="A106" s="1" t="s">
        <v>863</v>
      </c>
      <c r="B106" s="1" t="s">
        <v>864</v>
      </c>
      <c r="C106" s="1" t="s">
        <v>5</v>
      </c>
      <c r="D106">
        <v>0</v>
      </c>
      <c r="E106" s="1" t="s">
        <v>848</v>
      </c>
    </row>
    <row r="107" spans="1:5" hidden="1" x14ac:dyDescent="0.25">
      <c r="A107" s="1" t="s">
        <v>865</v>
      </c>
      <c r="B107" s="1" t="s">
        <v>866</v>
      </c>
      <c r="C107" s="1" t="s">
        <v>5</v>
      </c>
      <c r="D107">
        <v>0</v>
      </c>
      <c r="E107" s="1" t="s">
        <v>848</v>
      </c>
    </row>
    <row r="108" spans="1:5" hidden="1" x14ac:dyDescent="0.25">
      <c r="A108" s="1" t="s">
        <v>867</v>
      </c>
      <c r="B108" s="1" t="s">
        <v>868</v>
      </c>
      <c r="C108" s="1" t="s">
        <v>5</v>
      </c>
      <c r="D108">
        <v>0</v>
      </c>
      <c r="E108" s="1" t="s">
        <v>848</v>
      </c>
    </row>
    <row r="109" spans="1:5" hidden="1" x14ac:dyDescent="0.25">
      <c r="A109" s="1" t="s">
        <v>871</v>
      </c>
      <c r="B109" s="1" t="s">
        <v>872</v>
      </c>
      <c r="C109" s="1" t="s">
        <v>5</v>
      </c>
      <c r="D109">
        <v>0</v>
      </c>
      <c r="E109" s="1" t="s">
        <v>848</v>
      </c>
    </row>
    <row r="110" spans="1:5" hidden="1" x14ac:dyDescent="0.25">
      <c r="A110" s="1" t="s">
        <v>873</v>
      </c>
      <c r="B110" s="1" t="s">
        <v>858</v>
      </c>
      <c r="C110" s="1" t="s">
        <v>5</v>
      </c>
      <c r="D110">
        <v>0</v>
      </c>
      <c r="E110" s="1" t="s">
        <v>848</v>
      </c>
    </row>
    <row r="111" spans="1:5" hidden="1" x14ac:dyDescent="0.25">
      <c r="A111" s="1" t="s">
        <v>874</v>
      </c>
      <c r="B111" s="1" t="s">
        <v>875</v>
      </c>
      <c r="C111" s="1" t="s">
        <v>5</v>
      </c>
      <c r="D111">
        <v>0</v>
      </c>
      <c r="E111" s="1" t="s">
        <v>848</v>
      </c>
    </row>
    <row r="112" spans="1:5" hidden="1" x14ac:dyDescent="0.25">
      <c r="A112" s="1" t="s">
        <v>876</v>
      </c>
      <c r="B112" s="1" t="s">
        <v>877</v>
      </c>
      <c r="C112" s="1" t="s">
        <v>5</v>
      </c>
      <c r="D112">
        <v>0</v>
      </c>
      <c r="E112" s="1" t="s">
        <v>848</v>
      </c>
    </row>
    <row r="113" spans="1:5" hidden="1" x14ac:dyDescent="0.25">
      <c r="A113" s="1" t="s">
        <v>880</v>
      </c>
      <c r="B113" s="1" t="s">
        <v>881</v>
      </c>
      <c r="C113" s="1" t="s">
        <v>5</v>
      </c>
      <c r="D113">
        <v>0</v>
      </c>
      <c r="E113" s="1" t="s">
        <v>848</v>
      </c>
    </row>
    <row r="114" spans="1:5" hidden="1" x14ac:dyDescent="0.25">
      <c r="A114" s="1" t="s">
        <v>882</v>
      </c>
      <c r="B114" s="1" t="s">
        <v>883</v>
      </c>
      <c r="C114" s="1" t="s">
        <v>5</v>
      </c>
      <c r="D114">
        <v>0</v>
      </c>
      <c r="E114" s="1" t="s">
        <v>848</v>
      </c>
    </row>
    <row r="115" spans="1:5" hidden="1" x14ac:dyDescent="0.25">
      <c r="A115" s="1" t="s">
        <v>884</v>
      </c>
      <c r="B115" s="1" t="s">
        <v>885</v>
      </c>
      <c r="C115" s="1" t="s">
        <v>5</v>
      </c>
      <c r="D115">
        <v>0</v>
      </c>
      <c r="E115" s="1" t="s">
        <v>848</v>
      </c>
    </row>
    <row r="116" spans="1:5" hidden="1" x14ac:dyDescent="0.25">
      <c r="A116" s="1" t="s">
        <v>886</v>
      </c>
      <c r="B116" s="1" t="s">
        <v>887</v>
      </c>
      <c r="C116" s="1" t="s">
        <v>5</v>
      </c>
      <c r="D116">
        <v>0</v>
      </c>
      <c r="E116" s="1" t="s">
        <v>848</v>
      </c>
    </row>
    <row r="117" spans="1:5" hidden="1" x14ac:dyDescent="0.25">
      <c r="A117" s="1" t="s">
        <v>888</v>
      </c>
      <c r="B117" s="1" t="s">
        <v>889</v>
      </c>
      <c r="C117" s="1" t="s">
        <v>5</v>
      </c>
      <c r="D117">
        <v>0</v>
      </c>
      <c r="E117" s="1" t="s">
        <v>848</v>
      </c>
    </row>
    <row r="118" spans="1:5" hidden="1" x14ac:dyDescent="0.25">
      <c r="A118" s="1" t="s">
        <v>892</v>
      </c>
      <c r="B118" s="1" t="s">
        <v>893</v>
      </c>
      <c r="C118" s="1" t="s">
        <v>5</v>
      </c>
      <c r="D118">
        <v>0</v>
      </c>
      <c r="E118" s="1" t="s">
        <v>848</v>
      </c>
    </row>
    <row r="119" spans="1:5" hidden="1" x14ac:dyDescent="0.25">
      <c r="A119" s="1" t="s">
        <v>894</v>
      </c>
      <c r="B119" s="1" t="s">
        <v>895</v>
      </c>
      <c r="C119" s="1" t="s">
        <v>5</v>
      </c>
      <c r="D119">
        <v>0</v>
      </c>
      <c r="E119" s="1" t="s">
        <v>848</v>
      </c>
    </row>
    <row r="120" spans="1:5" hidden="1" x14ac:dyDescent="0.25">
      <c r="A120" s="1" t="s">
        <v>911</v>
      </c>
      <c r="B120" s="1" t="s">
        <v>912</v>
      </c>
      <c r="C120" s="1" t="s">
        <v>5</v>
      </c>
      <c r="D120">
        <v>0</v>
      </c>
      <c r="E120" s="1" t="s">
        <v>773</v>
      </c>
    </row>
    <row r="121" spans="1:5" hidden="1" x14ac:dyDescent="0.25">
      <c r="A121" s="1" t="s">
        <v>913</v>
      </c>
      <c r="B121" s="1" t="s">
        <v>914</v>
      </c>
      <c r="C121" s="1" t="s">
        <v>5</v>
      </c>
      <c r="D121">
        <v>0</v>
      </c>
      <c r="E121" s="1" t="s">
        <v>773</v>
      </c>
    </row>
    <row r="122" spans="1:5" hidden="1" x14ac:dyDescent="0.25">
      <c r="A122" s="1" t="s">
        <v>915</v>
      </c>
      <c r="B122" s="1" t="s">
        <v>916</v>
      </c>
      <c r="C122" s="1" t="s">
        <v>5</v>
      </c>
      <c r="D122">
        <v>0</v>
      </c>
      <c r="E122" s="1" t="s">
        <v>773</v>
      </c>
    </row>
    <row r="123" spans="1:5" hidden="1" x14ac:dyDescent="0.25">
      <c r="A123" s="1" t="s">
        <v>917</v>
      </c>
      <c r="B123" s="1" t="s">
        <v>918</v>
      </c>
      <c r="C123" s="1" t="s">
        <v>5</v>
      </c>
      <c r="D123">
        <v>0</v>
      </c>
      <c r="E123" s="1" t="s">
        <v>773</v>
      </c>
    </row>
    <row r="124" spans="1:5" hidden="1" x14ac:dyDescent="0.25">
      <c r="A124" s="1" t="s">
        <v>919</v>
      </c>
      <c r="B124" s="1" t="s">
        <v>920</v>
      </c>
      <c r="C124" s="1" t="s">
        <v>5</v>
      </c>
      <c r="D124">
        <v>0</v>
      </c>
      <c r="E124" s="1" t="s">
        <v>773</v>
      </c>
    </row>
    <row r="125" spans="1:5" hidden="1" x14ac:dyDescent="0.25">
      <c r="A125" s="1" t="s">
        <v>921</v>
      </c>
      <c r="B125" s="1" t="s">
        <v>922</v>
      </c>
      <c r="C125" s="1" t="s">
        <v>5</v>
      </c>
      <c r="D125">
        <v>0</v>
      </c>
      <c r="E125" s="1" t="s">
        <v>773</v>
      </c>
    </row>
    <row r="126" spans="1:5" hidden="1" x14ac:dyDescent="0.25">
      <c r="A126" s="1" t="s">
        <v>923</v>
      </c>
      <c r="B126" s="1" t="s">
        <v>924</v>
      </c>
      <c r="C126" s="1" t="s">
        <v>5</v>
      </c>
      <c r="D126">
        <v>0</v>
      </c>
      <c r="E126" s="1" t="s">
        <v>773</v>
      </c>
    </row>
    <row r="127" spans="1:5" hidden="1" x14ac:dyDescent="0.25">
      <c r="A127" s="1" t="s">
        <v>925</v>
      </c>
      <c r="B127" s="1" t="s">
        <v>926</v>
      </c>
      <c r="C127" s="1" t="s">
        <v>5</v>
      </c>
      <c r="D127">
        <v>0</v>
      </c>
      <c r="E127" s="1" t="s">
        <v>773</v>
      </c>
    </row>
    <row r="128" spans="1:5" hidden="1" x14ac:dyDescent="0.25">
      <c r="A128" s="1" t="s">
        <v>927</v>
      </c>
      <c r="B128" s="1" t="s">
        <v>928</v>
      </c>
      <c r="C128" s="1" t="s">
        <v>5</v>
      </c>
      <c r="D128">
        <v>0</v>
      </c>
      <c r="E128" s="1" t="s">
        <v>773</v>
      </c>
    </row>
    <row r="129" spans="1:5" hidden="1" x14ac:dyDescent="0.25">
      <c r="A129" s="1" t="s">
        <v>929</v>
      </c>
      <c r="B129" s="1" t="s">
        <v>930</v>
      </c>
      <c r="C129" s="1" t="s">
        <v>5</v>
      </c>
      <c r="D129">
        <v>0</v>
      </c>
      <c r="E129" s="1" t="s">
        <v>773</v>
      </c>
    </row>
    <row r="130" spans="1:5" hidden="1" x14ac:dyDescent="0.25">
      <c r="A130" s="1" t="s">
        <v>931</v>
      </c>
      <c r="B130" s="1" t="s">
        <v>932</v>
      </c>
      <c r="C130" s="1" t="s">
        <v>5</v>
      </c>
      <c r="D130">
        <v>0</v>
      </c>
      <c r="E130" s="1" t="s">
        <v>773</v>
      </c>
    </row>
    <row r="131" spans="1:5" hidden="1" x14ac:dyDescent="0.25">
      <c r="A131" s="1" t="s">
        <v>933</v>
      </c>
      <c r="B131" s="1" t="s">
        <v>934</v>
      </c>
      <c r="C131" s="1" t="s">
        <v>5</v>
      </c>
      <c r="D131">
        <v>0</v>
      </c>
      <c r="E131" s="1" t="s">
        <v>773</v>
      </c>
    </row>
    <row r="132" spans="1:5" hidden="1" x14ac:dyDescent="0.25">
      <c r="A132" s="1" t="s">
        <v>935</v>
      </c>
      <c r="B132" s="1" t="s">
        <v>936</v>
      </c>
      <c r="C132" s="1" t="s">
        <v>5</v>
      </c>
      <c r="D132">
        <v>0</v>
      </c>
      <c r="E132" s="1" t="s">
        <v>773</v>
      </c>
    </row>
    <row r="133" spans="1:5" hidden="1" x14ac:dyDescent="0.25">
      <c r="A133" s="1" t="s">
        <v>937</v>
      </c>
      <c r="B133" s="1" t="s">
        <v>938</v>
      </c>
      <c r="C133" s="1" t="s">
        <v>5</v>
      </c>
      <c r="D133">
        <v>0</v>
      </c>
      <c r="E133" s="1" t="s">
        <v>773</v>
      </c>
    </row>
    <row r="134" spans="1:5" hidden="1" x14ac:dyDescent="0.25">
      <c r="A134" s="1" t="s">
        <v>939</v>
      </c>
      <c r="B134" s="1" t="s">
        <v>940</v>
      </c>
      <c r="C134" s="1" t="s">
        <v>5</v>
      </c>
      <c r="D134">
        <v>0</v>
      </c>
      <c r="E134" s="1" t="s">
        <v>773</v>
      </c>
    </row>
    <row r="135" spans="1:5" hidden="1" x14ac:dyDescent="0.25">
      <c r="A135" s="1" t="s">
        <v>941</v>
      </c>
      <c r="B135" s="1" t="s">
        <v>942</v>
      </c>
      <c r="C135" s="1" t="s">
        <v>5</v>
      </c>
      <c r="D135">
        <v>0</v>
      </c>
      <c r="E135" s="1" t="s">
        <v>773</v>
      </c>
    </row>
    <row r="136" spans="1:5" hidden="1" x14ac:dyDescent="0.25">
      <c r="A136" s="1" t="s">
        <v>943</v>
      </c>
      <c r="B136" s="1" t="s">
        <v>944</v>
      </c>
      <c r="C136" s="1" t="s">
        <v>5</v>
      </c>
      <c r="D136">
        <v>0</v>
      </c>
      <c r="E136" s="1" t="s">
        <v>773</v>
      </c>
    </row>
    <row r="137" spans="1:5" hidden="1" x14ac:dyDescent="0.25">
      <c r="A137" s="1" t="s">
        <v>945</v>
      </c>
      <c r="B137" s="1" t="s">
        <v>946</v>
      </c>
      <c r="C137" s="1" t="s">
        <v>5</v>
      </c>
      <c r="D137">
        <v>0</v>
      </c>
      <c r="E137" s="1" t="s">
        <v>773</v>
      </c>
    </row>
    <row r="138" spans="1:5" hidden="1" x14ac:dyDescent="0.25">
      <c r="A138" s="1" t="s">
        <v>947</v>
      </c>
      <c r="B138" s="1" t="s">
        <v>948</v>
      </c>
      <c r="C138" s="1" t="s">
        <v>5</v>
      </c>
      <c r="D138">
        <v>0</v>
      </c>
      <c r="E138" s="1" t="s">
        <v>773</v>
      </c>
    </row>
    <row r="139" spans="1:5" hidden="1" x14ac:dyDescent="0.25">
      <c r="A139" s="1" t="s">
        <v>949</v>
      </c>
      <c r="B139" s="1" t="s">
        <v>950</v>
      </c>
      <c r="C139" s="1" t="s">
        <v>5</v>
      </c>
      <c r="D139">
        <v>0</v>
      </c>
      <c r="E139" s="1" t="s">
        <v>773</v>
      </c>
    </row>
    <row r="140" spans="1:5" hidden="1" x14ac:dyDescent="0.25">
      <c r="A140" s="1" t="s">
        <v>951</v>
      </c>
      <c r="B140" s="1" t="s">
        <v>952</v>
      </c>
      <c r="C140" s="1" t="s">
        <v>5</v>
      </c>
      <c r="D140">
        <v>0</v>
      </c>
      <c r="E140" s="1" t="s">
        <v>773</v>
      </c>
    </row>
    <row r="141" spans="1:5" hidden="1" x14ac:dyDescent="0.25">
      <c r="A141" s="1" t="s">
        <v>953</v>
      </c>
      <c r="B141" s="1" t="s">
        <v>954</v>
      </c>
      <c r="C141" s="1" t="s">
        <v>5</v>
      </c>
      <c r="D141">
        <v>0</v>
      </c>
      <c r="E141" s="1" t="s">
        <v>773</v>
      </c>
    </row>
    <row r="142" spans="1:5" hidden="1" x14ac:dyDescent="0.25">
      <c r="A142" s="1" t="s">
        <v>955</v>
      </c>
      <c r="B142" s="1" t="s">
        <v>956</v>
      </c>
      <c r="C142" s="1" t="s">
        <v>5</v>
      </c>
      <c r="D142">
        <v>0</v>
      </c>
      <c r="E142" s="1" t="s">
        <v>773</v>
      </c>
    </row>
    <row r="143" spans="1:5" hidden="1" x14ac:dyDescent="0.25">
      <c r="A143" s="1" t="s">
        <v>957</v>
      </c>
      <c r="B143" s="1" t="s">
        <v>958</v>
      </c>
      <c r="C143" s="1" t="s">
        <v>5</v>
      </c>
      <c r="D143">
        <v>0</v>
      </c>
      <c r="E143" s="1" t="s">
        <v>773</v>
      </c>
    </row>
    <row r="144" spans="1:5" hidden="1" x14ac:dyDescent="0.25">
      <c r="A144" s="1" t="s">
        <v>959</v>
      </c>
      <c r="B144" s="1" t="s">
        <v>960</v>
      </c>
      <c r="C144" s="1" t="s">
        <v>5</v>
      </c>
      <c r="D144">
        <v>0</v>
      </c>
      <c r="E144" s="1" t="s">
        <v>773</v>
      </c>
    </row>
    <row r="145" spans="1:5" hidden="1" x14ac:dyDescent="0.25">
      <c r="A145" s="1" t="s">
        <v>961</v>
      </c>
      <c r="B145" s="1" t="s">
        <v>962</v>
      </c>
      <c r="C145" s="1" t="s">
        <v>5</v>
      </c>
      <c r="D145">
        <v>0</v>
      </c>
      <c r="E145" s="1" t="s">
        <v>773</v>
      </c>
    </row>
    <row r="146" spans="1:5" hidden="1" x14ac:dyDescent="0.25">
      <c r="A146" s="1" t="s">
        <v>963</v>
      </c>
      <c r="B146" s="1" t="s">
        <v>964</v>
      </c>
      <c r="C146" s="1" t="s">
        <v>5</v>
      </c>
      <c r="D146">
        <v>0</v>
      </c>
      <c r="E146" s="1" t="s">
        <v>965</v>
      </c>
    </row>
    <row r="147" spans="1:5" hidden="1" x14ac:dyDescent="0.25">
      <c r="A147" s="1" t="s">
        <v>979</v>
      </c>
      <c r="B147" s="1" t="s">
        <v>980</v>
      </c>
      <c r="C147" s="1" t="s">
        <v>5</v>
      </c>
      <c r="D147">
        <v>0</v>
      </c>
      <c r="E147" s="1" t="s">
        <v>582</v>
      </c>
    </row>
    <row r="148" spans="1:5" hidden="1" x14ac:dyDescent="0.25">
      <c r="A148" s="1" t="s">
        <v>981</v>
      </c>
      <c r="B148" s="1" t="s">
        <v>982</v>
      </c>
      <c r="C148" s="1" t="s">
        <v>5</v>
      </c>
      <c r="D148">
        <v>0</v>
      </c>
      <c r="E148" s="1" t="s">
        <v>582</v>
      </c>
    </row>
    <row r="149" spans="1:5" hidden="1" x14ac:dyDescent="0.25">
      <c r="A149" s="1" t="s">
        <v>983</v>
      </c>
      <c r="B149" s="1" t="s">
        <v>984</v>
      </c>
      <c r="C149" s="1" t="s">
        <v>5</v>
      </c>
      <c r="D149">
        <v>0</v>
      </c>
      <c r="E149" s="1" t="s">
        <v>582</v>
      </c>
    </row>
    <row r="150" spans="1:5" hidden="1" x14ac:dyDescent="0.25">
      <c r="A150" s="1" t="s">
        <v>989</v>
      </c>
      <c r="B150" s="1" t="s">
        <v>990</v>
      </c>
      <c r="C150" s="1" t="s">
        <v>5</v>
      </c>
      <c r="D150">
        <v>0</v>
      </c>
      <c r="E150" s="1" t="s">
        <v>582</v>
      </c>
    </row>
    <row r="151" spans="1:5" hidden="1" x14ac:dyDescent="0.25">
      <c r="A151" s="1" t="s">
        <v>991</v>
      </c>
      <c r="B151" s="1" t="s">
        <v>992</v>
      </c>
      <c r="C151" s="1" t="s">
        <v>5</v>
      </c>
      <c r="D151">
        <v>0</v>
      </c>
      <c r="E151" s="1" t="s">
        <v>582</v>
      </c>
    </row>
    <row r="152" spans="1:5" hidden="1" x14ac:dyDescent="0.25">
      <c r="A152" s="1" t="s">
        <v>995</v>
      </c>
      <c r="B152" s="1" t="s">
        <v>996</v>
      </c>
      <c r="C152" s="1" t="s">
        <v>5</v>
      </c>
      <c r="D152">
        <v>0</v>
      </c>
      <c r="E152" s="1" t="s">
        <v>582</v>
      </c>
    </row>
    <row r="153" spans="1:5" hidden="1" x14ac:dyDescent="0.25">
      <c r="A153" s="1" t="s">
        <v>1003</v>
      </c>
      <c r="B153" s="1" t="s">
        <v>1004</v>
      </c>
      <c r="C153" s="1" t="s">
        <v>5</v>
      </c>
      <c r="D153">
        <v>0</v>
      </c>
      <c r="E153" s="1" t="s">
        <v>582</v>
      </c>
    </row>
    <row r="154" spans="1:5" hidden="1" x14ac:dyDescent="0.25">
      <c r="A154" s="1" t="s">
        <v>1017</v>
      </c>
      <c r="B154" s="1" t="s">
        <v>1018</v>
      </c>
      <c r="C154" s="1" t="s">
        <v>5</v>
      </c>
      <c r="D154">
        <v>0</v>
      </c>
      <c r="E154" s="1" t="s">
        <v>582</v>
      </c>
    </row>
    <row r="155" spans="1:5" hidden="1" x14ac:dyDescent="0.25">
      <c r="A155" s="1" t="s">
        <v>1021</v>
      </c>
      <c r="B155" s="1" t="s">
        <v>1022</v>
      </c>
      <c r="C155" s="1" t="s">
        <v>5</v>
      </c>
      <c r="D155">
        <v>0</v>
      </c>
      <c r="E155" s="1" t="s">
        <v>582</v>
      </c>
    </row>
    <row r="156" spans="1:5" hidden="1" x14ac:dyDescent="0.25">
      <c r="A156" s="1" t="s">
        <v>1025</v>
      </c>
      <c r="B156" s="1" t="s">
        <v>1026</v>
      </c>
      <c r="C156" s="1" t="s">
        <v>5</v>
      </c>
      <c r="D156">
        <v>0</v>
      </c>
      <c r="E156" s="1" t="s">
        <v>582</v>
      </c>
    </row>
    <row r="157" spans="1:5" hidden="1" x14ac:dyDescent="0.25">
      <c r="A157" s="1" t="s">
        <v>1027</v>
      </c>
      <c r="B157" s="1" t="s">
        <v>1028</v>
      </c>
      <c r="C157" s="1" t="s">
        <v>5</v>
      </c>
      <c r="D157">
        <v>0</v>
      </c>
      <c r="E157" s="1" t="s">
        <v>582</v>
      </c>
    </row>
    <row r="158" spans="1:5" hidden="1" x14ac:dyDescent="0.25">
      <c r="A158" s="1" t="s">
        <v>1031</v>
      </c>
      <c r="B158" s="1" t="s">
        <v>1032</v>
      </c>
      <c r="C158" s="1" t="s">
        <v>5</v>
      </c>
      <c r="D158">
        <v>0</v>
      </c>
      <c r="E158" s="1" t="s">
        <v>582</v>
      </c>
    </row>
    <row r="159" spans="1:5" hidden="1" x14ac:dyDescent="0.25">
      <c r="A159" s="1" t="s">
        <v>1033</v>
      </c>
      <c r="B159" s="1" t="s">
        <v>1034</v>
      </c>
      <c r="C159" s="1" t="s">
        <v>5</v>
      </c>
      <c r="D159">
        <v>0</v>
      </c>
      <c r="E159" s="1" t="s">
        <v>582</v>
      </c>
    </row>
    <row r="160" spans="1:5" hidden="1" x14ac:dyDescent="0.25">
      <c r="A160" s="1" t="s">
        <v>1035</v>
      </c>
      <c r="B160" s="1" t="s">
        <v>1036</v>
      </c>
      <c r="C160" s="1" t="s">
        <v>5</v>
      </c>
      <c r="D160">
        <v>0</v>
      </c>
      <c r="E160" s="1" t="s">
        <v>582</v>
      </c>
    </row>
    <row r="161" spans="1:5" hidden="1" x14ac:dyDescent="0.25">
      <c r="A161" s="1" t="s">
        <v>1043</v>
      </c>
      <c r="B161" s="1" t="s">
        <v>1044</v>
      </c>
      <c r="C161" s="1" t="s">
        <v>5</v>
      </c>
      <c r="D161">
        <v>0</v>
      </c>
      <c r="E161" s="1" t="s">
        <v>582</v>
      </c>
    </row>
    <row r="162" spans="1:5" hidden="1" x14ac:dyDescent="0.25">
      <c r="A162" s="1" t="s">
        <v>1045</v>
      </c>
      <c r="B162" s="1" t="s">
        <v>1046</v>
      </c>
      <c r="C162" s="1" t="s">
        <v>5</v>
      </c>
      <c r="D162">
        <v>0</v>
      </c>
      <c r="E162" s="1" t="s">
        <v>582</v>
      </c>
    </row>
    <row r="163" spans="1:5" hidden="1" x14ac:dyDescent="0.25">
      <c r="A163" s="1" t="s">
        <v>1047</v>
      </c>
      <c r="B163" s="1" t="s">
        <v>1048</v>
      </c>
      <c r="C163" s="1" t="s">
        <v>5</v>
      </c>
      <c r="D163">
        <v>0</v>
      </c>
      <c r="E163" s="1" t="s">
        <v>582</v>
      </c>
    </row>
    <row r="164" spans="1:5" hidden="1" x14ac:dyDescent="0.25">
      <c r="A164" s="1" t="s">
        <v>1049</v>
      </c>
      <c r="B164" s="1" t="s">
        <v>1050</v>
      </c>
      <c r="C164" s="1" t="s">
        <v>5</v>
      </c>
      <c r="D164">
        <v>0</v>
      </c>
      <c r="E164" s="1" t="s">
        <v>582</v>
      </c>
    </row>
    <row r="165" spans="1:5" hidden="1" x14ac:dyDescent="0.25">
      <c r="A165" s="1" t="s">
        <v>1073</v>
      </c>
      <c r="B165" s="1" t="s">
        <v>1074</v>
      </c>
      <c r="C165" s="1" t="s">
        <v>5</v>
      </c>
      <c r="D165">
        <v>0</v>
      </c>
      <c r="E165" s="1" t="s">
        <v>1070</v>
      </c>
    </row>
    <row r="166" spans="1:5" hidden="1" x14ac:dyDescent="0.25">
      <c r="A166" s="1" t="s">
        <v>1106</v>
      </c>
      <c r="B166" s="1" t="s">
        <v>1107</v>
      </c>
      <c r="C166" s="1" t="s">
        <v>5</v>
      </c>
      <c r="D166">
        <v>0</v>
      </c>
      <c r="E166" s="1" t="s">
        <v>773</v>
      </c>
    </row>
    <row r="167" spans="1:5" hidden="1" x14ac:dyDescent="0.25">
      <c r="A167" s="1" t="s">
        <v>1108</v>
      </c>
      <c r="B167" s="1" t="s">
        <v>1109</v>
      </c>
      <c r="C167" s="1" t="s">
        <v>5</v>
      </c>
      <c r="D167">
        <v>0</v>
      </c>
      <c r="E167" s="1" t="s">
        <v>773</v>
      </c>
    </row>
    <row r="168" spans="1:5" hidden="1" x14ac:dyDescent="0.25">
      <c r="A168" s="1" t="s">
        <v>1110</v>
      </c>
      <c r="B168" s="1" t="s">
        <v>1111</v>
      </c>
      <c r="C168" s="1" t="s">
        <v>5</v>
      </c>
      <c r="D168">
        <v>0</v>
      </c>
      <c r="E168" s="1" t="s">
        <v>773</v>
      </c>
    </row>
    <row r="169" spans="1:5" hidden="1" x14ac:dyDescent="0.25">
      <c r="A169" s="1" t="s">
        <v>1112</v>
      </c>
      <c r="B169" s="1" t="s">
        <v>1113</v>
      </c>
      <c r="C169" s="1" t="s">
        <v>5</v>
      </c>
      <c r="D169">
        <v>0</v>
      </c>
      <c r="E169" s="1" t="s">
        <v>773</v>
      </c>
    </row>
    <row r="170" spans="1:5" hidden="1" x14ac:dyDescent="0.25">
      <c r="A170" s="1" t="s">
        <v>1114</v>
      </c>
      <c r="B170" s="1" t="s">
        <v>1115</v>
      </c>
      <c r="C170" s="1" t="s">
        <v>5</v>
      </c>
      <c r="D170">
        <v>0</v>
      </c>
      <c r="E170" s="1" t="s">
        <v>773</v>
      </c>
    </row>
    <row r="171" spans="1:5" hidden="1" x14ac:dyDescent="0.25">
      <c r="A171" s="1" t="s">
        <v>1116</v>
      </c>
      <c r="B171" s="1" t="s">
        <v>1117</v>
      </c>
      <c r="C171" s="1" t="s">
        <v>5</v>
      </c>
      <c r="D171">
        <v>0</v>
      </c>
      <c r="E171" s="1" t="s">
        <v>773</v>
      </c>
    </row>
    <row r="172" spans="1:5" hidden="1" x14ac:dyDescent="0.25">
      <c r="A172" s="1" t="s">
        <v>1118</v>
      </c>
      <c r="B172" s="1" t="s">
        <v>1119</v>
      </c>
      <c r="C172" s="1" t="s">
        <v>5</v>
      </c>
      <c r="D172">
        <v>0</v>
      </c>
      <c r="E172" s="1" t="s">
        <v>773</v>
      </c>
    </row>
    <row r="173" spans="1:5" hidden="1" x14ac:dyDescent="0.25">
      <c r="A173" s="1" t="s">
        <v>1120</v>
      </c>
      <c r="B173" s="1" t="s">
        <v>1121</v>
      </c>
      <c r="C173" s="1" t="s">
        <v>5</v>
      </c>
      <c r="D173">
        <v>0</v>
      </c>
      <c r="E173" s="1" t="s">
        <v>773</v>
      </c>
    </row>
    <row r="174" spans="1:5" hidden="1" x14ac:dyDescent="0.25">
      <c r="A174" s="1" t="s">
        <v>1122</v>
      </c>
      <c r="B174" s="1" t="s">
        <v>1123</v>
      </c>
      <c r="C174" s="1" t="s">
        <v>5</v>
      </c>
      <c r="D174">
        <v>0</v>
      </c>
      <c r="E174" s="1" t="s">
        <v>773</v>
      </c>
    </row>
    <row r="175" spans="1:5" hidden="1" x14ac:dyDescent="0.25">
      <c r="A175" s="1" t="s">
        <v>1124</v>
      </c>
      <c r="B175" s="1" t="s">
        <v>1125</v>
      </c>
      <c r="C175" s="1" t="s">
        <v>5</v>
      </c>
      <c r="D175">
        <v>0</v>
      </c>
      <c r="E175" s="1" t="s">
        <v>773</v>
      </c>
    </row>
    <row r="176" spans="1:5" hidden="1" x14ac:dyDescent="0.25">
      <c r="A176" s="1" t="s">
        <v>1126</v>
      </c>
      <c r="B176" s="1" t="s">
        <v>1127</v>
      </c>
      <c r="C176" s="1" t="s">
        <v>5</v>
      </c>
      <c r="D176">
        <v>0</v>
      </c>
      <c r="E176" s="1" t="s">
        <v>773</v>
      </c>
    </row>
    <row r="177" spans="1:5" hidden="1" x14ac:dyDescent="0.25">
      <c r="A177" s="1" t="s">
        <v>1128</v>
      </c>
      <c r="B177" s="1" t="s">
        <v>1129</v>
      </c>
      <c r="C177" s="1" t="s">
        <v>5</v>
      </c>
      <c r="D177">
        <v>0</v>
      </c>
      <c r="E177" s="1" t="s">
        <v>773</v>
      </c>
    </row>
    <row r="178" spans="1:5" hidden="1" x14ac:dyDescent="0.25">
      <c r="A178" s="1" t="s">
        <v>1130</v>
      </c>
      <c r="B178" s="1" t="s">
        <v>1131</v>
      </c>
      <c r="C178" s="1" t="s">
        <v>5</v>
      </c>
      <c r="D178">
        <v>0</v>
      </c>
      <c r="E178" s="1" t="s">
        <v>773</v>
      </c>
    </row>
    <row r="179" spans="1:5" hidden="1" x14ac:dyDescent="0.25">
      <c r="A179" s="1" t="s">
        <v>1132</v>
      </c>
      <c r="B179" s="1" t="s">
        <v>1133</v>
      </c>
      <c r="C179" s="1" t="s">
        <v>5</v>
      </c>
      <c r="D179">
        <v>0</v>
      </c>
      <c r="E179" s="1" t="s">
        <v>773</v>
      </c>
    </row>
    <row r="180" spans="1:5" hidden="1" x14ac:dyDescent="0.25">
      <c r="A180" s="1" t="s">
        <v>1134</v>
      </c>
      <c r="B180" s="1" t="s">
        <v>1135</v>
      </c>
      <c r="C180" s="1" t="s">
        <v>5</v>
      </c>
      <c r="D180">
        <v>0</v>
      </c>
      <c r="E180" s="1" t="s">
        <v>773</v>
      </c>
    </row>
    <row r="181" spans="1:5" hidden="1" x14ac:dyDescent="0.25">
      <c r="A181" s="1" t="s">
        <v>1136</v>
      </c>
      <c r="B181" s="1" t="s">
        <v>1137</v>
      </c>
      <c r="C181" s="1" t="s">
        <v>5</v>
      </c>
      <c r="D181">
        <v>0</v>
      </c>
      <c r="E181" s="1" t="s">
        <v>773</v>
      </c>
    </row>
    <row r="182" spans="1:5" hidden="1" x14ac:dyDescent="0.25">
      <c r="A182" s="1" t="s">
        <v>1138</v>
      </c>
      <c r="B182" s="1" t="s">
        <v>1139</v>
      </c>
      <c r="C182" s="1" t="s">
        <v>5</v>
      </c>
      <c r="D182">
        <v>0</v>
      </c>
      <c r="E182" s="1" t="s">
        <v>773</v>
      </c>
    </row>
    <row r="183" spans="1:5" hidden="1" x14ac:dyDescent="0.25">
      <c r="A183" s="1" t="s">
        <v>1140</v>
      </c>
      <c r="B183" s="1" t="s">
        <v>1141</v>
      </c>
      <c r="C183" s="1" t="s">
        <v>5</v>
      </c>
      <c r="D183">
        <v>0</v>
      </c>
      <c r="E183" s="1" t="s">
        <v>773</v>
      </c>
    </row>
    <row r="184" spans="1:5" hidden="1" x14ac:dyDescent="0.25">
      <c r="A184" s="1" t="s">
        <v>1142</v>
      </c>
      <c r="B184" s="1" t="s">
        <v>1143</v>
      </c>
      <c r="C184" s="1" t="s">
        <v>5</v>
      </c>
      <c r="D184">
        <v>0</v>
      </c>
      <c r="E184" s="1" t="s">
        <v>773</v>
      </c>
    </row>
    <row r="185" spans="1:5" hidden="1" x14ac:dyDescent="0.25">
      <c r="A185" s="1" t="s">
        <v>1144</v>
      </c>
      <c r="B185" s="1" t="s">
        <v>1145</v>
      </c>
      <c r="C185" s="1" t="s">
        <v>5</v>
      </c>
      <c r="D185">
        <v>0</v>
      </c>
      <c r="E185" s="1" t="s">
        <v>773</v>
      </c>
    </row>
    <row r="186" spans="1:5" hidden="1" x14ac:dyDescent="0.25">
      <c r="A186" s="1" t="s">
        <v>1146</v>
      </c>
      <c r="B186" s="1" t="s">
        <v>1147</v>
      </c>
      <c r="C186" s="1" t="s">
        <v>5</v>
      </c>
      <c r="D186">
        <v>0</v>
      </c>
      <c r="E186" s="1" t="s">
        <v>773</v>
      </c>
    </row>
    <row r="187" spans="1:5" hidden="1" x14ac:dyDescent="0.25">
      <c r="A187" s="1" t="s">
        <v>1148</v>
      </c>
      <c r="B187" s="1" t="s">
        <v>1149</v>
      </c>
      <c r="C187" s="1" t="s">
        <v>5</v>
      </c>
      <c r="D187">
        <v>0</v>
      </c>
      <c r="E187" s="1" t="s">
        <v>773</v>
      </c>
    </row>
    <row r="188" spans="1:5" hidden="1" x14ac:dyDescent="0.25">
      <c r="A188" s="1" t="s">
        <v>1150</v>
      </c>
      <c r="B188" s="1" t="s">
        <v>1151</v>
      </c>
      <c r="C188" s="1" t="s">
        <v>5</v>
      </c>
      <c r="D188">
        <v>0</v>
      </c>
      <c r="E188" s="1" t="s">
        <v>773</v>
      </c>
    </row>
    <row r="189" spans="1:5" hidden="1" x14ac:dyDescent="0.25">
      <c r="A189" s="1" t="s">
        <v>1152</v>
      </c>
      <c r="B189" s="1" t="s">
        <v>1153</v>
      </c>
      <c r="C189" s="1" t="s">
        <v>5</v>
      </c>
      <c r="D189">
        <v>0</v>
      </c>
      <c r="E189" s="1" t="s">
        <v>773</v>
      </c>
    </row>
    <row r="190" spans="1:5" hidden="1" x14ac:dyDescent="0.25">
      <c r="A190" s="1" t="s">
        <v>1154</v>
      </c>
      <c r="B190" s="1" t="s">
        <v>1155</v>
      </c>
      <c r="C190" s="1" t="s">
        <v>5</v>
      </c>
      <c r="D190">
        <v>0</v>
      </c>
      <c r="E190" s="1" t="s">
        <v>773</v>
      </c>
    </row>
    <row r="191" spans="1:5" hidden="1" x14ac:dyDescent="0.25">
      <c r="A191" s="1" t="s">
        <v>1156</v>
      </c>
      <c r="B191" s="1" t="s">
        <v>1157</v>
      </c>
      <c r="C191" s="1" t="s">
        <v>5</v>
      </c>
      <c r="D191">
        <v>0</v>
      </c>
      <c r="E191" s="1" t="s">
        <v>773</v>
      </c>
    </row>
    <row r="192" spans="1:5" hidden="1" x14ac:dyDescent="0.25">
      <c r="A192" s="1" t="s">
        <v>1158</v>
      </c>
      <c r="B192" s="1" t="s">
        <v>1159</v>
      </c>
      <c r="C192" s="1" t="s">
        <v>5</v>
      </c>
      <c r="D192">
        <v>0</v>
      </c>
      <c r="E192" s="1" t="s">
        <v>773</v>
      </c>
    </row>
    <row r="193" spans="1:5" hidden="1" x14ac:dyDescent="0.25">
      <c r="A193" s="1" t="s">
        <v>1160</v>
      </c>
      <c r="B193" s="1" t="s">
        <v>1161</v>
      </c>
      <c r="C193" s="1" t="s">
        <v>5</v>
      </c>
      <c r="D193">
        <v>0</v>
      </c>
      <c r="E193" s="1" t="s">
        <v>773</v>
      </c>
    </row>
    <row r="194" spans="1:5" hidden="1" x14ac:dyDescent="0.25">
      <c r="A194" s="1" t="s">
        <v>1162</v>
      </c>
      <c r="B194" s="1" t="s">
        <v>1163</v>
      </c>
      <c r="C194" s="1" t="s">
        <v>5</v>
      </c>
      <c r="D194">
        <v>0</v>
      </c>
      <c r="E194" s="1" t="s">
        <v>773</v>
      </c>
    </row>
    <row r="195" spans="1:5" hidden="1" x14ac:dyDescent="0.25">
      <c r="A195" s="1" t="s">
        <v>1164</v>
      </c>
      <c r="B195" s="1" t="s">
        <v>1165</v>
      </c>
      <c r="C195" s="1" t="s">
        <v>5</v>
      </c>
      <c r="D195">
        <v>0</v>
      </c>
      <c r="E195" s="1" t="s">
        <v>773</v>
      </c>
    </row>
    <row r="196" spans="1:5" hidden="1" x14ac:dyDescent="0.25">
      <c r="A196" s="1" t="s">
        <v>1166</v>
      </c>
      <c r="B196" s="1" t="s">
        <v>1167</v>
      </c>
      <c r="C196" s="1" t="s">
        <v>5</v>
      </c>
      <c r="D196">
        <v>0</v>
      </c>
      <c r="E196" s="1" t="s">
        <v>773</v>
      </c>
    </row>
    <row r="197" spans="1:5" hidden="1" x14ac:dyDescent="0.25">
      <c r="A197" s="1" t="s">
        <v>1168</v>
      </c>
      <c r="B197" s="1" t="s">
        <v>1169</v>
      </c>
      <c r="C197" s="1" t="s">
        <v>5</v>
      </c>
      <c r="D197">
        <v>0</v>
      </c>
      <c r="E197" s="1" t="s">
        <v>773</v>
      </c>
    </row>
    <row r="198" spans="1:5" hidden="1" x14ac:dyDescent="0.25">
      <c r="A198" s="1" t="s">
        <v>1170</v>
      </c>
      <c r="B198" s="1" t="s">
        <v>1171</v>
      </c>
      <c r="C198" s="1" t="s">
        <v>5</v>
      </c>
      <c r="D198">
        <v>0</v>
      </c>
      <c r="E198" s="1" t="s">
        <v>773</v>
      </c>
    </row>
    <row r="199" spans="1:5" hidden="1" x14ac:dyDescent="0.25">
      <c r="A199" s="1" t="s">
        <v>1172</v>
      </c>
      <c r="B199" s="1" t="s">
        <v>1173</v>
      </c>
      <c r="C199" s="1" t="s">
        <v>5</v>
      </c>
      <c r="D199">
        <v>0</v>
      </c>
      <c r="E199" s="1" t="s">
        <v>773</v>
      </c>
    </row>
    <row r="200" spans="1:5" hidden="1" x14ac:dyDescent="0.25">
      <c r="A200" s="1" t="s">
        <v>1174</v>
      </c>
      <c r="B200" s="1" t="s">
        <v>1175</v>
      </c>
      <c r="C200" s="1" t="s">
        <v>5</v>
      </c>
      <c r="D200">
        <v>0</v>
      </c>
      <c r="E200" s="1" t="s">
        <v>773</v>
      </c>
    </row>
    <row r="201" spans="1:5" hidden="1" x14ac:dyDescent="0.25">
      <c r="A201" s="1" t="s">
        <v>1176</v>
      </c>
      <c r="B201" s="1" t="s">
        <v>1177</v>
      </c>
      <c r="C201" s="1" t="s">
        <v>5</v>
      </c>
      <c r="D201">
        <v>0</v>
      </c>
      <c r="E201" s="1" t="s">
        <v>773</v>
      </c>
    </row>
    <row r="202" spans="1:5" hidden="1" x14ac:dyDescent="0.25">
      <c r="A202" s="1" t="s">
        <v>1178</v>
      </c>
      <c r="B202" s="1" t="s">
        <v>1179</v>
      </c>
      <c r="C202" s="1" t="s">
        <v>5</v>
      </c>
      <c r="D202">
        <v>0</v>
      </c>
      <c r="E202" s="1" t="s">
        <v>773</v>
      </c>
    </row>
    <row r="203" spans="1:5" hidden="1" x14ac:dyDescent="0.25">
      <c r="A203" s="1" t="s">
        <v>1180</v>
      </c>
      <c r="B203" s="1" t="s">
        <v>1181</v>
      </c>
      <c r="C203" s="1" t="s">
        <v>5</v>
      </c>
      <c r="D203">
        <v>0</v>
      </c>
      <c r="E203" s="1" t="s">
        <v>773</v>
      </c>
    </row>
    <row r="204" spans="1:5" hidden="1" x14ac:dyDescent="0.25">
      <c r="A204" s="1" t="s">
        <v>1182</v>
      </c>
      <c r="B204" s="1" t="s">
        <v>1183</v>
      </c>
      <c r="C204" s="1" t="s">
        <v>5</v>
      </c>
      <c r="D204">
        <v>0</v>
      </c>
      <c r="E204" s="1" t="s">
        <v>773</v>
      </c>
    </row>
    <row r="205" spans="1:5" hidden="1" x14ac:dyDescent="0.25">
      <c r="A205" s="1" t="s">
        <v>1184</v>
      </c>
      <c r="B205" s="1" t="s">
        <v>1185</v>
      </c>
      <c r="C205" s="1" t="s">
        <v>5</v>
      </c>
      <c r="D205">
        <v>0</v>
      </c>
      <c r="E205" s="1" t="s">
        <v>773</v>
      </c>
    </row>
    <row r="206" spans="1:5" hidden="1" x14ac:dyDescent="0.25">
      <c r="A206" s="1" t="s">
        <v>1186</v>
      </c>
      <c r="B206" s="1" t="s">
        <v>1187</v>
      </c>
      <c r="C206" s="1" t="s">
        <v>5</v>
      </c>
      <c r="D206">
        <v>0</v>
      </c>
      <c r="E206" s="1" t="s">
        <v>773</v>
      </c>
    </row>
    <row r="207" spans="1:5" hidden="1" x14ac:dyDescent="0.25">
      <c r="A207" s="1" t="s">
        <v>1188</v>
      </c>
      <c r="B207" s="1" t="s">
        <v>1189</v>
      </c>
      <c r="C207" s="1" t="s">
        <v>5</v>
      </c>
      <c r="D207">
        <v>0</v>
      </c>
      <c r="E207" s="1" t="s">
        <v>773</v>
      </c>
    </row>
    <row r="208" spans="1:5" hidden="1" x14ac:dyDescent="0.25">
      <c r="A208" s="1" t="s">
        <v>1190</v>
      </c>
      <c r="B208" s="1" t="s">
        <v>1191</v>
      </c>
      <c r="C208" s="1" t="s">
        <v>5</v>
      </c>
      <c r="D208">
        <v>0</v>
      </c>
      <c r="E208" s="1" t="s">
        <v>773</v>
      </c>
    </row>
    <row r="209" spans="1:5" hidden="1" x14ac:dyDescent="0.25">
      <c r="A209" s="1" t="s">
        <v>1192</v>
      </c>
      <c r="B209" s="1" t="s">
        <v>1193</v>
      </c>
      <c r="C209" s="1" t="s">
        <v>5</v>
      </c>
      <c r="D209">
        <v>0</v>
      </c>
      <c r="E209" s="1" t="s">
        <v>773</v>
      </c>
    </row>
    <row r="210" spans="1:5" hidden="1" x14ac:dyDescent="0.25">
      <c r="A210" s="1" t="s">
        <v>1194</v>
      </c>
      <c r="B210" s="1" t="s">
        <v>1195</v>
      </c>
      <c r="C210" s="1" t="s">
        <v>5</v>
      </c>
      <c r="D210">
        <v>0</v>
      </c>
      <c r="E210" s="1" t="s">
        <v>773</v>
      </c>
    </row>
    <row r="211" spans="1:5" hidden="1" x14ac:dyDescent="0.25">
      <c r="A211" s="1" t="s">
        <v>1196</v>
      </c>
      <c r="B211" s="1" t="s">
        <v>1197</v>
      </c>
      <c r="C211" s="1" t="s">
        <v>5</v>
      </c>
      <c r="D211">
        <v>0</v>
      </c>
      <c r="E211" s="1" t="s">
        <v>773</v>
      </c>
    </row>
    <row r="212" spans="1:5" hidden="1" x14ac:dyDescent="0.25">
      <c r="A212" s="1" t="s">
        <v>1198</v>
      </c>
      <c r="B212" s="1" t="s">
        <v>1199</v>
      </c>
      <c r="C212" s="1" t="s">
        <v>5</v>
      </c>
      <c r="D212">
        <v>0</v>
      </c>
      <c r="E212" s="1" t="s">
        <v>773</v>
      </c>
    </row>
    <row r="213" spans="1:5" hidden="1" x14ac:dyDescent="0.25">
      <c r="A213" s="1" t="s">
        <v>1200</v>
      </c>
      <c r="B213" s="1" t="s">
        <v>1201</v>
      </c>
      <c r="C213" s="1" t="s">
        <v>5</v>
      </c>
      <c r="D213">
        <v>0</v>
      </c>
      <c r="E213" s="1" t="s">
        <v>773</v>
      </c>
    </row>
    <row r="214" spans="1:5" hidden="1" x14ac:dyDescent="0.25">
      <c r="A214" s="1" t="s">
        <v>1202</v>
      </c>
      <c r="B214" s="1" t="s">
        <v>1203</v>
      </c>
      <c r="C214" s="1" t="s">
        <v>5</v>
      </c>
      <c r="D214">
        <v>0</v>
      </c>
      <c r="E214" s="1" t="s">
        <v>773</v>
      </c>
    </row>
    <row r="215" spans="1:5" hidden="1" x14ac:dyDescent="0.25">
      <c r="A215" s="1" t="s">
        <v>1204</v>
      </c>
      <c r="B215" s="1" t="s">
        <v>1205</v>
      </c>
      <c r="C215" s="1" t="s">
        <v>5</v>
      </c>
      <c r="D215">
        <v>0</v>
      </c>
      <c r="E215" s="1" t="s">
        <v>773</v>
      </c>
    </row>
    <row r="216" spans="1:5" hidden="1" x14ac:dyDescent="0.25">
      <c r="A216" s="1" t="s">
        <v>1206</v>
      </c>
      <c r="B216" s="1" t="s">
        <v>1207</v>
      </c>
      <c r="C216" s="1" t="s">
        <v>5</v>
      </c>
      <c r="D216">
        <v>0</v>
      </c>
      <c r="E216" s="1" t="s">
        <v>773</v>
      </c>
    </row>
    <row r="217" spans="1:5" hidden="1" x14ac:dyDescent="0.25">
      <c r="A217" s="1" t="s">
        <v>1208</v>
      </c>
      <c r="B217" s="1" t="s">
        <v>1209</v>
      </c>
      <c r="C217" s="1" t="s">
        <v>5</v>
      </c>
      <c r="D217">
        <v>0</v>
      </c>
      <c r="E217" s="1" t="s">
        <v>773</v>
      </c>
    </row>
    <row r="218" spans="1:5" hidden="1" x14ac:dyDescent="0.25">
      <c r="A218" s="1" t="s">
        <v>1210</v>
      </c>
      <c r="B218" s="1" t="s">
        <v>1211</v>
      </c>
      <c r="C218" s="1" t="s">
        <v>5</v>
      </c>
      <c r="D218">
        <v>0</v>
      </c>
      <c r="E218" s="1" t="s">
        <v>773</v>
      </c>
    </row>
    <row r="219" spans="1:5" hidden="1" x14ac:dyDescent="0.25">
      <c r="A219" s="1" t="s">
        <v>1212</v>
      </c>
      <c r="B219" s="1" t="s">
        <v>1213</v>
      </c>
      <c r="C219" s="1" t="s">
        <v>5</v>
      </c>
      <c r="D219">
        <v>0</v>
      </c>
      <c r="E219" s="1" t="s">
        <v>773</v>
      </c>
    </row>
    <row r="220" spans="1:5" hidden="1" x14ac:dyDescent="0.25">
      <c r="A220" s="1" t="s">
        <v>1214</v>
      </c>
      <c r="B220" s="1" t="s">
        <v>1215</v>
      </c>
      <c r="C220" s="1" t="s">
        <v>5</v>
      </c>
      <c r="D220">
        <v>0</v>
      </c>
      <c r="E220" s="1" t="s">
        <v>773</v>
      </c>
    </row>
    <row r="221" spans="1:5" hidden="1" x14ac:dyDescent="0.25">
      <c r="A221" s="1" t="s">
        <v>1216</v>
      </c>
      <c r="B221" s="1" t="s">
        <v>1217</v>
      </c>
      <c r="C221" s="1" t="s">
        <v>5</v>
      </c>
      <c r="D221">
        <v>0</v>
      </c>
      <c r="E221" s="1" t="s">
        <v>773</v>
      </c>
    </row>
    <row r="222" spans="1:5" hidden="1" x14ac:dyDescent="0.25">
      <c r="A222" s="1" t="s">
        <v>1218</v>
      </c>
      <c r="B222" s="1" t="s">
        <v>1219</v>
      </c>
      <c r="C222" s="1" t="s">
        <v>5</v>
      </c>
      <c r="D222">
        <v>0</v>
      </c>
      <c r="E222" s="1" t="s">
        <v>773</v>
      </c>
    </row>
    <row r="223" spans="1:5" hidden="1" x14ac:dyDescent="0.25">
      <c r="A223" s="1" t="s">
        <v>1220</v>
      </c>
      <c r="B223" s="1" t="s">
        <v>1221</v>
      </c>
      <c r="C223" s="1" t="s">
        <v>5</v>
      </c>
      <c r="D223">
        <v>0</v>
      </c>
      <c r="E223" s="1" t="s">
        <v>773</v>
      </c>
    </row>
    <row r="224" spans="1:5" hidden="1" x14ac:dyDescent="0.25">
      <c r="A224" s="1" t="s">
        <v>1222</v>
      </c>
      <c r="B224" s="1" t="s">
        <v>1223</v>
      </c>
      <c r="C224" s="1" t="s">
        <v>5</v>
      </c>
      <c r="D224">
        <v>0</v>
      </c>
      <c r="E224" s="1" t="s">
        <v>773</v>
      </c>
    </row>
    <row r="225" spans="1:5" hidden="1" x14ac:dyDescent="0.25">
      <c r="A225" s="1" t="s">
        <v>1224</v>
      </c>
      <c r="B225" s="1" t="s">
        <v>1225</v>
      </c>
      <c r="C225" s="1" t="s">
        <v>5</v>
      </c>
      <c r="D225">
        <v>0</v>
      </c>
      <c r="E225" s="1" t="s">
        <v>773</v>
      </c>
    </row>
    <row r="226" spans="1:5" hidden="1" x14ac:dyDescent="0.25">
      <c r="A226" s="1" t="s">
        <v>1226</v>
      </c>
      <c r="B226" s="1" t="s">
        <v>1227</v>
      </c>
      <c r="C226" s="1" t="s">
        <v>5</v>
      </c>
      <c r="D226">
        <v>0</v>
      </c>
      <c r="E226" s="1" t="s">
        <v>773</v>
      </c>
    </row>
    <row r="227" spans="1:5" hidden="1" x14ac:dyDescent="0.25">
      <c r="A227" s="1" t="s">
        <v>1228</v>
      </c>
      <c r="B227" s="1" t="s">
        <v>1229</v>
      </c>
      <c r="C227" s="1" t="s">
        <v>5</v>
      </c>
      <c r="D227">
        <v>0</v>
      </c>
      <c r="E227" s="1" t="s">
        <v>773</v>
      </c>
    </row>
    <row r="228" spans="1:5" hidden="1" x14ac:dyDescent="0.25">
      <c r="A228" s="1" t="s">
        <v>1230</v>
      </c>
      <c r="B228" s="1" t="s">
        <v>1231</v>
      </c>
      <c r="C228" s="1" t="s">
        <v>5</v>
      </c>
      <c r="D228">
        <v>0</v>
      </c>
      <c r="E228" s="1" t="s">
        <v>773</v>
      </c>
    </row>
    <row r="229" spans="1:5" hidden="1" x14ac:dyDescent="0.25">
      <c r="A229" s="1" t="s">
        <v>1232</v>
      </c>
      <c r="B229" s="1" t="s">
        <v>1233</v>
      </c>
      <c r="C229" s="1" t="s">
        <v>5</v>
      </c>
      <c r="D229">
        <v>0</v>
      </c>
      <c r="E229" s="1" t="s">
        <v>773</v>
      </c>
    </row>
    <row r="230" spans="1:5" hidden="1" x14ac:dyDescent="0.25">
      <c r="A230" s="1" t="s">
        <v>1234</v>
      </c>
      <c r="B230" s="1" t="s">
        <v>1235</v>
      </c>
      <c r="C230" s="1" t="s">
        <v>5</v>
      </c>
      <c r="D230">
        <v>0</v>
      </c>
      <c r="E230" s="1" t="s">
        <v>773</v>
      </c>
    </row>
    <row r="231" spans="1:5" hidden="1" x14ac:dyDescent="0.25">
      <c r="A231" s="1" t="s">
        <v>1236</v>
      </c>
      <c r="B231" s="1" t="s">
        <v>1237</v>
      </c>
      <c r="C231" s="1" t="s">
        <v>5</v>
      </c>
      <c r="D231">
        <v>0</v>
      </c>
      <c r="E231" s="1" t="s">
        <v>773</v>
      </c>
    </row>
    <row r="232" spans="1:5" hidden="1" x14ac:dyDescent="0.25">
      <c r="A232" s="1" t="s">
        <v>1238</v>
      </c>
      <c r="B232" s="1" t="s">
        <v>1239</v>
      </c>
      <c r="C232" s="1" t="s">
        <v>5</v>
      </c>
      <c r="D232">
        <v>0</v>
      </c>
      <c r="E232" s="1" t="s">
        <v>773</v>
      </c>
    </row>
    <row r="233" spans="1:5" hidden="1" x14ac:dyDescent="0.25">
      <c r="A233" s="1" t="s">
        <v>1240</v>
      </c>
      <c r="B233" s="1" t="s">
        <v>1241</v>
      </c>
      <c r="C233" s="1" t="s">
        <v>5</v>
      </c>
      <c r="D233">
        <v>0</v>
      </c>
      <c r="E233" s="1" t="s">
        <v>773</v>
      </c>
    </row>
    <row r="234" spans="1:5" hidden="1" x14ac:dyDescent="0.25">
      <c r="A234" s="1" t="s">
        <v>1242</v>
      </c>
      <c r="B234" s="1" t="s">
        <v>1243</v>
      </c>
      <c r="C234" s="1" t="s">
        <v>5</v>
      </c>
      <c r="D234">
        <v>0</v>
      </c>
      <c r="E234" s="1" t="s">
        <v>773</v>
      </c>
    </row>
    <row r="235" spans="1:5" hidden="1" x14ac:dyDescent="0.25">
      <c r="A235" s="1" t="s">
        <v>1244</v>
      </c>
      <c r="B235" s="1" t="s">
        <v>1245</v>
      </c>
      <c r="C235" s="1" t="s">
        <v>5</v>
      </c>
      <c r="D235">
        <v>0</v>
      </c>
      <c r="E235" s="1" t="s">
        <v>1246</v>
      </c>
    </row>
    <row r="236" spans="1:5" hidden="1" x14ac:dyDescent="0.25">
      <c r="A236" s="1" t="s">
        <v>1264</v>
      </c>
      <c r="B236" s="1" t="s">
        <v>1265</v>
      </c>
      <c r="C236" s="1" t="s">
        <v>5</v>
      </c>
      <c r="D236">
        <v>0</v>
      </c>
      <c r="E236" s="1" t="s">
        <v>1061</v>
      </c>
    </row>
    <row r="237" spans="1:5" hidden="1" x14ac:dyDescent="0.25">
      <c r="A237" s="1" t="s">
        <v>1275</v>
      </c>
      <c r="B237" s="1" t="s">
        <v>1276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1277</v>
      </c>
      <c r="B238" s="1" t="s">
        <v>1278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1279</v>
      </c>
      <c r="B239" s="1" t="s">
        <v>1280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1281</v>
      </c>
      <c r="B240" s="1" t="s">
        <v>1282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1283</v>
      </c>
      <c r="B241" s="1" t="s">
        <v>1284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1285</v>
      </c>
      <c r="B242" s="1" t="s">
        <v>1286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1287</v>
      </c>
      <c r="B243" s="1" t="s">
        <v>1288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1289</v>
      </c>
      <c r="B244" s="1" t="s">
        <v>1290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1291</v>
      </c>
      <c r="B245" s="1" t="s">
        <v>1292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1293</v>
      </c>
      <c r="B246" s="1" t="s">
        <v>1294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1295</v>
      </c>
      <c r="B247" s="1" t="s">
        <v>1296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1297</v>
      </c>
      <c r="B248" s="1" t="s">
        <v>1298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1299</v>
      </c>
      <c r="B249" s="1" t="s">
        <v>1300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1301</v>
      </c>
      <c r="B250" s="1" t="s">
        <v>1302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1303</v>
      </c>
      <c r="B251" s="1" t="s">
        <v>1304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1305</v>
      </c>
      <c r="B252" s="1" t="s">
        <v>1306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1307</v>
      </c>
      <c r="B253" s="1" t="s">
        <v>1308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1309</v>
      </c>
      <c r="B254" s="1" t="s">
        <v>1310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1311</v>
      </c>
      <c r="B255" s="1" t="s">
        <v>1312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1313</v>
      </c>
      <c r="B256" s="1" t="s">
        <v>1314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1315</v>
      </c>
      <c r="B257" s="1" t="s">
        <v>1316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1317</v>
      </c>
      <c r="B258" s="1" t="s">
        <v>1318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1319</v>
      </c>
      <c r="B259" s="1" t="s">
        <v>1320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1321</v>
      </c>
      <c r="B260" s="1" t="s">
        <v>1322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1323</v>
      </c>
      <c r="B261" s="1" t="s">
        <v>1324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1325</v>
      </c>
      <c r="B262" s="1" t="s">
        <v>1326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1327</v>
      </c>
      <c r="B263" s="1" t="s">
        <v>1328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1329</v>
      </c>
      <c r="B264" s="1" t="s">
        <v>1330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1331</v>
      </c>
      <c r="B265" s="1" t="s">
        <v>1332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1333</v>
      </c>
      <c r="B266" s="1" t="s">
        <v>1334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1335</v>
      </c>
      <c r="B267" s="1" t="s">
        <v>1336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1337</v>
      </c>
      <c r="B268" s="1" t="s">
        <v>1338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1339</v>
      </c>
      <c r="B269" s="1" t="s">
        <v>1340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1341</v>
      </c>
      <c r="B270" s="1" t="s">
        <v>1342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1343</v>
      </c>
      <c r="B271" s="1" t="s">
        <v>1344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1345</v>
      </c>
      <c r="B272" s="1" t="s">
        <v>1346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1347</v>
      </c>
      <c r="B273" s="1" t="s">
        <v>1348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1349</v>
      </c>
      <c r="B274" s="1" t="s">
        <v>1350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1351</v>
      </c>
      <c r="B275" s="1" t="s">
        <v>1352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1353</v>
      </c>
      <c r="B276" s="1" t="s">
        <v>1354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1355</v>
      </c>
      <c r="B277" s="1" t="s">
        <v>1356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1357</v>
      </c>
      <c r="B278" s="1" t="s">
        <v>1358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1359</v>
      </c>
      <c r="B279" s="1" t="s">
        <v>1360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1361</v>
      </c>
      <c r="B280" s="1" t="s">
        <v>1362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1363</v>
      </c>
      <c r="B281" s="1" t="s">
        <v>1364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1365</v>
      </c>
      <c r="B282" s="1" t="s">
        <v>1366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1367</v>
      </c>
      <c r="B283" s="1" t="s">
        <v>1368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1369</v>
      </c>
      <c r="B284" s="1" t="s">
        <v>1370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1371</v>
      </c>
      <c r="B285" s="1" t="s">
        <v>1372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1391</v>
      </c>
      <c r="B286" s="1" t="s">
        <v>1392</v>
      </c>
      <c r="C286" s="1" t="s">
        <v>5</v>
      </c>
      <c r="D286">
        <v>0</v>
      </c>
      <c r="E286" s="1" t="s">
        <v>536</v>
      </c>
    </row>
    <row r="287" spans="1:5" hidden="1" x14ac:dyDescent="0.25">
      <c r="A287" s="1" t="s">
        <v>1395</v>
      </c>
      <c r="B287" s="1" t="s">
        <v>1396</v>
      </c>
      <c r="C287" s="1" t="s">
        <v>5</v>
      </c>
      <c r="D287">
        <v>0</v>
      </c>
      <c r="E287" s="1" t="s">
        <v>536</v>
      </c>
    </row>
    <row r="288" spans="1:5" hidden="1" x14ac:dyDescent="0.25">
      <c r="A288" s="1" t="s">
        <v>1415</v>
      </c>
      <c r="B288" s="1" t="s">
        <v>1416</v>
      </c>
      <c r="C288" s="1" t="s">
        <v>5</v>
      </c>
      <c r="D288">
        <v>0</v>
      </c>
      <c r="E288" s="1" t="s">
        <v>1417</v>
      </c>
    </row>
    <row r="289" spans="1:5" hidden="1" x14ac:dyDescent="0.25">
      <c r="A289" s="1" t="s">
        <v>1418</v>
      </c>
      <c r="B289" s="1" t="s">
        <v>1419</v>
      </c>
      <c r="C289" s="1" t="s">
        <v>5</v>
      </c>
      <c r="D289">
        <v>0</v>
      </c>
      <c r="E289" s="1" t="s">
        <v>1417</v>
      </c>
    </row>
    <row r="290" spans="1:5" hidden="1" x14ac:dyDescent="0.25">
      <c r="A290" s="1" t="s">
        <v>1420</v>
      </c>
      <c r="B290" s="1" t="s">
        <v>1421</v>
      </c>
      <c r="C290" s="1" t="s">
        <v>5</v>
      </c>
      <c r="D290">
        <v>0</v>
      </c>
      <c r="E290" s="1" t="s">
        <v>1417</v>
      </c>
    </row>
    <row r="291" spans="1:5" hidden="1" x14ac:dyDescent="0.25">
      <c r="A291" s="1" t="s">
        <v>1422</v>
      </c>
      <c r="B291" s="1" t="s">
        <v>1423</v>
      </c>
      <c r="C291" s="1" t="s">
        <v>5</v>
      </c>
      <c r="D291">
        <v>0</v>
      </c>
      <c r="E291" s="1" t="s">
        <v>1417</v>
      </c>
    </row>
    <row r="292" spans="1:5" hidden="1" x14ac:dyDescent="0.25">
      <c r="A292" s="1" t="s">
        <v>1424</v>
      </c>
      <c r="B292" s="1" t="s">
        <v>1425</v>
      </c>
      <c r="C292" s="1" t="s">
        <v>5</v>
      </c>
      <c r="D292">
        <v>0</v>
      </c>
      <c r="E292" s="1" t="s">
        <v>1417</v>
      </c>
    </row>
    <row r="293" spans="1:5" hidden="1" x14ac:dyDescent="0.25">
      <c r="A293" s="1" t="s">
        <v>1426</v>
      </c>
      <c r="B293" s="1" t="s">
        <v>1427</v>
      </c>
      <c r="C293" s="1" t="s">
        <v>5</v>
      </c>
      <c r="D293">
        <v>0</v>
      </c>
      <c r="E293" s="1" t="s">
        <v>1417</v>
      </c>
    </row>
    <row r="294" spans="1:5" hidden="1" x14ac:dyDescent="0.25">
      <c r="A294" s="1" t="s">
        <v>1428</v>
      </c>
      <c r="B294" s="1" t="s">
        <v>1429</v>
      </c>
      <c r="C294" s="1" t="s">
        <v>5</v>
      </c>
      <c r="D294">
        <v>0</v>
      </c>
      <c r="E294" s="1" t="s">
        <v>1417</v>
      </c>
    </row>
    <row r="295" spans="1:5" hidden="1" x14ac:dyDescent="0.25">
      <c r="A295" s="1" t="s">
        <v>1458</v>
      </c>
      <c r="B295" s="1" t="s">
        <v>1459</v>
      </c>
      <c r="C295" s="1" t="s">
        <v>5</v>
      </c>
      <c r="D295">
        <v>0</v>
      </c>
      <c r="E295" s="1" t="s">
        <v>536</v>
      </c>
    </row>
    <row r="296" spans="1:5" hidden="1" x14ac:dyDescent="0.25">
      <c r="A296" s="1" t="s">
        <v>1482</v>
      </c>
      <c r="B296" s="1" t="s">
        <v>1483</v>
      </c>
      <c r="C296" s="1" t="s">
        <v>5</v>
      </c>
      <c r="D296">
        <v>0</v>
      </c>
      <c r="E296" s="1" t="s">
        <v>1484</v>
      </c>
    </row>
    <row r="297" spans="1:5" hidden="1" x14ac:dyDescent="0.25">
      <c r="A297" s="1" t="s">
        <v>1485</v>
      </c>
      <c r="B297" s="1" t="s">
        <v>1486</v>
      </c>
      <c r="C297" s="1" t="s">
        <v>5</v>
      </c>
      <c r="D297">
        <v>0</v>
      </c>
      <c r="E297" s="1" t="s">
        <v>1484</v>
      </c>
    </row>
    <row r="298" spans="1:5" hidden="1" x14ac:dyDescent="0.25">
      <c r="A298" s="1" t="s">
        <v>1487</v>
      </c>
      <c r="B298" s="1" t="s">
        <v>1488</v>
      </c>
      <c r="C298" s="1" t="s">
        <v>5</v>
      </c>
      <c r="D298">
        <v>0</v>
      </c>
      <c r="E298" s="1" t="s">
        <v>1484</v>
      </c>
    </row>
    <row r="299" spans="1:5" hidden="1" x14ac:dyDescent="0.25">
      <c r="A299" s="1" t="s">
        <v>1489</v>
      </c>
      <c r="B299" s="1" t="s">
        <v>1490</v>
      </c>
      <c r="C299" s="1" t="s">
        <v>5</v>
      </c>
      <c r="D299">
        <v>0</v>
      </c>
      <c r="E299" s="1" t="s">
        <v>1484</v>
      </c>
    </row>
    <row r="300" spans="1:5" hidden="1" x14ac:dyDescent="0.25">
      <c r="A300" s="1" t="s">
        <v>1491</v>
      </c>
      <c r="B300" s="1" t="s">
        <v>1492</v>
      </c>
      <c r="C300" s="1" t="s">
        <v>5</v>
      </c>
      <c r="D300">
        <v>0</v>
      </c>
      <c r="E300" s="1" t="s">
        <v>1484</v>
      </c>
    </row>
    <row r="301" spans="1:5" hidden="1" x14ac:dyDescent="0.25">
      <c r="A301" s="1" t="s">
        <v>1493</v>
      </c>
      <c r="B301" s="1" t="s">
        <v>1494</v>
      </c>
      <c r="C301" s="1" t="s">
        <v>5</v>
      </c>
      <c r="D301">
        <v>0</v>
      </c>
      <c r="E301" s="1" t="s">
        <v>1484</v>
      </c>
    </row>
    <row r="302" spans="1:5" hidden="1" x14ac:dyDescent="0.25">
      <c r="A302" s="1" t="s">
        <v>1495</v>
      </c>
      <c r="B302" s="1" t="s">
        <v>1496</v>
      </c>
      <c r="C302" s="1" t="s">
        <v>5</v>
      </c>
      <c r="D302">
        <v>0</v>
      </c>
      <c r="E302" s="1" t="s">
        <v>1497</v>
      </c>
    </row>
    <row r="303" spans="1:5" hidden="1" x14ac:dyDescent="0.25">
      <c r="A303" s="1" t="s">
        <v>1498</v>
      </c>
      <c r="B303" s="1" t="s">
        <v>1499</v>
      </c>
      <c r="C303" s="1" t="s">
        <v>5</v>
      </c>
      <c r="D303">
        <v>0</v>
      </c>
      <c r="E303" s="1" t="s">
        <v>1497</v>
      </c>
    </row>
    <row r="304" spans="1:5" hidden="1" x14ac:dyDescent="0.25">
      <c r="A304" s="1" t="s">
        <v>1500</v>
      </c>
      <c r="B304" s="1" t="s">
        <v>1501</v>
      </c>
      <c r="C304" s="1" t="s">
        <v>5</v>
      </c>
      <c r="D304">
        <v>0</v>
      </c>
      <c r="E304" s="1" t="s">
        <v>1497</v>
      </c>
    </row>
    <row r="305" spans="1:5" hidden="1" x14ac:dyDescent="0.25">
      <c r="A305" s="1" t="s">
        <v>1502</v>
      </c>
      <c r="B305" s="1" t="s">
        <v>1503</v>
      </c>
      <c r="C305" s="1" t="s">
        <v>5</v>
      </c>
      <c r="D305">
        <v>0</v>
      </c>
      <c r="E305" s="1" t="s">
        <v>1497</v>
      </c>
    </row>
    <row r="306" spans="1:5" hidden="1" x14ac:dyDescent="0.25">
      <c r="A306" s="1" t="s">
        <v>1504</v>
      </c>
      <c r="B306" s="1" t="s">
        <v>1505</v>
      </c>
      <c r="C306" s="1" t="s">
        <v>5</v>
      </c>
      <c r="D306">
        <v>0</v>
      </c>
      <c r="E306" s="1" t="s">
        <v>1497</v>
      </c>
    </row>
    <row r="307" spans="1:5" hidden="1" x14ac:dyDescent="0.25">
      <c r="A307" s="1" t="s">
        <v>1506</v>
      </c>
      <c r="B307" s="1" t="s">
        <v>1507</v>
      </c>
      <c r="C307" s="1" t="s">
        <v>5</v>
      </c>
      <c r="D307">
        <v>0</v>
      </c>
      <c r="E307" s="1" t="s">
        <v>1497</v>
      </c>
    </row>
    <row r="308" spans="1:5" hidden="1" x14ac:dyDescent="0.25">
      <c r="A308" s="1" t="s">
        <v>1508</v>
      </c>
      <c r="B308" s="1" t="s">
        <v>1509</v>
      </c>
      <c r="C308" s="1" t="s">
        <v>5</v>
      </c>
      <c r="D308">
        <v>0</v>
      </c>
      <c r="E308" s="1" t="s">
        <v>1497</v>
      </c>
    </row>
    <row r="309" spans="1:5" hidden="1" x14ac:dyDescent="0.25">
      <c r="A309" s="1" t="s">
        <v>1510</v>
      </c>
      <c r="B309" s="1" t="s">
        <v>1511</v>
      </c>
      <c r="C309" s="1" t="s">
        <v>5</v>
      </c>
      <c r="D309">
        <v>0</v>
      </c>
      <c r="E309" s="1" t="s">
        <v>1497</v>
      </c>
    </row>
    <row r="310" spans="1:5" hidden="1" x14ac:dyDescent="0.25">
      <c r="A310" s="1" t="s">
        <v>1512</v>
      </c>
      <c r="B310" s="1" t="s">
        <v>1513</v>
      </c>
      <c r="C310" s="1" t="s">
        <v>5</v>
      </c>
      <c r="D310">
        <v>0</v>
      </c>
      <c r="E310" s="1" t="s">
        <v>1497</v>
      </c>
    </row>
    <row r="311" spans="1:5" hidden="1" x14ac:dyDescent="0.25">
      <c r="A311" s="1" t="s">
        <v>1514</v>
      </c>
      <c r="B311" s="1" t="s">
        <v>1515</v>
      </c>
      <c r="C311" s="1" t="s">
        <v>5</v>
      </c>
      <c r="D311">
        <v>0</v>
      </c>
      <c r="E311" s="1" t="s">
        <v>1497</v>
      </c>
    </row>
    <row r="312" spans="1:5" hidden="1" x14ac:dyDescent="0.25">
      <c r="A312" s="1" t="s">
        <v>1516</v>
      </c>
      <c r="B312" s="1" t="s">
        <v>1517</v>
      </c>
      <c r="C312" s="1" t="s">
        <v>5</v>
      </c>
      <c r="D312">
        <v>0</v>
      </c>
      <c r="E312" s="1" t="s">
        <v>1497</v>
      </c>
    </row>
    <row r="313" spans="1:5" hidden="1" x14ac:dyDescent="0.25">
      <c r="A313" s="1" t="s">
        <v>1518</v>
      </c>
      <c r="B313" s="1" t="s">
        <v>1519</v>
      </c>
      <c r="C313" s="1" t="s">
        <v>5</v>
      </c>
      <c r="D313">
        <v>0</v>
      </c>
      <c r="E313" s="1" t="s">
        <v>1497</v>
      </c>
    </row>
    <row r="314" spans="1:5" hidden="1" x14ac:dyDescent="0.25">
      <c r="A314" s="1" t="s">
        <v>1538</v>
      </c>
      <c r="B314" s="1" t="s">
        <v>1539</v>
      </c>
      <c r="C314" s="1" t="s">
        <v>5</v>
      </c>
      <c r="D314">
        <v>0</v>
      </c>
      <c r="E314" s="1" t="s">
        <v>537</v>
      </c>
    </row>
    <row r="315" spans="1:5" hidden="1" x14ac:dyDescent="0.25">
      <c r="A315" s="1" t="s">
        <v>1581</v>
      </c>
      <c r="B315" s="1" t="s">
        <v>1582</v>
      </c>
      <c r="C315" s="1" t="s">
        <v>5</v>
      </c>
      <c r="D315">
        <v>0</v>
      </c>
      <c r="E315" s="1" t="s">
        <v>1497</v>
      </c>
    </row>
    <row r="316" spans="1:5" hidden="1" x14ac:dyDescent="0.25">
      <c r="A316" s="1" t="s">
        <v>1583</v>
      </c>
      <c r="B316" s="1" t="s">
        <v>1584</v>
      </c>
      <c r="C316" s="1" t="s">
        <v>5</v>
      </c>
      <c r="D316">
        <v>0</v>
      </c>
      <c r="E316" s="1" t="s">
        <v>1497</v>
      </c>
    </row>
    <row r="317" spans="1:5" hidden="1" x14ac:dyDescent="0.25">
      <c r="A317" s="1" t="s">
        <v>1602</v>
      </c>
      <c r="B317" s="1" t="s">
        <v>1603</v>
      </c>
      <c r="C317" s="1" t="s">
        <v>5</v>
      </c>
      <c r="D317">
        <v>0</v>
      </c>
      <c r="E317" s="1" t="s">
        <v>1417</v>
      </c>
    </row>
    <row r="318" spans="1:5" hidden="1" x14ac:dyDescent="0.25">
      <c r="A318" s="1" t="s">
        <v>1604</v>
      </c>
      <c r="B318" s="1" t="s">
        <v>1605</v>
      </c>
      <c r="C318" s="1" t="s">
        <v>5</v>
      </c>
      <c r="D318">
        <v>0</v>
      </c>
      <c r="E318" s="1" t="s">
        <v>1417</v>
      </c>
    </row>
    <row r="319" spans="1:5" hidden="1" x14ac:dyDescent="0.25">
      <c r="A319" s="1" t="s">
        <v>1606</v>
      </c>
      <c r="B319" s="1" t="s">
        <v>1607</v>
      </c>
      <c r="C319" s="1" t="s">
        <v>5</v>
      </c>
      <c r="D319">
        <v>0</v>
      </c>
      <c r="E319" s="1" t="s">
        <v>1417</v>
      </c>
    </row>
    <row r="320" spans="1:5" hidden="1" x14ac:dyDescent="0.25">
      <c r="A320" s="1" t="s">
        <v>1608</v>
      </c>
      <c r="B320" s="1" t="s">
        <v>1609</v>
      </c>
      <c r="C320" s="1" t="s">
        <v>5</v>
      </c>
      <c r="D320">
        <v>0</v>
      </c>
      <c r="E320" s="1" t="s">
        <v>1417</v>
      </c>
    </row>
    <row r="321" spans="1:5" hidden="1" x14ac:dyDescent="0.25">
      <c r="A321" s="1" t="s">
        <v>1612</v>
      </c>
      <c r="B321" s="1" t="s">
        <v>1613</v>
      </c>
      <c r="C321" s="1" t="s">
        <v>5</v>
      </c>
      <c r="D321">
        <v>0</v>
      </c>
      <c r="E321" s="1" t="s">
        <v>1417</v>
      </c>
    </row>
    <row r="322" spans="1:5" hidden="1" x14ac:dyDescent="0.25">
      <c r="A322" s="1" t="s">
        <v>1614</v>
      </c>
      <c r="B322" s="1" t="s">
        <v>1615</v>
      </c>
      <c r="C322" s="1" t="s">
        <v>5</v>
      </c>
      <c r="D322">
        <v>0</v>
      </c>
      <c r="E322" s="1" t="s">
        <v>1417</v>
      </c>
    </row>
    <row r="323" spans="1:5" hidden="1" x14ac:dyDescent="0.25">
      <c r="A323" s="1" t="s">
        <v>1631</v>
      </c>
      <c r="B323" s="1" t="s">
        <v>1632</v>
      </c>
      <c r="C323" s="1" t="s">
        <v>5</v>
      </c>
      <c r="D323">
        <v>0</v>
      </c>
      <c r="E323" s="1" t="s">
        <v>1628</v>
      </c>
    </row>
    <row r="324" spans="1:5" hidden="1" x14ac:dyDescent="0.25">
      <c r="A324" s="1" t="s">
        <v>1673</v>
      </c>
      <c r="B324" s="1" t="s">
        <v>1674</v>
      </c>
      <c r="C324" s="1" t="s">
        <v>5</v>
      </c>
      <c r="D324">
        <v>0</v>
      </c>
      <c r="E324" s="1" t="s">
        <v>1587</v>
      </c>
    </row>
    <row r="325" spans="1:5" hidden="1" x14ac:dyDescent="0.25">
      <c r="A325" s="1" t="s">
        <v>1675</v>
      </c>
      <c r="B325" s="1" t="s">
        <v>1676</v>
      </c>
      <c r="C325" s="1" t="s">
        <v>5</v>
      </c>
      <c r="D325">
        <v>0</v>
      </c>
      <c r="E325" s="1" t="s">
        <v>1587</v>
      </c>
    </row>
    <row r="326" spans="1:5" hidden="1" x14ac:dyDescent="0.25">
      <c r="A326" s="1" t="s">
        <v>1677</v>
      </c>
      <c r="B326" s="1" t="s">
        <v>1678</v>
      </c>
      <c r="C326" s="1" t="s">
        <v>5</v>
      </c>
      <c r="D326">
        <v>0</v>
      </c>
      <c r="E326" s="1" t="s">
        <v>1587</v>
      </c>
    </row>
    <row r="327" spans="1:5" hidden="1" x14ac:dyDescent="0.25">
      <c r="A327" s="1" t="s">
        <v>1679</v>
      </c>
      <c r="B327" s="1" t="s">
        <v>1680</v>
      </c>
      <c r="C327" s="1" t="s">
        <v>5</v>
      </c>
      <c r="D327">
        <v>0</v>
      </c>
      <c r="E327" s="1" t="s">
        <v>1587</v>
      </c>
    </row>
    <row r="328" spans="1:5" hidden="1" x14ac:dyDescent="0.25">
      <c r="A328" s="1" t="s">
        <v>1685</v>
      </c>
      <c r="B328" s="1" t="s">
        <v>1686</v>
      </c>
      <c r="C328" s="1" t="s">
        <v>5</v>
      </c>
      <c r="D328">
        <v>0</v>
      </c>
      <c r="E328" s="1" t="s">
        <v>1587</v>
      </c>
    </row>
    <row r="329" spans="1:5" hidden="1" x14ac:dyDescent="0.25">
      <c r="A329" s="1" t="s">
        <v>1687</v>
      </c>
      <c r="B329" s="1" t="s">
        <v>1688</v>
      </c>
      <c r="C329" s="1" t="s">
        <v>5</v>
      </c>
      <c r="D329">
        <v>0</v>
      </c>
      <c r="E329" s="1" t="s">
        <v>1587</v>
      </c>
    </row>
    <row r="330" spans="1:5" hidden="1" x14ac:dyDescent="0.25">
      <c r="A330" s="1" t="s">
        <v>1689</v>
      </c>
      <c r="B330" s="1" t="s">
        <v>1690</v>
      </c>
      <c r="C330" s="1" t="s">
        <v>5</v>
      </c>
      <c r="D330">
        <v>0</v>
      </c>
      <c r="E330" s="1" t="s">
        <v>1587</v>
      </c>
    </row>
    <row r="331" spans="1:5" hidden="1" x14ac:dyDescent="0.25">
      <c r="A331" s="1" t="s">
        <v>1691</v>
      </c>
      <c r="B331" s="1" t="s">
        <v>1692</v>
      </c>
      <c r="C331" s="1" t="s">
        <v>5</v>
      </c>
      <c r="D331">
        <v>0</v>
      </c>
      <c r="E331" s="1" t="s">
        <v>1587</v>
      </c>
    </row>
    <row r="332" spans="1:5" hidden="1" x14ac:dyDescent="0.25">
      <c r="A332" s="1" t="s">
        <v>1693</v>
      </c>
      <c r="B332" s="1" t="s">
        <v>1694</v>
      </c>
      <c r="C332" s="1" t="s">
        <v>5</v>
      </c>
      <c r="D332">
        <v>0</v>
      </c>
      <c r="E332" s="1" t="s">
        <v>1587</v>
      </c>
    </row>
    <row r="333" spans="1:5" hidden="1" x14ac:dyDescent="0.25">
      <c r="A333" s="1" t="s">
        <v>1695</v>
      </c>
      <c r="B333" s="1" t="s">
        <v>1696</v>
      </c>
      <c r="C333" s="1" t="s">
        <v>5</v>
      </c>
      <c r="D333">
        <v>0</v>
      </c>
      <c r="E333" s="1" t="s">
        <v>1587</v>
      </c>
    </row>
    <row r="334" spans="1:5" hidden="1" x14ac:dyDescent="0.25">
      <c r="A334" s="1" t="s">
        <v>1697</v>
      </c>
      <c r="B334" s="1" t="s">
        <v>1698</v>
      </c>
      <c r="C334" s="1" t="s">
        <v>5</v>
      </c>
      <c r="D334">
        <v>0</v>
      </c>
      <c r="E334" s="1" t="s">
        <v>1587</v>
      </c>
    </row>
    <row r="335" spans="1:5" hidden="1" x14ac:dyDescent="0.25">
      <c r="A335" s="1" t="s">
        <v>1699</v>
      </c>
      <c r="B335" s="1" t="s">
        <v>1700</v>
      </c>
      <c r="C335" s="1" t="s">
        <v>5</v>
      </c>
      <c r="D335">
        <v>0</v>
      </c>
      <c r="E335" s="1" t="s">
        <v>1587</v>
      </c>
    </row>
    <row r="336" spans="1:5" hidden="1" x14ac:dyDescent="0.25">
      <c r="A336" s="1" t="s">
        <v>1701</v>
      </c>
      <c r="B336" s="1" t="s">
        <v>1702</v>
      </c>
      <c r="C336" s="1" t="s">
        <v>5</v>
      </c>
      <c r="D336">
        <v>0</v>
      </c>
      <c r="E336" s="1" t="s">
        <v>1587</v>
      </c>
    </row>
    <row r="337" spans="1:5" hidden="1" x14ac:dyDescent="0.25">
      <c r="A337" s="1" t="s">
        <v>1703</v>
      </c>
      <c r="B337" s="1" t="s">
        <v>1704</v>
      </c>
      <c r="C337" s="1" t="s">
        <v>5</v>
      </c>
      <c r="D337">
        <v>0</v>
      </c>
      <c r="E337" s="1" t="s">
        <v>1587</v>
      </c>
    </row>
    <row r="338" spans="1:5" hidden="1" x14ac:dyDescent="0.25">
      <c r="A338" s="1" t="s">
        <v>1705</v>
      </c>
      <c r="B338" s="1" t="s">
        <v>1706</v>
      </c>
      <c r="C338" s="1" t="s">
        <v>5</v>
      </c>
      <c r="D338">
        <v>0</v>
      </c>
      <c r="E338" s="1" t="s">
        <v>1587</v>
      </c>
    </row>
    <row r="339" spans="1:5" hidden="1" x14ac:dyDescent="0.25">
      <c r="A339" s="1" t="s">
        <v>1707</v>
      </c>
      <c r="B339" s="1" t="s">
        <v>1708</v>
      </c>
      <c r="C339" s="1" t="s">
        <v>5</v>
      </c>
      <c r="D339">
        <v>0</v>
      </c>
      <c r="E339" s="1" t="s">
        <v>1587</v>
      </c>
    </row>
    <row r="340" spans="1:5" hidden="1" x14ac:dyDescent="0.25">
      <c r="A340" s="1" t="s">
        <v>1717</v>
      </c>
      <c r="B340" s="1" t="s">
        <v>1718</v>
      </c>
      <c r="C340" s="1" t="s">
        <v>5</v>
      </c>
      <c r="D340">
        <v>0</v>
      </c>
      <c r="E340" s="1" t="s">
        <v>1587</v>
      </c>
    </row>
    <row r="341" spans="1:5" hidden="1" x14ac:dyDescent="0.25">
      <c r="A341" s="1" t="s">
        <v>1719</v>
      </c>
      <c r="B341" s="1" t="s">
        <v>1720</v>
      </c>
      <c r="C341" s="1" t="s">
        <v>5</v>
      </c>
      <c r="D341">
        <v>0</v>
      </c>
      <c r="E341" s="1" t="s">
        <v>1587</v>
      </c>
    </row>
    <row r="342" spans="1:5" hidden="1" x14ac:dyDescent="0.25">
      <c r="A342" s="1" t="s">
        <v>1721</v>
      </c>
      <c r="B342" s="1" t="s">
        <v>1722</v>
      </c>
      <c r="C342" s="1" t="s">
        <v>5</v>
      </c>
      <c r="D342">
        <v>0</v>
      </c>
      <c r="E342" s="1" t="s">
        <v>1587</v>
      </c>
    </row>
    <row r="343" spans="1:5" hidden="1" x14ac:dyDescent="0.25">
      <c r="A343" s="1" t="s">
        <v>1723</v>
      </c>
      <c r="B343" s="1" t="s">
        <v>1724</v>
      </c>
      <c r="C343" s="1" t="s">
        <v>5</v>
      </c>
      <c r="D343">
        <v>0</v>
      </c>
      <c r="E343" s="1" t="s">
        <v>1587</v>
      </c>
    </row>
    <row r="344" spans="1:5" hidden="1" x14ac:dyDescent="0.25">
      <c r="A344" s="1" t="s">
        <v>1725</v>
      </c>
      <c r="B344" s="1" t="s">
        <v>1726</v>
      </c>
      <c r="C344" s="1" t="s">
        <v>5</v>
      </c>
      <c r="D344">
        <v>0</v>
      </c>
      <c r="E344" s="1" t="s">
        <v>1587</v>
      </c>
    </row>
    <row r="345" spans="1:5" hidden="1" x14ac:dyDescent="0.25">
      <c r="A345" s="1" t="s">
        <v>1727</v>
      </c>
      <c r="B345" s="1" t="s">
        <v>1728</v>
      </c>
      <c r="C345" s="1" t="s">
        <v>5</v>
      </c>
      <c r="D345">
        <v>0</v>
      </c>
      <c r="E345" s="1" t="s">
        <v>1587</v>
      </c>
    </row>
    <row r="346" spans="1:5" hidden="1" x14ac:dyDescent="0.25">
      <c r="A346" s="1" t="s">
        <v>1733</v>
      </c>
      <c r="B346" s="1" t="s">
        <v>1734</v>
      </c>
      <c r="C346" s="1" t="s">
        <v>5</v>
      </c>
      <c r="D346">
        <v>0</v>
      </c>
      <c r="E346" s="1" t="s">
        <v>1587</v>
      </c>
    </row>
    <row r="347" spans="1:5" hidden="1" x14ac:dyDescent="0.25">
      <c r="A347" s="1" t="s">
        <v>1735</v>
      </c>
      <c r="B347" s="1" t="s">
        <v>1736</v>
      </c>
      <c r="C347" s="1" t="s">
        <v>5</v>
      </c>
      <c r="D347">
        <v>0</v>
      </c>
      <c r="E347" s="1" t="s">
        <v>1587</v>
      </c>
    </row>
    <row r="348" spans="1:5" hidden="1" x14ac:dyDescent="0.25">
      <c r="A348" s="1" t="s">
        <v>1737</v>
      </c>
      <c r="B348" s="1" t="s">
        <v>1738</v>
      </c>
      <c r="C348" s="1" t="s">
        <v>5</v>
      </c>
      <c r="D348">
        <v>0</v>
      </c>
      <c r="E348" s="1" t="s">
        <v>1587</v>
      </c>
    </row>
    <row r="349" spans="1:5" hidden="1" x14ac:dyDescent="0.25">
      <c r="A349" s="1" t="s">
        <v>1739</v>
      </c>
      <c r="B349" s="1" t="s">
        <v>1740</v>
      </c>
      <c r="C349" s="1" t="s">
        <v>5</v>
      </c>
      <c r="D349">
        <v>0</v>
      </c>
      <c r="E349" s="1" t="s">
        <v>1587</v>
      </c>
    </row>
    <row r="350" spans="1:5" hidden="1" x14ac:dyDescent="0.25">
      <c r="A350" s="1" t="s">
        <v>1741</v>
      </c>
      <c r="B350" s="1" t="s">
        <v>1742</v>
      </c>
      <c r="C350" s="1" t="s">
        <v>5</v>
      </c>
      <c r="D350">
        <v>0</v>
      </c>
      <c r="E350" s="1" t="s">
        <v>1587</v>
      </c>
    </row>
    <row r="351" spans="1:5" hidden="1" x14ac:dyDescent="0.25">
      <c r="A351" s="1" t="s">
        <v>1743</v>
      </c>
      <c r="B351" s="1" t="s">
        <v>1744</v>
      </c>
      <c r="C351" s="1" t="s">
        <v>5</v>
      </c>
      <c r="D351">
        <v>0</v>
      </c>
      <c r="E351" s="1" t="s">
        <v>1587</v>
      </c>
    </row>
    <row r="352" spans="1:5" hidden="1" x14ac:dyDescent="0.25">
      <c r="A352" s="1" t="s">
        <v>1745</v>
      </c>
      <c r="B352" s="1" t="s">
        <v>1746</v>
      </c>
      <c r="C352" s="1" t="s">
        <v>5</v>
      </c>
      <c r="D352">
        <v>0</v>
      </c>
      <c r="E352" s="1" t="s">
        <v>1587</v>
      </c>
    </row>
    <row r="353" spans="1:5" hidden="1" x14ac:dyDescent="0.25">
      <c r="A353" s="1" t="s">
        <v>443</v>
      </c>
      <c r="B353" s="1" t="s">
        <v>444</v>
      </c>
      <c r="C353" s="1" t="s">
        <v>5</v>
      </c>
      <c r="D353">
        <v>0</v>
      </c>
      <c r="E353" s="1" t="s">
        <v>442</v>
      </c>
    </row>
    <row r="354" spans="1:5" hidden="1" x14ac:dyDescent="0.25">
      <c r="A354" s="1" t="s">
        <v>445</v>
      </c>
      <c r="B354" s="1" t="s">
        <v>446</v>
      </c>
      <c r="C354" s="1" t="s">
        <v>5</v>
      </c>
      <c r="D354">
        <v>0</v>
      </c>
      <c r="E354" s="1" t="s">
        <v>442</v>
      </c>
    </row>
    <row r="355" spans="1:5" hidden="1" x14ac:dyDescent="0.25">
      <c r="A355" s="1" t="s">
        <v>447</v>
      </c>
      <c r="B355" s="1" t="s">
        <v>448</v>
      </c>
      <c r="C355" s="1" t="s">
        <v>5</v>
      </c>
      <c r="D355">
        <v>0</v>
      </c>
      <c r="E355" s="1" t="s">
        <v>442</v>
      </c>
    </row>
    <row r="356" spans="1:5" hidden="1" x14ac:dyDescent="0.25">
      <c r="A356" s="1" t="s">
        <v>449</v>
      </c>
      <c r="B356" s="1" t="s">
        <v>450</v>
      </c>
      <c r="C356" s="1" t="s">
        <v>5</v>
      </c>
      <c r="D356">
        <v>0</v>
      </c>
      <c r="E356" s="1" t="s">
        <v>442</v>
      </c>
    </row>
    <row r="357" spans="1:5" hidden="1" x14ac:dyDescent="0.25">
      <c r="A357" s="1" t="s">
        <v>451</v>
      </c>
      <c r="B357" s="1" t="s">
        <v>452</v>
      </c>
      <c r="C357" s="1" t="s">
        <v>5</v>
      </c>
      <c r="D357">
        <v>0</v>
      </c>
      <c r="E357" s="1" t="s">
        <v>442</v>
      </c>
    </row>
    <row r="358" spans="1:5" hidden="1" x14ac:dyDescent="0.25">
      <c r="A358" s="1" t="s">
        <v>453</v>
      </c>
      <c r="B358" s="1" t="s">
        <v>454</v>
      </c>
      <c r="C358" s="1" t="s">
        <v>5</v>
      </c>
      <c r="D358">
        <v>0</v>
      </c>
      <c r="E358" s="1" t="s">
        <v>442</v>
      </c>
    </row>
    <row r="359" spans="1:5" hidden="1" x14ac:dyDescent="0.25">
      <c r="A359" s="1" t="s">
        <v>455</v>
      </c>
      <c r="B359" s="1" t="s">
        <v>456</v>
      </c>
      <c r="C359" s="1" t="s">
        <v>5</v>
      </c>
      <c r="D359">
        <v>0</v>
      </c>
      <c r="E359" s="1" t="s">
        <v>442</v>
      </c>
    </row>
    <row r="360" spans="1:5" hidden="1" x14ac:dyDescent="0.25">
      <c r="A360" s="1" t="s">
        <v>457</v>
      </c>
      <c r="B360" s="1" t="s">
        <v>458</v>
      </c>
      <c r="C360" s="1" t="s">
        <v>5</v>
      </c>
      <c r="D360">
        <v>0</v>
      </c>
      <c r="E360" s="1" t="s">
        <v>442</v>
      </c>
    </row>
    <row r="361" spans="1:5" hidden="1" x14ac:dyDescent="0.25">
      <c r="A361" s="1" t="s">
        <v>459</v>
      </c>
      <c r="B361" s="1" t="s">
        <v>460</v>
      </c>
      <c r="C361" s="1" t="s">
        <v>5</v>
      </c>
      <c r="D361">
        <v>0</v>
      </c>
      <c r="E361" s="1" t="s">
        <v>442</v>
      </c>
    </row>
    <row r="362" spans="1:5" hidden="1" x14ac:dyDescent="0.25">
      <c r="A362" s="1" t="s">
        <v>461</v>
      </c>
      <c r="B362" s="1" t="s">
        <v>462</v>
      </c>
      <c r="C362" s="1" t="s">
        <v>5</v>
      </c>
      <c r="D362">
        <v>0</v>
      </c>
      <c r="E362" s="1" t="s">
        <v>442</v>
      </c>
    </row>
    <row r="363" spans="1:5" hidden="1" x14ac:dyDescent="0.25">
      <c r="A363" s="1" t="s">
        <v>463</v>
      </c>
      <c r="B363" s="1" t="s">
        <v>464</v>
      </c>
      <c r="C363" s="1" t="s">
        <v>5</v>
      </c>
      <c r="D363">
        <v>0</v>
      </c>
      <c r="E363" s="1" t="s">
        <v>442</v>
      </c>
    </row>
    <row r="364" spans="1:5" hidden="1" x14ac:dyDescent="0.25">
      <c r="A364" s="1" t="s">
        <v>465</v>
      </c>
      <c r="B364" s="1" t="s">
        <v>466</v>
      </c>
      <c r="C364" s="1" t="s">
        <v>5</v>
      </c>
      <c r="D364">
        <v>0</v>
      </c>
      <c r="E364" s="1" t="s">
        <v>442</v>
      </c>
    </row>
    <row r="365" spans="1:5" hidden="1" x14ac:dyDescent="0.25">
      <c r="A365" s="1" t="s">
        <v>467</v>
      </c>
      <c r="B365" s="1" t="s">
        <v>468</v>
      </c>
      <c r="C365" s="1" t="s">
        <v>5</v>
      </c>
      <c r="D365">
        <v>0</v>
      </c>
      <c r="E365" s="1" t="s">
        <v>442</v>
      </c>
    </row>
    <row r="366" spans="1:5" hidden="1" x14ac:dyDescent="0.25">
      <c r="A366" s="1" t="s">
        <v>469</v>
      </c>
      <c r="B366" s="1" t="s">
        <v>470</v>
      </c>
      <c r="C366" s="1" t="s">
        <v>5</v>
      </c>
      <c r="D366">
        <v>0</v>
      </c>
      <c r="E366" s="1" t="s">
        <v>442</v>
      </c>
    </row>
    <row r="367" spans="1:5" hidden="1" x14ac:dyDescent="0.25">
      <c r="A367" s="1" t="s">
        <v>471</v>
      </c>
      <c r="B367" s="1" t="s">
        <v>472</v>
      </c>
      <c r="C367" s="1" t="s">
        <v>5</v>
      </c>
      <c r="D367">
        <v>0</v>
      </c>
      <c r="E367" s="1" t="s">
        <v>442</v>
      </c>
    </row>
    <row r="368" spans="1:5" hidden="1" x14ac:dyDescent="0.25">
      <c r="A368" s="1" t="s">
        <v>473</v>
      </c>
      <c r="B368" s="1" t="s">
        <v>474</v>
      </c>
      <c r="C368" s="1" t="s">
        <v>5</v>
      </c>
      <c r="D368">
        <v>0</v>
      </c>
      <c r="E368" s="1" t="s">
        <v>442</v>
      </c>
    </row>
    <row r="369" spans="1:5" hidden="1" x14ac:dyDescent="0.25">
      <c r="A369" s="1" t="s">
        <v>475</v>
      </c>
      <c r="B369" s="1" t="s">
        <v>476</v>
      </c>
      <c r="C369" s="1" t="s">
        <v>5</v>
      </c>
      <c r="D369">
        <v>0</v>
      </c>
      <c r="E369" s="1" t="s">
        <v>442</v>
      </c>
    </row>
    <row r="370" spans="1:5" hidden="1" x14ac:dyDescent="0.25">
      <c r="A370" s="1" t="s">
        <v>477</v>
      </c>
      <c r="B370" s="1" t="s">
        <v>478</v>
      </c>
      <c r="C370" s="1" t="s">
        <v>5</v>
      </c>
      <c r="D370">
        <v>0</v>
      </c>
      <c r="E370" s="1" t="s">
        <v>442</v>
      </c>
    </row>
    <row r="371" spans="1:5" hidden="1" x14ac:dyDescent="0.25">
      <c r="A371" s="1" t="s">
        <v>479</v>
      </c>
      <c r="B371" s="1" t="s">
        <v>480</v>
      </c>
      <c r="C371" s="1" t="s">
        <v>5</v>
      </c>
      <c r="D371">
        <v>0</v>
      </c>
      <c r="E371" s="1" t="s">
        <v>442</v>
      </c>
    </row>
    <row r="372" spans="1:5" hidden="1" x14ac:dyDescent="0.25">
      <c r="A372" s="1" t="s">
        <v>481</v>
      </c>
      <c r="B372" s="1" t="s">
        <v>482</v>
      </c>
      <c r="C372" s="1" t="s">
        <v>5</v>
      </c>
      <c r="D372">
        <v>0</v>
      </c>
      <c r="E372" s="1" t="s">
        <v>442</v>
      </c>
    </row>
    <row r="373" spans="1:5" hidden="1" x14ac:dyDescent="0.25">
      <c r="A373" s="1" t="s">
        <v>483</v>
      </c>
      <c r="B373" s="1" t="s">
        <v>484</v>
      </c>
      <c r="C373" s="1" t="s">
        <v>5</v>
      </c>
      <c r="D373">
        <v>0</v>
      </c>
      <c r="E373" s="1" t="s">
        <v>442</v>
      </c>
    </row>
    <row r="374" spans="1:5" hidden="1" x14ac:dyDescent="0.25">
      <c r="A374" s="1" t="s">
        <v>485</v>
      </c>
      <c r="B374" s="1" t="s">
        <v>486</v>
      </c>
      <c r="C374" s="1" t="s">
        <v>5</v>
      </c>
      <c r="D374">
        <v>0</v>
      </c>
      <c r="E374" s="1" t="s">
        <v>442</v>
      </c>
    </row>
    <row r="375" spans="1:5" hidden="1" x14ac:dyDescent="0.25">
      <c r="A375" s="1" t="s">
        <v>487</v>
      </c>
      <c r="B375" s="1" t="s">
        <v>488</v>
      </c>
      <c r="C375" s="1" t="s">
        <v>5</v>
      </c>
      <c r="D375">
        <v>0</v>
      </c>
      <c r="E375" s="1" t="s">
        <v>442</v>
      </c>
    </row>
    <row r="376" spans="1:5" hidden="1" x14ac:dyDescent="0.25">
      <c r="A376" s="1" t="s">
        <v>489</v>
      </c>
      <c r="B376" s="1" t="s">
        <v>490</v>
      </c>
      <c r="C376" s="1" t="s">
        <v>5</v>
      </c>
      <c r="D376">
        <v>0</v>
      </c>
      <c r="E376" s="1" t="s">
        <v>442</v>
      </c>
    </row>
    <row r="377" spans="1:5" hidden="1" x14ac:dyDescent="0.25">
      <c r="A377" s="1" t="s">
        <v>491</v>
      </c>
      <c r="B377" s="1" t="s">
        <v>492</v>
      </c>
      <c r="C377" s="1" t="s">
        <v>5</v>
      </c>
      <c r="D377">
        <v>0</v>
      </c>
      <c r="E377" s="1" t="s">
        <v>442</v>
      </c>
    </row>
    <row r="378" spans="1:5" hidden="1" x14ac:dyDescent="0.25">
      <c r="A378" s="1" t="s">
        <v>493</v>
      </c>
      <c r="B378" s="1" t="s">
        <v>494</v>
      </c>
      <c r="C378" s="1" t="s">
        <v>5</v>
      </c>
      <c r="D378">
        <v>0</v>
      </c>
      <c r="E378" s="1" t="s">
        <v>442</v>
      </c>
    </row>
    <row r="379" spans="1:5" hidden="1" x14ac:dyDescent="0.25">
      <c r="A379" s="1" t="s">
        <v>495</v>
      </c>
      <c r="B379" s="1" t="s">
        <v>496</v>
      </c>
      <c r="C379" s="1" t="s">
        <v>5</v>
      </c>
      <c r="D379">
        <v>0</v>
      </c>
      <c r="E379" s="1" t="s">
        <v>442</v>
      </c>
    </row>
    <row r="380" spans="1:5" hidden="1" x14ac:dyDescent="0.25">
      <c r="A380" s="1" t="s">
        <v>497</v>
      </c>
      <c r="B380" s="1" t="s">
        <v>498</v>
      </c>
      <c r="C380" s="1" t="s">
        <v>5</v>
      </c>
      <c r="D380">
        <v>0</v>
      </c>
      <c r="E380" s="1" t="s">
        <v>442</v>
      </c>
    </row>
    <row r="381" spans="1:5" hidden="1" x14ac:dyDescent="0.25">
      <c r="A381" s="1" t="s">
        <v>499</v>
      </c>
      <c r="B381" s="1" t="s">
        <v>500</v>
      </c>
      <c r="C381" s="1" t="s">
        <v>5</v>
      </c>
      <c r="D381">
        <v>0</v>
      </c>
      <c r="E381" s="1" t="s">
        <v>442</v>
      </c>
    </row>
    <row r="382" spans="1:5" hidden="1" x14ac:dyDescent="0.25">
      <c r="A382" s="1" t="s">
        <v>501</v>
      </c>
      <c r="B382" s="1" t="s">
        <v>502</v>
      </c>
      <c r="C382" s="1" t="s">
        <v>5</v>
      </c>
      <c r="D382">
        <v>0</v>
      </c>
      <c r="E382" s="1" t="s">
        <v>442</v>
      </c>
    </row>
    <row r="383" spans="1:5" hidden="1" x14ac:dyDescent="0.25">
      <c r="A383" s="1" t="s">
        <v>503</v>
      </c>
      <c r="B383" s="1" t="s">
        <v>504</v>
      </c>
      <c r="C383" s="1" t="s">
        <v>5</v>
      </c>
      <c r="D383">
        <v>0</v>
      </c>
      <c r="E383" s="1" t="s">
        <v>442</v>
      </c>
    </row>
    <row r="384" spans="1:5" hidden="1" x14ac:dyDescent="0.25">
      <c r="A384" s="1" t="s">
        <v>505</v>
      </c>
      <c r="B384" s="1" t="s">
        <v>506</v>
      </c>
      <c r="C384" s="1" t="s">
        <v>5</v>
      </c>
      <c r="D384">
        <v>0</v>
      </c>
      <c r="E384" s="1" t="s">
        <v>442</v>
      </c>
    </row>
    <row r="385" spans="1:5" hidden="1" x14ac:dyDescent="0.25">
      <c r="A385" s="1" t="s">
        <v>507</v>
      </c>
      <c r="B385" s="1" t="s">
        <v>508</v>
      </c>
      <c r="C385" s="1" t="s">
        <v>5</v>
      </c>
      <c r="D385">
        <v>0</v>
      </c>
      <c r="E385" s="1" t="s">
        <v>442</v>
      </c>
    </row>
    <row r="386" spans="1:5" hidden="1" x14ac:dyDescent="0.25">
      <c r="A386" s="1" t="s">
        <v>509</v>
      </c>
      <c r="B386" s="1" t="s">
        <v>510</v>
      </c>
      <c r="C386" s="1" t="s">
        <v>5</v>
      </c>
      <c r="D386">
        <v>0</v>
      </c>
      <c r="E386" s="1" t="s">
        <v>442</v>
      </c>
    </row>
    <row r="387" spans="1:5" hidden="1" x14ac:dyDescent="0.25">
      <c r="A387" s="1" t="s">
        <v>511</v>
      </c>
      <c r="B387" s="1" t="s">
        <v>512</v>
      </c>
      <c r="C387" s="1" t="s">
        <v>5</v>
      </c>
      <c r="D387">
        <v>0</v>
      </c>
      <c r="E387" s="1" t="s">
        <v>442</v>
      </c>
    </row>
    <row r="388" spans="1:5" hidden="1" x14ac:dyDescent="0.25">
      <c r="A388" s="1" t="s">
        <v>513</v>
      </c>
      <c r="B388" s="1" t="s">
        <v>514</v>
      </c>
      <c r="C388" s="1" t="s">
        <v>5</v>
      </c>
      <c r="D388">
        <v>0</v>
      </c>
      <c r="E388" s="1" t="s">
        <v>442</v>
      </c>
    </row>
    <row r="389" spans="1:5" hidden="1" x14ac:dyDescent="0.25">
      <c r="A389" s="1" t="s">
        <v>515</v>
      </c>
      <c r="B389" s="1" t="s">
        <v>516</v>
      </c>
      <c r="C389" s="1" t="s">
        <v>5</v>
      </c>
      <c r="D389">
        <v>0</v>
      </c>
      <c r="E389" s="1" t="s">
        <v>442</v>
      </c>
    </row>
    <row r="390" spans="1:5" hidden="1" x14ac:dyDescent="0.25">
      <c r="A390" s="1" t="s">
        <v>517</v>
      </c>
      <c r="B390" s="1" t="s">
        <v>518</v>
      </c>
      <c r="C390" s="1" t="s">
        <v>5</v>
      </c>
      <c r="D390">
        <v>0</v>
      </c>
      <c r="E390" s="1" t="s">
        <v>442</v>
      </c>
    </row>
    <row r="391" spans="1:5" hidden="1" x14ac:dyDescent="0.25">
      <c r="A391" s="1" t="s">
        <v>519</v>
      </c>
      <c r="B391" s="1" t="s">
        <v>520</v>
      </c>
      <c r="C391" s="1" t="s">
        <v>5</v>
      </c>
      <c r="D391">
        <v>0</v>
      </c>
      <c r="E391" s="1" t="s">
        <v>442</v>
      </c>
    </row>
    <row r="392" spans="1:5" hidden="1" x14ac:dyDescent="0.25">
      <c r="A392" s="1" t="s">
        <v>1757</v>
      </c>
      <c r="B392" s="1" t="s">
        <v>1758</v>
      </c>
      <c r="C392" s="1" t="s">
        <v>5</v>
      </c>
      <c r="D392">
        <v>0</v>
      </c>
      <c r="E392" s="1" t="s">
        <v>1759</v>
      </c>
    </row>
    <row r="393" spans="1:5" hidden="1" x14ac:dyDescent="0.25">
      <c r="A393" s="1" t="s">
        <v>1774</v>
      </c>
      <c r="B393" s="1" t="s">
        <v>1775</v>
      </c>
      <c r="C393" s="1" t="s">
        <v>5</v>
      </c>
      <c r="D393">
        <v>0</v>
      </c>
      <c r="E393" s="1" t="s">
        <v>582</v>
      </c>
    </row>
    <row r="394" spans="1:5" hidden="1" x14ac:dyDescent="0.25">
      <c r="A394" s="1" t="s">
        <v>1778</v>
      </c>
      <c r="B394" s="1" t="s">
        <v>1779</v>
      </c>
      <c r="C394" s="1" t="s">
        <v>5</v>
      </c>
      <c r="D394">
        <v>0</v>
      </c>
      <c r="E394" s="1" t="s">
        <v>582</v>
      </c>
    </row>
    <row r="395" spans="1:5" hidden="1" x14ac:dyDescent="0.25">
      <c r="A395" s="1" t="s">
        <v>1780</v>
      </c>
      <c r="B395" s="1" t="s">
        <v>1781</v>
      </c>
      <c r="C395" s="1" t="s">
        <v>5</v>
      </c>
      <c r="D395">
        <v>0</v>
      </c>
      <c r="E395" s="1" t="s">
        <v>582</v>
      </c>
    </row>
    <row r="396" spans="1:5" hidden="1" x14ac:dyDescent="0.25">
      <c r="A396" s="1" t="s">
        <v>1782</v>
      </c>
      <c r="B396" s="1" t="s">
        <v>1783</v>
      </c>
      <c r="C396" s="1" t="s">
        <v>5</v>
      </c>
      <c r="D396">
        <v>0</v>
      </c>
      <c r="E396" s="1" t="s">
        <v>582</v>
      </c>
    </row>
    <row r="397" spans="1:5" hidden="1" x14ac:dyDescent="0.25">
      <c r="A397" s="1" t="s">
        <v>1790</v>
      </c>
      <c r="B397" s="1" t="s">
        <v>1791</v>
      </c>
      <c r="C397" s="1" t="s">
        <v>5</v>
      </c>
      <c r="D397">
        <v>0</v>
      </c>
      <c r="E397" s="1" t="s">
        <v>582</v>
      </c>
    </row>
    <row r="398" spans="1:5" hidden="1" x14ac:dyDescent="0.25">
      <c r="A398" s="1" t="s">
        <v>1796</v>
      </c>
      <c r="B398" s="1" t="s">
        <v>1797</v>
      </c>
      <c r="C398" s="1" t="s">
        <v>5</v>
      </c>
      <c r="D398">
        <v>0</v>
      </c>
      <c r="E398" s="1" t="s">
        <v>582</v>
      </c>
    </row>
    <row r="399" spans="1:5" hidden="1" x14ac:dyDescent="0.25">
      <c r="A399" s="1" t="s">
        <v>1810</v>
      </c>
      <c r="B399" s="1" t="s">
        <v>1811</v>
      </c>
      <c r="C399" s="1" t="s">
        <v>5</v>
      </c>
      <c r="D399">
        <v>0</v>
      </c>
      <c r="E399" s="1" t="s">
        <v>1497</v>
      </c>
    </row>
    <row r="400" spans="1:5" hidden="1" x14ac:dyDescent="0.25">
      <c r="A400" s="1" t="s">
        <v>1812</v>
      </c>
      <c r="B400" s="1" t="s">
        <v>1813</v>
      </c>
      <c r="C400" s="1" t="s">
        <v>5</v>
      </c>
      <c r="D400">
        <v>0</v>
      </c>
      <c r="E400" s="1" t="s">
        <v>1497</v>
      </c>
    </row>
    <row r="401" spans="1:5" hidden="1" x14ac:dyDescent="0.25">
      <c r="A401" s="1" t="s">
        <v>1814</v>
      </c>
      <c r="B401" s="1" t="s">
        <v>1815</v>
      </c>
      <c r="C401" s="1" t="s">
        <v>5</v>
      </c>
      <c r="D401">
        <v>0</v>
      </c>
      <c r="E401" s="1" t="s">
        <v>1497</v>
      </c>
    </row>
    <row r="402" spans="1:5" hidden="1" x14ac:dyDescent="0.25">
      <c r="A402" s="1" t="s">
        <v>1816</v>
      </c>
      <c r="B402" s="1" t="s">
        <v>1817</v>
      </c>
      <c r="C402" s="1" t="s">
        <v>5</v>
      </c>
      <c r="D402">
        <v>0</v>
      </c>
      <c r="E402" s="1" t="s">
        <v>1497</v>
      </c>
    </row>
    <row r="403" spans="1:5" hidden="1" x14ac:dyDescent="0.25">
      <c r="A403" s="1" t="s">
        <v>1818</v>
      </c>
      <c r="B403" s="1" t="s">
        <v>1819</v>
      </c>
      <c r="C403" s="1" t="s">
        <v>5</v>
      </c>
      <c r="D403">
        <v>0</v>
      </c>
      <c r="E403" s="1" t="s">
        <v>1497</v>
      </c>
    </row>
    <row r="404" spans="1:5" hidden="1" x14ac:dyDescent="0.25">
      <c r="A404" s="1" t="s">
        <v>1820</v>
      </c>
      <c r="B404" s="1" t="s">
        <v>1821</v>
      </c>
      <c r="C404" s="1" t="s">
        <v>5</v>
      </c>
      <c r="D404">
        <v>0</v>
      </c>
      <c r="E404" s="1" t="s">
        <v>1497</v>
      </c>
    </row>
    <row r="405" spans="1:5" hidden="1" x14ac:dyDescent="0.25">
      <c r="A405" s="1" t="s">
        <v>1822</v>
      </c>
      <c r="B405" s="1" t="s">
        <v>1823</v>
      </c>
      <c r="C405" s="1" t="s">
        <v>5</v>
      </c>
      <c r="D405">
        <v>0</v>
      </c>
      <c r="E405" s="1" t="s">
        <v>1497</v>
      </c>
    </row>
    <row r="406" spans="1:5" hidden="1" x14ac:dyDescent="0.25">
      <c r="A406" s="1" t="s">
        <v>1824</v>
      </c>
      <c r="B406" s="1" t="s">
        <v>1825</v>
      </c>
      <c r="C406" s="1" t="s">
        <v>5</v>
      </c>
      <c r="D406">
        <v>0</v>
      </c>
      <c r="E406" s="1" t="s">
        <v>1497</v>
      </c>
    </row>
    <row r="407" spans="1:5" hidden="1" x14ac:dyDescent="0.25">
      <c r="A407" s="1" t="s">
        <v>1826</v>
      </c>
      <c r="B407" s="1" t="s">
        <v>1827</v>
      </c>
      <c r="C407" s="1" t="s">
        <v>5</v>
      </c>
      <c r="D407">
        <v>0</v>
      </c>
      <c r="E407" s="1" t="s">
        <v>1497</v>
      </c>
    </row>
    <row r="408" spans="1:5" hidden="1" x14ac:dyDescent="0.25">
      <c r="A408" s="1" t="s">
        <v>1828</v>
      </c>
      <c r="B408" s="1" t="s">
        <v>1829</v>
      </c>
      <c r="C408" s="1" t="s">
        <v>5</v>
      </c>
      <c r="D408">
        <v>0</v>
      </c>
      <c r="E408" s="1" t="s">
        <v>1497</v>
      </c>
    </row>
    <row r="409" spans="1:5" hidden="1" x14ac:dyDescent="0.25">
      <c r="A409" s="1" t="s">
        <v>1830</v>
      </c>
      <c r="B409" s="1" t="s">
        <v>1831</v>
      </c>
      <c r="C409" s="1" t="s">
        <v>5</v>
      </c>
      <c r="D409">
        <v>0</v>
      </c>
      <c r="E409" s="1" t="s">
        <v>1497</v>
      </c>
    </row>
    <row r="410" spans="1:5" hidden="1" x14ac:dyDescent="0.25">
      <c r="A410" s="1" t="s">
        <v>1832</v>
      </c>
      <c r="B410" s="1" t="s">
        <v>1833</v>
      </c>
      <c r="C410" s="1" t="s">
        <v>5</v>
      </c>
      <c r="D410">
        <v>0</v>
      </c>
      <c r="E410" s="1" t="s">
        <v>1497</v>
      </c>
    </row>
    <row r="411" spans="1:5" hidden="1" x14ac:dyDescent="0.25">
      <c r="A411" s="1" t="s">
        <v>1834</v>
      </c>
      <c r="B411" s="1" t="s">
        <v>1835</v>
      </c>
      <c r="C411" s="1" t="s">
        <v>5</v>
      </c>
      <c r="D411">
        <v>0</v>
      </c>
      <c r="E411" s="1" t="s">
        <v>1497</v>
      </c>
    </row>
    <row r="412" spans="1:5" hidden="1" x14ac:dyDescent="0.25">
      <c r="A412" s="1" t="s">
        <v>1836</v>
      </c>
      <c r="B412" s="1" t="s">
        <v>1837</v>
      </c>
      <c r="C412" s="1" t="s">
        <v>5</v>
      </c>
      <c r="D412">
        <v>0</v>
      </c>
      <c r="E412" s="1" t="s">
        <v>1497</v>
      </c>
    </row>
    <row r="413" spans="1:5" hidden="1" x14ac:dyDescent="0.25">
      <c r="A413" s="1" t="s">
        <v>1838</v>
      </c>
      <c r="B413" s="1" t="s">
        <v>1839</v>
      </c>
      <c r="C413" s="1" t="s">
        <v>5</v>
      </c>
      <c r="D413">
        <v>0</v>
      </c>
      <c r="E413" s="1" t="s">
        <v>1497</v>
      </c>
    </row>
    <row r="414" spans="1:5" hidden="1" x14ac:dyDescent="0.25">
      <c r="A414" s="1" t="s">
        <v>1840</v>
      </c>
      <c r="B414" s="1" t="s">
        <v>1841</v>
      </c>
      <c r="C414" s="1" t="s">
        <v>5</v>
      </c>
      <c r="D414">
        <v>0</v>
      </c>
      <c r="E414" s="1" t="s">
        <v>1497</v>
      </c>
    </row>
    <row r="415" spans="1:5" hidden="1" x14ac:dyDescent="0.25">
      <c r="A415" s="1" t="s">
        <v>1842</v>
      </c>
      <c r="B415" s="1" t="s">
        <v>1843</v>
      </c>
      <c r="C415" s="1" t="s">
        <v>5</v>
      </c>
      <c r="D415">
        <v>0</v>
      </c>
      <c r="E415" s="1" t="s">
        <v>1497</v>
      </c>
    </row>
    <row r="416" spans="1:5" hidden="1" x14ac:dyDescent="0.25">
      <c r="A416" s="1" t="s">
        <v>1844</v>
      </c>
      <c r="B416" s="1" t="s">
        <v>1845</v>
      </c>
      <c r="C416" s="1" t="s">
        <v>5</v>
      </c>
      <c r="D416">
        <v>0</v>
      </c>
      <c r="E416" s="1" t="s">
        <v>1497</v>
      </c>
    </row>
    <row r="417" spans="1:5" hidden="1" x14ac:dyDescent="0.25">
      <c r="A417" s="1" t="s">
        <v>1846</v>
      </c>
      <c r="B417" s="1" t="s">
        <v>1847</v>
      </c>
      <c r="C417" s="1" t="s">
        <v>5</v>
      </c>
      <c r="D417">
        <v>0</v>
      </c>
      <c r="E417" s="1" t="s">
        <v>1497</v>
      </c>
    </row>
    <row r="418" spans="1:5" hidden="1" x14ac:dyDescent="0.25">
      <c r="A418" s="1" t="s">
        <v>1886</v>
      </c>
      <c r="B418" s="1" t="s">
        <v>1887</v>
      </c>
      <c r="C418" s="1" t="s">
        <v>5</v>
      </c>
      <c r="D418">
        <v>0</v>
      </c>
      <c r="E418" s="1" t="s">
        <v>609</v>
      </c>
    </row>
    <row r="419" spans="1:5" hidden="1" x14ac:dyDescent="0.25">
      <c r="A419" s="1" t="s">
        <v>1888</v>
      </c>
      <c r="B419" s="1" t="s">
        <v>1889</v>
      </c>
      <c r="C419" s="1" t="s">
        <v>5</v>
      </c>
      <c r="D419">
        <v>0</v>
      </c>
      <c r="E419" s="1" t="s">
        <v>609</v>
      </c>
    </row>
    <row r="420" spans="1:5" hidden="1" x14ac:dyDescent="0.25">
      <c r="A420" s="1" t="s">
        <v>1890</v>
      </c>
      <c r="B420" s="1" t="s">
        <v>1891</v>
      </c>
      <c r="C420" s="1" t="s">
        <v>5</v>
      </c>
      <c r="D420">
        <v>0</v>
      </c>
      <c r="E420" s="1" t="s">
        <v>609</v>
      </c>
    </row>
    <row r="421" spans="1:5" hidden="1" x14ac:dyDescent="0.25">
      <c r="A421" s="1" t="s">
        <v>1892</v>
      </c>
      <c r="B421" s="1" t="s">
        <v>1893</v>
      </c>
      <c r="C421" s="1" t="s">
        <v>5</v>
      </c>
      <c r="D421">
        <v>0</v>
      </c>
      <c r="E421" s="1" t="s">
        <v>609</v>
      </c>
    </row>
    <row r="422" spans="1:5" hidden="1" x14ac:dyDescent="0.25">
      <c r="A422" s="1" t="s">
        <v>1898</v>
      </c>
      <c r="B422" s="1" t="s">
        <v>1899</v>
      </c>
      <c r="C422" s="1" t="s">
        <v>5</v>
      </c>
      <c r="D422">
        <v>0</v>
      </c>
      <c r="E422" s="1" t="s">
        <v>609</v>
      </c>
    </row>
    <row r="423" spans="1:5" hidden="1" x14ac:dyDescent="0.25">
      <c r="A423" s="1" t="s">
        <v>1900</v>
      </c>
      <c r="B423" s="1" t="s">
        <v>1901</v>
      </c>
      <c r="C423" s="1" t="s">
        <v>5</v>
      </c>
      <c r="D423">
        <v>0</v>
      </c>
      <c r="E423" s="1" t="s">
        <v>609</v>
      </c>
    </row>
    <row r="424" spans="1:5" hidden="1" x14ac:dyDescent="0.25">
      <c r="A424" s="1" t="s">
        <v>1902</v>
      </c>
      <c r="B424" s="1" t="s">
        <v>1903</v>
      </c>
      <c r="C424" s="1" t="s">
        <v>5</v>
      </c>
      <c r="D424">
        <v>0</v>
      </c>
      <c r="E424" s="1" t="s">
        <v>609</v>
      </c>
    </row>
    <row r="425" spans="1:5" hidden="1" x14ac:dyDescent="0.25">
      <c r="A425" s="1" t="s">
        <v>1904</v>
      </c>
      <c r="B425" s="1" t="s">
        <v>1905</v>
      </c>
      <c r="C425" s="1" t="s">
        <v>5</v>
      </c>
      <c r="D425">
        <v>0</v>
      </c>
      <c r="E425" s="1" t="s">
        <v>609</v>
      </c>
    </row>
    <row r="426" spans="1:5" hidden="1" x14ac:dyDescent="0.25">
      <c r="A426" s="1" t="s">
        <v>1906</v>
      </c>
      <c r="B426" s="1" t="s">
        <v>1907</v>
      </c>
      <c r="C426" s="1" t="s">
        <v>5</v>
      </c>
      <c r="D426">
        <v>0</v>
      </c>
      <c r="E426" s="1" t="s">
        <v>609</v>
      </c>
    </row>
    <row r="427" spans="1:5" hidden="1" x14ac:dyDescent="0.25">
      <c r="A427" s="1" t="s">
        <v>1908</v>
      </c>
      <c r="B427" s="1" t="s">
        <v>1909</v>
      </c>
      <c r="C427" s="1" t="s">
        <v>5</v>
      </c>
      <c r="D427">
        <v>0</v>
      </c>
      <c r="E427" s="1" t="s">
        <v>609</v>
      </c>
    </row>
    <row r="428" spans="1:5" hidden="1" x14ac:dyDescent="0.25">
      <c r="A428" s="1" t="s">
        <v>1910</v>
      </c>
      <c r="B428" s="1" t="s">
        <v>1911</v>
      </c>
      <c r="C428" s="1" t="s">
        <v>5</v>
      </c>
      <c r="D428">
        <v>0</v>
      </c>
      <c r="E428" s="1" t="s">
        <v>609</v>
      </c>
    </row>
    <row r="429" spans="1:5" hidden="1" x14ac:dyDescent="0.25">
      <c r="A429" s="1" t="s">
        <v>1912</v>
      </c>
      <c r="B429" s="1" t="s">
        <v>1913</v>
      </c>
      <c r="C429" s="1" t="s">
        <v>5</v>
      </c>
      <c r="D429">
        <v>0</v>
      </c>
      <c r="E429" s="1" t="s">
        <v>609</v>
      </c>
    </row>
    <row r="430" spans="1:5" hidden="1" x14ac:dyDescent="0.25">
      <c r="A430" s="1" t="s">
        <v>1914</v>
      </c>
      <c r="B430" s="1" t="s">
        <v>1915</v>
      </c>
      <c r="C430" s="1" t="s">
        <v>5</v>
      </c>
      <c r="D430">
        <v>0</v>
      </c>
      <c r="E430" s="1" t="s">
        <v>609</v>
      </c>
    </row>
    <row r="431" spans="1:5" hidden="1" x14ac:dyDescent="0.25">
      <c r="A431" s="1" t="s">
        <v>1916</v>
      </c>
      <c r="B431" s="1" t="s">
        <v>1917</v>
      </c>
      <c r="C431" s="1" t="s">
        <v>5</v>
      </c>
      <c r="D431">
        <v>0</v>
      </c>
      <c r="E431" s="1" t="s">
        <v>609</v>
      </c>
    </row>
    <row r="432" spans="1:5" hidden="1" x14ac:dyDescent="0.25">
      <c r="A432" s="1" t="s">
        <v>1918</v>
      </c>
      <c r="B432" s="1" t="s">
        <v>1919</v>
      </c>
      <c r="C432" s="1" t="s">
        <v>5</v>
      </c>
      <c r="D432">
        <v>0</v>
      </c>
      <c r="E432" s="1" t="s">
        <v>609</v>
      </c>
    </row>
    <row r="433" spans="1:5" hidden="1" x14ac:dyDescent="0.25">
      <c r="A433" s="1" t="s">
        <v>1920</v>
      </c>
      <c r="B433" s="1" t="s">
        <v>1921</v>
      </c>
      <c r="C433" s="1" t="s">
        <v>5</v>
      </c>
      <c r="D433">
        <v>0</v>
      </c>
      <c r="E433" s="1" t="s">
        <v>609</v>
      </c>
    </row>
    <row r="434" spans="1:5" hidden="1" x14ac:dyDescent="0.25">
      <c r="A434" s="1" t="s">
        <v>1922</v>
      </c>
      <c r="B434" s="1" t="s">
        <v>1923</v>
      </c>
      <c r="C434" s="1" t="s">
        <v>5</v>
      </c>
      <c r="D434">
        <v>0</v>
      </c>
      <c r="E434" s="1" t="s">
        <v>609</v>
      </c>
    </row>
    <row r="435" spans="1:5" hidden="1" x14ac:dyDescent="0.25">
      <c r="A435" s="1" t="s">
        <v>1924</v>
      </c>
      <c r="B435" s="1" t="s">
        <v>1925</v>
      </c>
      <c r="C435" s="1" t="s">
        <v>5</v>
      </c>
      <c r="D435">
        <v>0</v>
      </c>
      <c r="E435" s="1" t="s">
        <v>609</v>
      </c>
    </row>
    <row r="436" spans="1:5" hidden="1" x14ac:dyDescent="0.25">
      <c r="A436" s="1" t="s">
        <v>1926</v>
      </c>
      <c r="B436" s="1" t="s">
        <v>1927</v>
      </c>
      <c r="C436" s="1" t="s">
        <v>5</v>
      </c>
      <c r="D436">
        <v>0</v>
      </c>
      <c r="E436" s="1" t="s">
        <v>609</v>
      </c>
    </row>
    <row r="437" spans="1:5" hidden="1" x14ac:dyDescent="0.25">
      <c r="A437" s="1" t="s">
        <v>1928</v>
      </c>
      <c r="B437" s="1" t="s">
        <v>1929</v>
      </c>
      <c r="C437" s="1" t="s">
        <v>5</v>
      </c>
      <c r="D437">
        <v>0</v>
      </c>
      <c r="E437" s="1" t="s">
        <v>609</v>
      </c>
    </row>
    <row r="438" spans="1:5" hidden="1" x14ac:dyDescent="0.25">
      <c r="A438" s="1" t="s">
        <v>1930</v>
      </c>
      <c r="B438" s="1" t="s">
        <v>1931</v>
      </c>
      <c r="C438" s="1" t="s">
        <v>5</v>
      </c>
      <c r="D438">
        <v>0</v>
      </c>
      <c r="E438" s="1" t="s">
        <v>609</v>
      </c>
    </row>
    <row r="439" spans="1:5" hidden="1" x14ac:dyDescent="0.25">
      <c r="A439" s="1" t="s">
        <v>1932</v>
      </c>
      <c r="B439" s="1" t="s">
        <v>1933</v>
      </c>
      <c r="C439" s="1" t="s">
        <v>5</v>
      </c>
      <c r="D439">
        <v>0</v>
      </c>
      <c r="E439" s="1" t="s">
        <v>609</v>
      </c>
    </row>
    <row r="440" spans="1:5" hidden="1" x14ac:dyDescent="0.25">
      <c r="A440" s="1" t="s">
        <v>1934</v>
      </c>
      <c r="B440" s="1" t="s">
        <v>1935</v>
      </c>
      <c r="C440" s="1" t="s">
        <v>5</v>
      </c>
      <c r="D440">
        <v>0</v>
      </c>
      <c r="E440" s="1" t="s">
        <v>609</v>
      </c>
    </row>
    <row r="441" spans="1:5" hidden="1" x14ac:dyDescent="0.25">
      <c r="A441" s="1" t="s">
        <v>556</v>
      </c>
      <c r="B441" s="1" t="s">
        <v>557</v>
      </c>
      <c r="C441" s="1" t="s">
        <v>5</v>
      </c>
      <c r="D441">
        <v>5.0003200000000003</v>
      </c>
      <c r="E441" s="1" t="s">
        <v>523</v>
      </c>
    </row>
    <row r="442" spans="1:5" hidden="1" x14ac:dyDescent="0.25">
      <c r="A442" s="1" t="s">
        <v>890</v>
      </c>
      <c r="B442" s="1" t="s">
        <v>891</v>
      </c>
      <c r="C442" s="1" t="s">
        <v>5</v>
      </c>
      <c r="D442">
        <v>5.0022399999999996</v>
      </c>
      <c r="E442" s="1" t="s">
        <v>537</v>
      </c>
    </row>
    <row r="443" spans="1:5" hidden="1" x14ac:dyDescent="0.25">
      <c r="A443" s="1" t="s">
        <v>538</v>
      </c>
      <c r="B443" s="1" t="s">
        <v>539</v>
      </c>
      <c r="C443" s="1" t="s">
        <v>5</v>
      </c>
      <c r="D443">
        <v>5.0022399999999996</v>
      </c>
      <c r="E443" s="1" t="s">
        <v>522</v>
      </c>
    </row>
    <row r="444" spans="1:5" hidden="1" x14ac:dyDescent="0.25">
      <c r="A444" s="1" t="s">
        <v>558</v>
      </c>
      <c r="B444" s="1" t="s">
        <v>559</v>
      </c>
      <c r="C444" s="1" t="s">
        <v>5</v>
      </c>
      <c r="D444">
        <v>5.0105279999999999</v>
      </c>
      <c r="E444" s="1" t="s">
        <v>523</v>
      </c>
    </row>
    <row r="445" spans="1:5" hidden="1" x14ac:dyDescent="0.25">
      <c r="A445" s="1" t="s">
        <v>1596</v>
      </c>
      <c r="B445" s="1" t="s">
        <v>1597</v>
      </c>
      <c r="C445" s="1" t="s">
        <v>5</v>
      </c>
      <c r="D445">
        <v>5.0111999999999997</v>
      </c>
      <c r="E445" s="1" t="s">
        <v>1587</v>
      </c>
    </row>
    <row r="446" spans="1:5" hidden="1" x14ac:dyDescent="0.25">
      <c r="A446" s="1" t="s">
        <v>526</v>
      </c>
      <c r="B446" s="1" t="s">
        <v>527</v>
      </c>
      <c r="C446" s="1" t="s">
        <v>5</v>
      </c>
      <c r="D446">
        <v>5.0121792000000003</v>
      </c>
      <c r="E446" s="1" t="s">
        <v>525</v>
      </c>
    </row>
    <row r="447" spans="1:5" hidden="1" x14ac:dyDescent="0.25">
      <c r="A447" s="1" t="s">
        <v>580</v>
      </c>
      <c r="B447" s="1" t="s">
        <v>581</v>
      </c>
      <c r="C447" s="1" t="s">
        <v>5</v>
      </c>
      <c r="D447">
        <v>5.0121792000000003</v>
      </c>
      <c r="E447" s="1" t="s">
        <v>525</v>
      </c>
    </row>
    <row r="448" spans="1:5" hidden="1" x14ac:dyDescent="0.25">
      <c r="A448" s="1" t="s">
        <v>703</v>
      </c>
      <c r="B448" s="1" t="s">
        <v>704</v>
      </c>
      <c r="C448" s="1" t="s">
        <v>5</v>
      </c>
      <c r="D448">
        <v>5.0144799999999998</v>
      </c>
      <c r="E448" s="1" t="s">
        <v>705</v>
      </c>
    </row>
    <row r="449" spans="1:5" hidden="1" x14ac:dyDescent="0.25">
      <c r="A449" s="1" t="s">
        <v>1266</v>
      </c>
      <c r="B449" s="1" t="s">
        <v>1267</v>
      </c>
      <c r="C449" s="1" t="s">
        <v>5</v>
      </c>
      <c r="D449">
        <v>5.0205440000000001</v>
      </c>
      <c r="E449" s="1" t="s">
        <v>1070</v>
      </c>
    </row>
    <row r="450" spans="1:5" hidden="1" x14ac:dyDescent="0.25">
      <c r="A450" s="1" t="s">
        <v>1546</v>
      </c>
      <c r="B450" s="1" t="s">
        <v>1547</v>
      </c>
      <c r="C450" s="1" t="s">
        <v>5</v>
      </c>
      <c r="D450">
        <v>5.1486476000000003</v>
      </c>
      <c r="E450" s="1" t="s">
        <v>537</v>
      </c>
    </row>
    <row r="451" spans="1:5" hidden="1" x14ac:dyDescent="0.25">
      <c r="A451" s="1" t="s">
        <v>1086</v>
      </c>
      <c r="B451" s="1" t="s">
        <v>1087</v>
      </c>
      <c r="C451" s="1" t="s">
        <v>5</v>
      </c>
      <c r="D451">
        <v>5.3304575999999999</v>
      </c>
      <c r="E451" s="1" t="s">
        <v>1085</v>
      </c>
    </row>
    <row r="452" spans="1:5" hidden="1" x14ac:dyDescent="0.25">
      <c r="A452" s="1" t="s">
        <v>1271</v>
      </c>
      <c r="B452" s="1" t="s">
        <v>1272</v>
      </c>
      <c r="C452" s="1" t="s">
        <v>5</v>
      </c>
      <c r="D452">
        <v>5.3523788799999998</v>
      </c>
      <c r="E452" s="1" t="s">
        <v>1270</v>
      </c>
    </row>
    <row r="453" spans="1:5" hidden="1" x14ac:dyDescent="0.25">
      <c r="A453" s="1" t="s">
        <v>1530</v>
      </c>
      <c r="B453" s="1" t="s">
        <v>1531</v>
      </c>
      <c r="C453" s="1" t="s">
        <v>5</v>
      </c>
      <c r="D453">
        <v>5.4106623999999996</v>
      </c>
      <c r="E453" s="1" t="s">
        <v>602</v>
      </c>
    </row>
    <row r="454" spans="1:5" hidden="1" x14ac:dyDescent="0.25">
      <c r="A454" s="1" t="s">
        <v>1731</v>
      </c>
      <c r="B454" s="1" t="s">
        <v>1732</v>
      </c>
      <c r="C454" s="1" t="s">
        <v>5</v>
      </c>
      <c r="D454">
        <v>5.5009895999999996</v>
      </c>
      <c r="E454" s="1" t="s">
        <v>1660</v>
      </c>
    </row>
    <row r="455" spans="1:5" hidden="1" x14ac:dyDescent="0.25">
      <c r="A455" s="1" t="s">
        <v>973</v>
      </c>
      <c r="B455" s="1" t="s">
        <v>974</v>
      </c>
      <c r="C455" s="1" t="s">
        <v>5</v>
      </c>
      <c r="D455">
        <v>5.5297999999999998</v>
      </c>
      <c r="E455" s="1" t="s">
        <v>582</v>
      </c>
    </row>
    <row r="456" spans="1:5" hidden="1" x14ac:dyDescent="0.25">
      <c r="A456" s="1" t="s">
        <v>1784</v>
      </c>
      <c r="B456" s="1" t="s">
        <v>1785</v>
      </c>
      <c r="C456" s="1" t="s">
        <v>5</v>
      </c>
      <c r="D456">
        <v>5.5991416000000003</v>
      </c>
      <c r="E456" s="1" t="s">
        <v>582</v>
      </c>
    </row>
    <row r="457" spans="1:5" hidden="1" x14ac:dyDescent="0.25">
      <c r="A457" s="1" t="s">
        <v>1671</v>
      </c>
      <c r="B457" s="1" t="s">
        <v>1672</v>
      </c>
      <c r="C457" s="1" t="s">
        <v>5</v>
      </c>
      <c r="D457">
        <v>5.6510480000000003</v>
      </c>
      <c r="E457" s="1" t="s">
        <v>1660</v>
      </c>
    </row>
    <row r="458" spans="1:5" hidden="1" x14ac:dyDescent="0.25">
      <c r="A458" s="1" t="s">
        <v>1648</v>
      </c>
      <c r="B458" s="1" t="s">
        <v>1649</v>
      </c>
      <c r="C458" s="1" t="s">
        <v>5</v>
      </c>
      <c r="D458">
        <v>5.7496320000000001</v>
      </c>
      <c r="E458" s="1" t="s">
        <v>1643</v>
      </c>
    </row>
    <row r="459" spans="1:5" hidden="1" x14ac:dyDescent="0.25">
      <c r="A459" s="1" t="s">
        <v>1254</v>
      </c>
      <c r="B459" s="1" t="s">
        <v>1255</v>
      </c>
      <c r="C459" s="1" t="s">
        <v>5</v>
      </c>
      <c r="D459">
        <v>6.0070432</v>
      </c>
      <c r="E459" s="1" t="s">
        <v>1061</v>
      </c>
    </row>
    <row r="460" spans="1:5" hidden="1" x14ac:dyDescent="0.25">
      <c r="A460" s="1" t="s">
        <v>1544</v>
      </c>
      <c r="B460" s="1" t="s">
        <v>1545</v>
      </c>
      <c r="C460" s="1" t="s">
        <v>5</v>
      </c>
      <c r="D460">
        <v>6.0928000000000004</v>
      </c>
      <c r="E460" s="1" t="s">
        <v>537</v>
      </c>
    </row>
    <row r="461" spans="1:5" hidden="1" x14ac:dyDescent="0.25">
      <c r="A461" s="1" t="s">
        <v>603</v>
      </c>
      <c r="B461" s="1" t="s">
        <v>604</v>
      </c>
      <c r="C461" s="1" t="s">
        <v>5</v>
      </c>
      <c r="D461">
        <v>6.2450080000000003</v>
      </c>
      <c r="E461" s="1" t="s">
        <v>593</v>
      </c>
    </row>
    <row r="462" spans="1:5" hidden="1" x14ac:dyDescent="0.25">
      <c r="A462" s="1" t="s">
        <v>1381</v>
      </c>
      <c r="B462" s="1" t="s">
        <v>1382</v>
      </c>
      <c r="C462" s="1" t="s">
        <v>5</v>
      </c>
      <c r="D462">
        <v>6.2489600000000003</v>
      </c>
      <c r="E462" s="1" t="s">
        <v>536</v>
      </c>
    </row>
    <row r="463" spans="1:5" hidden="1" x14ac:dyDescent="0.25">
      <c r="A463" s="1" t="s">
        <v>1652</v>
      </c>
      <c r="B463" s="1" t="s">
        <v>1653</v>
      </c>
      <c r="C463" s="1" t="s">
        <v>5</v>
      </c>
      <c r="D463">
        <v>6.2500171550000001</v>
      </c>
      <c r="E463" s="1" t="s">
        <v>602</v>
      </c>
    </row>
    <row r="464" spans="1:5" hidden="1" x14ac:dyDescent="0.25">
      <c r="A464" s="1" t="s">
        <v>1794</v>
      </c>
      <c r="B464" s="1" t="s">
        <v>1795</v>
      </c>
      <c r="C464" s="1" t="s">
        <v>5</v>
      </c>
      <c r="D464">
        <v>6.2502399999999998</v>
      </c>
      <c r="E464" s="1" t="s">
        <v>582</v>
      </c>
    </row>
    <row r="465" spans="1:5" hidden="1" x14ac:dyDescent="0.25">
      <c r="A465" s="1" t="s">
        <v>574</v>
      </c>
      <c r="B465" s="1" t="s">
        <v>575</v>
      </c>
      <c r="C465" s="1" t="s">
        <v>5</v>
      </c>
      <c r="D465">
        <v>6.2574627999999999</v>
      </c>
      <c r="E465" s="1" t="s">
        <v>523</v>
      </c>
    </row>
    <row r="466" spans="1:5" hidden="1" x14ac:dyDescent="0.25">
      <c r="A466" s="1" t="s">
        <v>997</v>
      </c>
      <c r="B466" s="1" t="s">
        <v>998</v>
      </c>
      <c r="C466" s="1" t="s">
        <v>5</v>
      </c>
      <c r="D466">
        <v>6.2781000000000002</v>
      </c>
      <c r="E466" s="1" t="s">
        <v>582</v>
      </c>
    </row>
    <row r="467" spans="1:5" hidden="1" x14ac:dyDescent="0.25">
      <c r="A467" s="1" t="s">
        <v>755</v>
      </c>
      <c r="B467" s="1" t="s">
        <v>756</v>
      </c>
      <c r="C467" s="1" t="s">
        <v>5</v>
      </c>
      <c r="D467">
        <v>6.3711350400000004</v>
      </c>
      <c r="E467" s="1" t="s">
        <v>754</v>
      </c>
    </row>
    <row r="468" spans="1:5" hidden="1" x14ac:dyDescent="0.25">
      <c r="A468" s="1" t="s">
        <v>1644</v>
      </c>
      <c r="B468" s="1" t="s">
        <v>1645</v>
      </c>
      <c r="C468" s="1" t="s">
        <v>5</v>
      </c>
      <c r="D468">
        <v>6.4657600000000004</v>
      </c>
      <c r="E468" s="1" t="s">
        <v>1643</v>
      </c>
    </row>
    <row r="469" spans="1:5" hidden="1" x14ac:dyDescent="0.25">
      <c r="A469" s="1" t="s">
        <v>993</v>
      </c>
      <c r="B469" s="1" t="s">
        <v>994</v>
      </c>
      <c r="C469" s="1" t="s">
        <v>5</v>
      </c>
      <c r="D469">
        <v>6.4683359999999999</v>
      </c>
      <c r="E469" s="1" t="s">
        <v>582</v>
      </c>
    </row>
    <row r="470" spans="1:5" hidden="1" x14ac:dyDescent="0.25">
      <c r="A470" s="1" t="s">
        <v>528</v>
      </c>
      <c r="B470" s="1" t="s">
        <v>529</v>
      </c>
      <c r="C470" s="1" t="s">
        <v>5</v>
      </c>
      <c r="D470">
        <v>6.5417535999999998</v>
      </c>
      <c r="E470" s="1" t="s">
        <v>525</v>
      </c>
    </row>
    <row r="471" spans="1:5" hidden="1" x14ac:dyDescent="0.25">
      <c r="A471" s="1" t="s">
        <v>853</v>
      </c>
      <c r="B471" s="1" t="s">
        <v>854</v>
      </c>
      <c r="C471" s="1" t="s">
        <v>5</v>
      </c>
      <c r="D471">
        <v>6.5638399999999999</v>
      </c>
      <c r="E471" s="1" t="s">
        <v>848</v>
      </c>
    </row>
    <row r="472" spans="1:5" hidden="1" x14ac:dyDescent="0.25">
      <c r="A472" s="1" t="s">
        <v>903</v>
      </c>
      <c r="B472" s="1" t="s">
        <v>904</v>
      </c>
      <c r="C472" s="1" t="s">
        <v>5</v>
      </c>
      <c r="D472">
        <v>6.6662400000000002</v>
      </c>
      <c r="E472" s="1" t="s">
        <v>898</v>
      </c>
    </row>
    <row r="473" spans="1:5" hidden="1" x14ac:dyDescent="0.25">
      <c r="A473" s="1" t="s">
        <v>1443</v>
      </c>
      <c r="B473" s="1" t="s">
        <v>1444</v>
      </c>
      <c r="C473" s="1" t="s">
        <v>5</v>
      </c>
      <c r="D473">
        <v>6.7749188800000004</v>
      </c>
      <c r="E473" s="1" t="s">
        <v>1442</v>
      </c>
    </row>
    <row r="474" spans="1:5" hidden="1" x14ac:dyDescent="0.25">
      <c r="A474" s="1" t="s">
        <v>1445</v>
      </c>
      <c r="B474" s="1" t="s">
        <v>1446</v>
      </c>
      <c r="C474" s="1" t="s">
        <v>5</v>
      </c>
      <c r="D474">
        <v>6.8008812000000001</v>
      </c>
      <c r="E474" s="1" t="s">
        <v>1442</v>
      </c>
    </row>
    <row r="475" spans="1:5" hidden="1" x14ac:dyDescent="0.25">
      <c r="A475" s="1" t="s">
        <v>576</v>
      </c>
      <c r="B475" s="1" t="s">
        <v>577</v>
      </c>
      <c r="C475" s="1" t="s">
        <v>5</v>
      </c>
      <c r="D475">
        <v>6.9337600000000004</v>
      </c>
      <c r="E475" s="1" t="s">
        <v>523</v>
      </c>
    </row>
    <row r="476" spans="1:5" hidden="1" x14ac:dyDescent="0.25">
      <c r="A476" s="1" t="s">
        <v>1092</v>
      </c>
      <c r="B476" s="1" t="s">
        <v>1093</v>
      </c>
      <c r="C476" s="1" t="s">
        <v>5</v>
      </c>
      <c r="D476">
        <v>7.08352</v>
      </c>
      <c r="E476" s="1" t="s">
        <v>1085</v>
      </c>
    </row>
    <row r="477" spans="1:5" hidden="1" x14ac:dyDescent="0.25">
      <c r="A477" s="1" t="s">
        <v>1646</v>
      </c>
      <c r="B477" s="1" t="s">
        <v>1647</v>
      </c>
      <c r="C477" s="1" t="s">
        <v>5</v>
      </c>
      <c r="D477">
        <v>7.1921920000000004</v>
      </c>
      <c r="E477" s="1" t="s">
        <v>1643</v>
      </c>
    </row>
    <row r="478" spans="1:5" hidden="1" x14ac:dyDescent="0.25">
      <c r="A478" s="1" t="s">
        <v>1681</v>
      </c>
      <c r="B478" s="1" t="s">
        <v>1682</v>
      </c>
      <c r="C478" s="1" t="s">
        <v>5</v>
      </c>
      <c r="D478">
        <v>7.3052295200000001</v>
      </c>
      <c r="E478" s="1" t="s">
        <v>1587</v>
      </c>
    </row>
    <row r="479" spans="1:5" hidden="1" x14ac:dyDescent="0.25">
      <c r="A479" s="1" t="s">
        <v>1273</v>
      </c>
      <c r="B479" s="1" t="s">
        <v>1274</v>
      </c>
      <c r="C479" s="1" t="s">
        <v>5</v>
      </c>
      <c r="D479">
        <v>7.3319573599999996</v>
      </c>
      <c r="E479" s="1" t="s">
        <v>1270</v>
      </c>
    </row>
    <row r="480" spans="1:5" hidden="1" x14ac:dyDescent="0.25">
      <c r="A480" s="1" t="s">
        <v>1430</v>
      </c>
      <c r="B480" s="1" t="s">
        <v>1431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532</v>
      </c>
      <c r="B481" s="1" t="s">
        <v>533</v>
      </c>
      <c r="C481" s="1" t="s">
        <v>5</v>
      </c>
      <c r="D481">
        <v>7.4986904000000001</v>
      </c>
      <c r="E481" s="1" t="s">
        <v>525</v>
      </c>
    </row>
    <row r="482" spans="1:5" hidden="1" x14ac:dyDescent="0.25">
      <c r="A482" s="1" t="s">
        <v>1100</v>
      </c>
      <c r="B482" s="1" t="s">
        <v>1101</v>
      </c>
      <c r="C482" s="1" t="s">
        <v>5</v>
      </c>
      <c r="D482">
        <v>7.4995200000000004</v>
      </c>
      <c r="E482" s="1" t="s">
        <v>898</v>
      </c>
    </row>
    <row r="483" spans="1:5" hidden="1" x14ac:dyDescent="0.25">
      <c r="A483" s="1" t="s">
        <v>1066</v>
      </c>
      <c r="B483" s="1" t="s">
        <v>1067</v>
      </c>
      <c r="C483" s="1" t="s">
        <v>5</v>
      </c>
      <c r="D483">
        <v>7.5007999999999999</v>
      </c>
      <c r="E483" s="1" t="s">
        <v>1061</v>
      </c>
    </row>
    <row r="484" spans="1:5" hidden="1" x14ac:dyDescent="0.25">
      <c r="A484" s="1" t="s">
        <v>587</v>
      </c>
      <c r="B484" s="1" t="s">
        <v>588</v>
      </c>
      <c r="C484" s="1" t="s">
        <v>5</v>
      </c>
      <c r="D484">
        <v>7.5007999999999999</v>
      </c>
      <c r="E484" s="1" t="s">
        <v>525</v>
      </c>
    </row>
    <row r="485" spans="1:5" hidden="1" x14ac:dyDescent="0.25">
      <c r="A485" s="1" t="s">
        <v>1792</v>
      </c>
      <c r="B485" s="1" t="s">
        <v>1793</v>
      </c>
      <c r="C485" s="1" t="s">
        <v>5</v>
      </c>
      <c r="D485">
        <v>7.5967491200000001</v>
      </c>
      <c r="E485" s="1" t="s">
        <v>582</v>
      </c>
    </row>
    <row r="486" spans="1:5" hidden="1" x14ac:dyDescent="0.25">
      <c r="A486" s="1" t="s">
        <v>1260</v>
      </c>
      <c r="B486" s="1" t="s">
        <v>1261</v>
      </c>
      <c r="C486" s="1" t="s">
        <v>5</v>
      </c>
      <c r="D486">
        <v>7.7772800000000002</v>
      </c>
      <c r="E486" s="1" t="s">
        <v>1061</v>
      </c>
    </row>
    <row r="487" spans="1:5" hidden="1" x14ac:dyDescent="0.25">
      <c r="A487" s="1" t="s">
        <v>907</v>
      </c>
      <c r="B487" s="1" t="s">
        <v>908</v>
      </c>
      <c r="C487" s="1" t="s">
        <v>5</v>
      </c>
      <c r="D487">
        <v>7.8438923200000001</v>
      </c>
      <c r="E487" s="1" t="s">
        <v>898</v>
      </c>
    </row>
    <row r="488" spans="1:5" hidden="1" x14ac:dyDescent="0.25">
      <c r="A488" s="1" t="s">
        <v>1023</v>
      </c>
      <c r="B488" s="1" t="s">
        <v>1024</v>
      </c>
      <c r="C488" s="1" t="s">
        <v>5</v>
      </c>
      <c r="D488">
        <v>7.8758400000000002</v>
      </c>
      <c r="E488" s="1" t="s">
        <v>582</v>
      </c>
    </row>
    <row r="489" spans="1:5" hidden="1" x14ac:dyDescent="0.25">
      <c r="A489" s="1" t="s">
        <v>1709</v>
      </c>
      <c r="B489" s="1" t="s">
        <v>1710</v>
      </c>
      <c r="C489" s="1" t="s">
        <v>5</v>
      </c>
      <c r="D489">
        <v>7.9592815999999997</v>
      </c>
      <c r="E489" s="1" t="s">
        <v>1660</v>
      </c>
    </row>
    <row r="490" spans="1:5" hidden="1" x14ac:dyDescent="0.25">
      <c r="A490" s="1" t="s">
        <v>899</v>
      </c>
      <c r="B490" s="1" t="s">
        <v>900</v>
      </c>
      <c r="C490" s="1" t="s">
        <v>5</v>
      </c>
      <c r="D490">
        <v>7.9858216000000004</v>
      </c>
      <c r="E490" s="1" t="s">
        <v>898</v>
      </c>
    </row>
    <row r="491" spans="1:5" hidden="1" x14ac:dyDescent="0.25">
      <c r="A491" s="1" t="s">
        <v>1637</v>
      </c>
      <c r="B491" s="1" t="s">
        <v>1638</v>
      </c>
      <c r="C491" s="1" t="s">
        <v>5</v>
      </c>
      <c r="D491">
        <v>8.0696302400000004</v>
      </c>
      <c r="E491" s="1" t="s">
        <v>1628</v>
      </c>
    </row>
    <row r="492" spans="1:5" hidden="1" x14ac:dyDescent="0.25">
      <c r="A492" s="1" t="s">
        <v>1472</v>
      </c>
      <c r="B492" s="1" t="s">
        <v>1473</v>
      </c>
      <c r="C492" s="1" t="s">
        <v>5</v>
      </c>
      <c r="D492">
        <v>8.1415089599999995</v>
      </c>
      <c r="E492" s="1" t="s">
        <v>537</v>
      </c>
    </row>
    <row r="493" spans="1:5" hidden="1" x14ac:dyDescent="0.25">
      <c r="A493" s="1" t="s">
        <v>1715</v>
      </c>
      <c r="B493" s="1" t="s">
        <v>1716</v>
      </c>
      <c r="C493" s="1" t="s">
        <v>5</v>
      </c>
      <c r="D493">
        <v>8.153912</v>
      </c>
      <c r="E493" s="1" t="s">
        <v>1660</v>
      </c>
    </row>
    <row r="494" spans="1:5" hidden="1" x14ac:dyDescent="0.25">
      <c r="A494" s="1" t="s">
        <v>1009</v>
      </c>
      <c r="B494" s="1" t="s">
        <v>1010</v>
      </c>
      <c r="C494" s="1" t="s">
        <v>5</v>
      </c>
      <c r="D494">
        <v>8.1715199999999992</v>
      </c>
      <c r="E494" s="1" t="s">
        <v>582</v>
      </c>
    </row>
    <row r="495" spans="1:5" hidden="1" x14ac:dyDescent="0.25">
      <c r="A495" s="1" t="s">
        <v>564</v>
      </c>
      <c r="B495" s="1" t="s">
        <v>565</v>
      </c>
      <c r="C495" s="1" t="s">
        <v>5</v>
      </c>
      <c r="D495">
        <v>8.2485672000000001</v>
      </c>
      <c r="E495" s="1" t="s">
        <v>525</v>
      </c>
    </row>
    <row r="496" spans="1:5" hidden="1" x14ac:dyDescent="0.25">
      <c r="A496" s="1" t="s">
        <v>1711</v>
      </c>
      <c r="B496" s="1" t="s">
        <v>1712</v>
      </c>
      <c r="C496" s="1" t="s">
        <v>5</v>
      </c>
      <c r="D496">
        <v>8.3917347200000005</v>
      </c>
      <c r="E496" s="1" t="s">
        <v>1660</v>
      </c>
    </row>
    <row r="497" spans="1:5" hidden="1" x14ac:dyDescent="0.25">
      <c r="A497" s="1" t="s">
        <v>534</v>
      </c>
      <c r="B497" s="1" t="s">
        <v>535</v>
      </c>
      <c r="C497" s="1" t="s">
        <v>5</v>
      </c>
      <c r="D497">
        <v>8.4013823999999993</v>
      </c>
      <c r="E497" s="1" t="s">
        <v>525</v>
      </c>
    </row>
    <row r="498" spans="1:5" hidden="1" x14ac:dyDescent="0.25">
      <c r="A498" s="1" t="s">
        <v>1468</v>
      </c>
      <c r="B498" s="1" t="s">
        <v>1469</v>
      </c>
      <c r="C498" s="1" t="s">
        <v>5</v>
      </c>
      <c r="D498">
        <v>8.6604159999999997</v>
      </c>
      <c r="E498" s="1" t="s">
        <v>536</v>
      </c>
    </row>
    <row r="499" spans="1:5" hidden="1" x14ac:dyDescent="0.25">
      <c r="A499" s="1" t="s">
        <v>1011</v>
      </c>
      <c r="B499" s="1" t="s">
        <v>1012</v>
      </c>
      <c r="C499" s="1" t="s">
        <v>5</v>
      </c>
      <c r="D499">
        <v>8.7270400000000006</v>
      </c>
      <c r="E499" s="1" t="s">
        <v>582</v>
      </c>
    </row>
    <row r="500" spans="1:5" hidden="1" x14ac:dyDescent="0.25">
      <c r="A500" s="1" t="s">
        <v>1057</v>
      </c>
      <c r="B500" s="1" t="s">
        <v>1058</v>
      </c>
      <c r="C500" s="1" t="s">
        <v>5</v>
      </c>
      <c r="D500">
        <v>8.7270400000000006</v>
      </c>
      <c r="E500" s="1" t="s">
        <v>582</v>
      </c>
    </row>
    <row r="501" spans="1:5" hidden="1" x14ac:dyDescent="0.25">
      <c r="A501" s="1" t="s">
        <v>570</v>
      </c>
      <c r="B501" s="1" t="s">
        <v>571</v>
      </c>
      <c r="C501" s="1" t="s">
        <v>5</v>
      </c>
      <c r="D501">
        <v>8.7614955999999999</v>
      </c>
      <c r="E501" s="1" t="s">
        <v>525</v>
      </c>
    </row>
    <row r="502" spans="1:5" hidden="1" x14ac:dyDescent="0.25">
      <c r="A502" s="1" t="s">
        <v>589</v>
      </c>
      <c r="B502" s="1" t="s">
        <v>590</v>
      </c>
      <c r="C502" s="1" t="s">
        <v>5</v>
      </c>
      <c r="D502">
        <v>8.8883200000000002</v>
      </c>
      <c r="E502" s="1" t="s">
        <v>525</v>
      </c>
    </row>
    <row r="503" spans="1:5" hidden="1" x14ac:dyDescent="0.25">
      <c r="A503" s="1" t="s">
        <v>562</v>
      </c>
      <c r="B503" s="1" t="s">
        <v>563</v>
      </c>
      <c r="C503" s="1" t="s">
        <v>5</v>
      </c>
      <c r="D503">
        <v>8.8895999999999997</v>
      </c>
      <c r="E503" s="1" t="s">
        <v>523</v>
      </c>
    </row>
    <row r="504" spans="1:5" hidden="1" x14ac:dyDescent="0.25">
      <c r="A504" s="1" t="s">
        <v>1013</v>
      </c>
      <c r="B504" s="1" t="s">
        <v>1014</v>
      </c>
      <c r="C504" s="1" t="s">
        <v>5</v>
      </c>
      <c r="D504">
        <v>8.9996799999999997</v>
      </c>
      <c r="E504" s="1" t="s">
        <v>582</v>
      </c>
    </row>
    <row r="505" spans="1:5" hidden="1" x14ac:dyDescent="0.25">
      <c r="A505" s="1" t="s">
        <v>568</v>
      </c>
      <c r="B505" s="1" t="s">
        <v>569</v>
      </c>
      <c r="C505" s="1" t="s">
        <v>5</v>
      </c>
      <c r="D505">
        <v>9.0189275999999996</v>
      </c>
      <c r="E505" s="1" t="s">
        <v>525</v>
      </c>
    </row>
    <row r="506" spans="1:5" hidden="1" x14ac:dyDescent="0.25">
      <c r="A506" s="1" t="s">
        <v>554</v>
      </c>
      <c r="B506" s="1" t="s">
        <v>555</v>
      </c>
      <c r="C506" s="1" t="s">
        <v>5</v>
      </c>
      <c r="D506">
        <v>9.1160832000000003</v>
      </c>
      <c r="E506" s="1" t="s">
        <v>525</v>
      </c>
    </row>
    <row r="507" spans="1:5" hidden="1" x14ac:dyDescent="0.25">
      <c r="A507" s="1" t="s">
        <v>1788</v>
      </c>
      <c r="B507" s="1" t="s">
        <v>1789</v>
      </c>
      <c r="C507" s="1" t="s">
        <v>5</v>
      </c>
      <c r="D507">
        <v>9.2196639999999999</v>
      </c>
      <c r="E507" s="1" t="s">
        <v>582</v>
      </c>
    </row>
    <row r="508" spans="1:5" hidden="1" x14ac:dyDescent="0.25">
      <c r="A508" s="1" t="s">
        <v>1081</v>
      </c>
      <c r="B508" s="1" t="s">
        <v>1082</v>
      </c>
      <c r="C508" s="1" t="s">
        <v>5</v>
      </c>
      <c r="D508">
        <v>9.3563679999999998</v>
      </c>
      <c r="E508" s="1" t="s">
        <v>1070</v>
      </c>
    </row>
    <row r="509" spans="1:5" hidden="1" x14ac:dyDescent="0.25">
      <c r="A509" s="1" t="s">
        <v>1001</v>
      </c>
      <c r="B509" s="1" t="s">
        <v>1002</v>
      </c>
      <c r="C509" s="1" t="s">
        <v>5</v>
      </c>
      <c r="D509">
        <v>9.4924800000000005</v>
      </c>
      <c r="E509" s="1" t="s">
        <v>582</v>
      </c>
    </row>
    <row r="510" spans="1:5" hidden="1" x14ac:dyDescent="0.25">
      <c r="A510" s="1" t="s">
        <v>583</v>
      </c>
      <c r="B510" s="1" t="s">
        <v>584</v>
      </c>
      <c r="C510" s="1" t="s">
        <v>5</v>
      </c>
      <c r="D510">
        <v>9.5237231999999992</v>
      </c>
      <c r="E510" s="1" t="s">
        <v>525</v>
      </c>
    </row>
    <row r="511" spans="1:5" hidden="1" x14ac:dyDescent="0.25">
      <c r="A511" s="1" t="s">
        <v>725</v>
      </c>
      <c r="B511" s="1" t="s">
        <v>726</v>
      </c>
      <c r="C511" s="1" t="s">
        <v>5</v>
      </c>
      <c r="D511">
        <v>9.7138852799999995</v>
      </c>
      <c r="E511" s="1" t="s">
        <v>714</v>
      </c>
    </row>
    <row r="512" spans="1:5" hidden="1" x14ac:dyDescent="0.25">
      <c r="A512" s="1" t="s">
        <v>548</v>
      </c>
      <c r="B512" s="1" t="s">
        <v>549</v>
      </c>
      <c r="C512" s="1" t="s">
        <v>5</v>
      </c>
      <c r="D512">
        <v>9.8126303999999998</v>
      </c>
      <c r="E512" s="1" t="s">
        <v>525</v>
      </c>
    </row>
    <row r="513" spans="1:5" hidden="1" x14ac:dyDescent="0.25">
      <c r="A513" s="1" t="s">
        <v>1470</v>
      </c>
      <c r="B513" s="1" t="s">
        <v>1471</v>
      </c>
      <c r="C513" s="1" t="s">
        <v>5</v>
      </c>
      <c r="D513">
        <v>9.9942399999999996</v>
      </c>
      <c r="E513" s="1" t="s">
        <v>536</v>
      </c>
    </row>
    <row r="514" spans="1:5" hidden="1" x14ac:dyDescent="0.25">
      <c r="A514" s="1" t="s">
        <v>550</v>
      </c>
      <c r="B514" s="1" t="s">
        <v>551</v>
      </c>
      <c r="C514" s="1" t="s">
        <v>5</v>
      </c>
      <c r="D514">
        <v>9.9956102399999995</v>
      </c>
      <c r="E514" s="1" t="s">
        <v>525</v>
      </c>
    </row>
    <row r="515" spans="1:5" hidden="1" x14ac:dyDescent="0.25">
      <c r="A515" s="1" t="s">
        <v>1377</v>
      </c>
      <c r="B515" s="1" t="s">
        <v>1378</v>
      </c>
      <c r="C515" s="1" t="s">
        <v>5</v>
      </c>
      <c r="D515">
        <v>25.024999999999999</v>
      </c>
      <c r="E515" s="1" t="s">
        <v>525</v>
      </c>
    </row>
    <row r="516" spans="1:5" hidden="1" x14ac:dyDescent="0.25">
      <c r="A516" s="1" t="s">
        <v>1641</v>
      </c>
      <c r="B516" s="1" t="s">
        <v>1642</v>
      </c>
      <c r="C516" s="1" t="s">
        <v>5</v>
      </c>
      <c r="D516">
        <v>25.152063999999999</v>
      </c>
      <c r="E516" s="1" t="s">
        <v>1643</v>
      </c>
    </row>
    <row r="517" spans="1:5" hidden="1" x14ac:dyDescent="0.25">
      <c r="A517" s="1" t="s">
        <v>1405</v>
      </c>
      <c r="B517" s="1" t="s">
        <v>1406</v>
      </c>
      <c r="C517" s="1" t="s">
        <v>5</v>
      </c>
      <c r="D517">
        <v>25.487397436999998</v>
      </c>
      <c r="E517" s="1" t="s">
        <v>745</v>
      </c>
    </row>
    <row r="518" spans="1:5" hidden="1" x14ac:dyDescent="0.25">
      <c r="A518" s="1" t="s">
        <v>733</v>
      </c>
      <c r="B518" s="1" t="s">
        <v>734</v>
      </c>
      <c r="C518" s="1" t="s">
        <v>5</v>
      </c>
      <c r="D518">
        <v>25.6</v>
      </c>
      <c r="E518" s="1" t="s">
        <v>536</v>
      </c>
    </row>
    <row r="519" spans="1:5" hidden="1" x14ac:dyDescent="0.25">
      <c r="A519" s="1" t="s">
        <v>1462</v>
      </c>
      <c r="B519" s="1" t="s">
        <v>1463</v>
      </c>
      <c r="C519" s="1" t="s">
        <v>5</v>
      </c>
      <c r="D519">
        <v>25.6</v>
      </c>
      <c r="E519" s="1" t="s">
        <v>536</v>
      </c>
    </row>
    <row r="520" spans="1:5" hidden="1" x14ac:dyDescent="0.25">
      <c r="A520" s="1" t="s">
        <v>1083</v>
      </c>
      <c r="B520" s="1" t="s">
        <v>1084</v>
      </c>
      <c r="C520" s="1" t="s">
        <v>5</v>
      </c>
      <c r="D520">
        <v>25.82570368</v>
      </c>
      <c r="E520" s="1" t="s">
        <v>1085</v>
      </c>
    </row>
    <row r="521" spans="1:5" hidden="1" x14ac:dyDescent="0.25">
      <c r="A521" s="1" t="s">
        <v>1247</v>
      </c>
      <c r="B521" s="1" t="s">
        <v>1248</v>
      </c>
      <c r="C521" s="1" t="s">
        <v>5</v>
      </c>
      <c r="D521">
        <v>25.92201472</v>
      </c>
      <c r="E521" s="1" t="s">
        <v>1249</v>
      </c>
    </row>
    <row r="522" spans="1:5" hidden="1" x14ac:dyDescent="0.25">
      <c r="A522" s="1" t="s">
        <v>1256</v>
      </c>
      <c r="B522" s="1" t="s">
        <v>1257</v>
      </c>
      <c r="C522" s="1" t="s">
        <v>5</v>
      </c>
      <c r="D522">
        <v>26.250240000000002</v>
      </c>
      <c r="E522" s="1" t="s">
        <v>1061</v>
      </c>
    </row>
    <row r="523" spans="1:5" hidden="1" x14ac:dyDescent="0.25">
      <c r="A523" s="1" t="s">
        <v>1751</v>
      </c>
      <c r="B523" s="1" t="s">
        <v>1752</v>
      </c>
      <c r="C523" s="1" t="s">
        <v>5</v>
      </c>
      <c r="D523">
        <v>26.74335576</v>
      </c>
      <c r="E523" s="1" t="s">
        <v>525</v>
      </c>
    </row>
    <row r="524" spans="1:5" hidden="1" x14ac:dyDescent="0.25">
      <c r="A524" s="1" t="s">
        <v>1540</v>
      </c>
      <c r="B524" s="1" t="s">
        <v>1541</v>
      </c>
      <c r="C524" s="1" t="s">
        <v>5</v>
      </c>
      <c r="D524">
        <v>27.216000000000001</v>
      </c>
      <c r="E524" s="1" t="s">
        <v>537</v>
      </c>
    </row>
    <row r="525" spans="1:5" hidden="1" x14ac:dyDescent="0.25">
      <c r="A525" s="1" t="s">
        <v>1772</v>
      </c>
      <c r="B525" s="1" t="s">
        <v>1773</v>
      </c>
      <c r="C525" s="1" t="s">
        <v>5</v>
      </c>
      <c r="D525">
        <v>27.51987136</v>
      </c>
      <c r="E525" s="1" t="s">
        <v>537</v>
      </c>
    </row>
    <row r="526" spans="1:5" hidden="1" x14ac:dyDescent="0.25">
      <c r="A526" s="1" t="s">
        <v>1806</v>
      </c>
      <c r="B526" s="1" t="s">
        <v>1807</v>
      </c>
      <c r="C526" s="1" t="s">
        <v>5</v>
      </c>
      <c r="D526">
        <v>27.612784000000001</v>
      </c>
      <c r="E526" s="1" t="s">
        <v>602</v>
      </c>
    </row>
    <row r="527" spans="1:5" hidden="1" x14ac:dyDescent="0.25">
      <c r="A527" s="1" t="s">
        <v>605</v>
      </c>
      <c r="B527" s="1" t="s">
        <v>606</v>
      </c>
      <c r="C527" s="1" t="s">
        <v>5</v>
      </c>
      <c r="D527">
        <v>27.7301088</v>
      </c>
      <c r="E527" s="1" t="s">
        <v>593</v>
      </c>
    </row>
    <row r="528" spans="1:5" hidden="1" x14ac:dyDescent="0.25">
      <c r="A528" s="1" t="s">
        <v>1872</v>
      </c>
      <c r="B528" s="1" t="s">
        <v>1873</v>
      </c>
      <c r="C528" s="1" t="s">
        <v>5</v>
      </c>
      <c r="D528">
        <v>28.883098400000002</v>
      </c>
      <c r="E528" s="1" t="s">
        <v>609</v>
      </c>
    </row>
    <row r="529" spans="1:5" hidden="1" x14ac:dyDescent="0.25">
      <c r="A529" s="1" t="s">
        <v>1656</v>
      </c>
      <c r="B529" s="1" t="s">
        <v>1657</v>
      </c>
      <c r="C529" s="1" t="s">
        <v>5</v>
      </c>
      <c r="D529">
        <v>29.314733279999999</v>
      </c>
      <c r="E529" s="1" t="s">
        <v>602</v>
      </c>
    </row>
    <row r="530" spans="1:5" hidden="1" x14ac:dyDescent="0.25">
      <c r="A530" s="1" t="s">
        <v>1536</v>
      </c>
      <c r="B530" s="1" t="s">
        <v>1537</v>
      </c>
      <c r="C530" s="1" t="s">
        <v>5</v>
      </c>
      <c r="D530">
        <v>29.878112959999999</v>
      </c>
      <c r="E530" s="1" t="s">
        <v>602</v>
      </c>
    </row>
    <row r="531" spans="1:5" hidden="1" x14ac:dyDescent="0.25">
      <c r="A531" s="1" t="s">
        <v>710</v>
      </c>
      <c r="B531" s="1" t="s">
        <v>711</v>
      </c>
      <c r="C531" s="1" t="s">
        <v>5</v>
      </c>
      <c r="D531">
        <v>29.98272</v>
      </c>
      <c r="E531" s="1" t="s">
        <v>536</v>
      </c>
    </row>
    <row r="532" spans="1:5" hidden="1" x14ac:dyDescent="0.25">
      <c r="A532" s="1" t="s">
        <v>750</v>
      </c>
      <c r="B532" s="1" t="s">
        <v>751</v>
      </c>
      <c r="C532" s="1" t="s">
        <v>5</v>
      </c>
      <c r="D532">
        <v>29.998080000000002</v>
      </c>
      <c r="E532" s="1" t="s">
        <v>536</v>
      </c>
    </row>
    <row r="533" spans="1:5" x14ac:dyDescent="0.25">
      <c r="A533" s="1" t="s">
        <v>1618</v>
      </c>
      <c r="B533" s="1" t="s">
        <v>1619</v>
      </c>
      <c r="C533" s="1" t="s">
        <v>5</v>
      </c>
      <c r="D533">
        <v>30.069078959999999</v>
      </c>
      <c r="E533" s="1" t="s">
        <v>525</v>
      </c>
    </row>
    <row r="534" spans="1:5" x14ac:dyDescent="0.25">
      <c r="A534" s="1" t="s">
        <v>1053</v>
      </c>
      <c r="B534" s="1" t="s">
        <v>1054</v>
      </c>
      <c r="C534" s="1" t="s">
        <v>5</v>
      </c>
      <c r="D534">
        <v>30.082896000000002</v>
      </c>
      <c r="E534" s="1" t="s">
        <v>582</v>
      </c>
    </row>
    <row r="535" spans="1:5" x14ac:dyDescent="0.25">
      <c r="A535" s="1" t="s">
        <v>1786</v>
      </c>
      <c r="B535" s="1" t="s">
        <v>1787</v>
      </c>
      <c r="C535" s="1" t="s">
        <v>5</v>
      </c>
      <c r="D535">
        <v>30.107144000000002</v>
      </c>
      <c r="E535" s="1" t="s">
        <v>582</v>
      </c>
    </row>
    <row r="536" spans="1:5" x14ac:dyDescent="0.25">
      <c r="A536" s="1" t="s">
        <v>1548</v>
      </c>
      <c r="B536" s="1" t="s">
        <v>1549</v>
      </c>
      <c r="C536" s="1" t="s">
        <v>5</v>
      </c>
      <c r="D536">
        <v>30.243839999999999</v>
      </c>
      <c r="E536" s="1" t="s">
        <v>537</v>
      </c>
    </row>
    <row r="537" spans="1:5" x14ac:dyDescent="0.25">
      <c r="A537" s="1" t="s">
        <v>1747</v>
      </c>
      <c r="B537" s="1" t="s">
        <v>1748</v>
      </c>
      <c r="C537" s="1" t="s">
        <v>5</v>
      </c>
      <c r="D537">
        <v>30.776410559999999</v>
      </c>
      <c r="E537" s="1" t="s">
        <v>1576</v>
      </c>
    </row>
    <row r="538" spans="1:5" x14ac:dyDescent="0.25">
      <c r="A538" s="1" t="s">
        <v>1749</v>
      </c>
      <c r="B538" s="1" t="s">
        <v>1750</v>
      </c>
      <c r="C538" s="1" t="s">
        <v>5</v>
      </c>
      <c r="D538">
        <v>30.777686559999999</v>
      </c>
      <c r="E538" s="1" t="s">
        <v>1576</v>
      </c>
    </row>
    <row r="539" spans="1:5" x14ac:dyDescent="0.25">
      <c r="A539" s="1" t="s">
        <v>1854</v>
      </c>
      <c r="B539" s="1" t="s">
        <v>1855</v>
      </c>
      <c r="C539" s="1" t="s">
        <v>5</v>
      </c>
      <c r="D539">
        <v>30.954239999999999</v>
      </c>
      <c r="E539" s="1" t="s">
        <v>745</v>
      </c>
    </row>
    <row r="540" spans="1:5" x14ac:dyDescent="0.25">
      <c r="A540" s="1" t="s">
        <v>1055</v>
      </c>
      <c r="B540" s="1" t="s">
        <v>1056</v>
      </c>
      <c r="C540" s="1" t="s">
        <v>5</v>
      </c>
      <c r="D540">
        <v>31.050355199999998</v>
      </c>
      <c r="E540" s="1" t="s">
        <v>582</v>
      </c>
    </row>
    <row r="541" spans="1:5" x14ac:dyDescent="0.25">
      <c r="A541" s="1" t="s">
        <v>1804</v>
      </c>
      <c r="B541" s="1" t="s">
        <v>1805</v>
      </c>
      <c r="C541" s="1" t="s">
        <v>5</v>
      </c>
      <c r="D541">
        <v>31.460352</v>
      </c>
      <c r="E541" s="1" t="s">
        <v>602</v>
      </c>
    </row>
    <row r="542" spans="1:5" x14ac:dyDescent="0.25">
      <c r="A542" s="1" t="s">
        <v>769</v>
      </c>
      <c r="B542" s="1" t="s">
        <v>770</v>
      </c>
      <c r="C542" s="1" t="s">
        <v>5</v>
      </c>
      <c r="D542">
        <v>31.69792</v>
      </c>
      <c r="E542" s="1" t="s">
        <v>754</v>
      </c>
    </row>
    <row r="543" spans="1:5" x14ac:dyDescent="0.25">
      <c r="A543" s="1" t="s">
        <v>971</v>
      </c>
      <c r="B543" s="1" t="s">
        <v>972</v>
      </c>
      <c r="C543" s="1" t="s">
        <v>5</v>
      </c>
      <c r="D543">
        <v>32</v>
      </c>
      <c r="E543" s="1" t="s">
        <v>582</v>
      </c>
    </row>
    <row r="544" spans="1:5" x14ac:dyDescent="0.25">
      <c r="A544" s="1" t="s">
        <v>1766</v>
      </c>
      <c r="B544" s="1" t="s">
        <v>1767</v>
      </c>
      <c r="C544" s="1" t="s">
        <v>5</v>
      </c>
      <c r="D544">
        <v>32</v>
      </c>
      <c r="E544" s="1" t="s">
        <v>537</v>
      </c>
    </row>
    <row r="545" spans="1:5" x14ac:dyDescent="0.25">
      <c r="A545" s="1" t="s">
        <v>1882</v>
      </c>
      <c r="B545" s="1" t="s">
        <v>1883</v>
      </c>
      <c r="C545" s="1" t="s">
        <v>5</v>
      </c>
      <c r="D545">
        <v>32.200000000000003</v>
      </c>
      <c r="E545" s="1" t="s">
        <v>525</v>
      </c>
    </row>
    <row r="546" spans="1:5" x14ac:dyDescent="0.25">
      <c r="A546" s="1" t="s">
        <v>1598</v>
      </c>
      <c r="B546" s="1" t="s">
        <v>1599</v>
      </c>
      <c r="C546" s="1" t="s">
        <v>5</v>
      </c>
      <c r="D546">
        <v>32.514712000000003</v>
      </c>
      <c r="E546" s="1" t="s">
        <v>525</v>
      </c>
    </row>
    <row r="547" spans="1:5" x14ac:dyDescent="0.25">
      <c r="A547" s="1" t="s">
        <v>748</v>
      </c>
      <c r="B547" s="1" t="s">
        <v>749</v>
      </c>
      <c r="C547" s="1" t="s">
        <v>5</v>
      </c>
      <c r="D547">
        <v>32.555298399999998</v>
      </c>
      <c r="E547" s="1" t="s">
        <v>745</v>
      </c>
    </row>
    <row r="548" spans="1:5" x14ac:dyDescent="0.25">
      <c r="A548" s="1" t="s">
        <v>1650</v>
      </c>
      <c r="B548" s="1" t="s">
        <v>1651</v>
      </c>
      <c r="C548" s="1" t="s">
        <v>5</v>
      </c>
      <c r="D548">
        <v>32.914560000000002</v>
      </c>
      <c r="E548" s="1" t="s">
        <v>602</v>
      </c>
    </row>
    <row r="549" spans="1:5" x14ac:dyDescent="0.25">
      <c r="A549" s="1" t="s">
        <v>572</v>
      </c>
      <c r="B549" s="1" t="s">
        <v>573</v>
      </c>
      <c r="C549" s="1" t="s">
        <v>5</v>
      </c>
      <c r="D549">
        <v>32.997312000000001</v>
      </c>
      <c r="E549" s="1" t="s">
        <v>525</v>
      </c>
    </row>
    <row r="550" spans="1:5" x14ac:dyDescent="0.25">
      <c r="A550" s="1" t="s">
        <v>1432</v>
      </c>
      <c r="B550" s="1" t="s">
        <v>1433</v>
      </c>
      <c r="C550" s="1" t="s">
        <v>5</v>
      </c>
      <c r="D550">
        <v>33.001951200000001</v>
      </c>
      <c r="E550" s="1" t="s">
        <v>525</v>
      </c>
    </row>
    <row r="551" spans="1:5" x14ac:dyDescent="0.25">
      <c r="A551" s="1" t="s">
        <v>1037</v>
      </c>
      <c r="B551" s="1" t="s">
        <v>1038</v>
      </c>
      <c r="C551" s="1" t="s">
        <v>5</v>
      </c>
      <c r="D551">
        <v>33.122880000000002</v>
      </c>
      <c r="E551" s="1" t="s">
        <v>582</v>
      </c>
    </row>
    <row r="552" spans="1:5" x14ac:dyDescent="0.25">
      <c r="A552" s="1" t="s">
        <v>1862</v>
      </c>
      <c r="B552" s="1" t="s">
        <v>1863</v>
      </c>
      <c r="C552" s="1" t="s">
        <v>5</v>
      </c>
      <c r="D552">
        <v>33.556991199999999</v>
      </c>
      <c r="E552" s="1" t="s">
        <v>609</v>
      </c>
    </row>
    <row r="553" spans="1:5" x14ac:dyDescent="0.25">
      <c r="A553" s="1" t="s">
        <v>1665</v>
      </c>
      <c r="B553" s="1" t="s">
        <v>1666</v>
      </c>
      <c r="C553" s="1" t="s">
        <v>5</v>
      </c>
      <c r="D553">
        <v>34.001919999999998</v>
      </c>
      <c r="E553" s="1" t="s">
        <v>602</v>
      </c>
    </row>
    <row r="554" spans="1:5" x14ac:dyDescent="0.25">
      <c r="A554" s="1" t="s">
        <v>1466</v>
      </c>
      <c r="B554" s="1" t="s">
        <v>1467</v>
      </c>
      <c r="C554" s="1" t="s">
        <v>5</v>
      </c>
      <c r="D554">
        <v>34.05312</v>
      </c>
      <c r="E554" s="1" t="s">
        <v>536</v>
      </c>
    </row>
    <row r="555" spans="1:5" x14ac:dyDescent="0.25">
      <c r="A555" s="1" t="s">
        <v>1764</v>
      </c>
      <c r="B555" s="1" t="s">
        <v>1765</v>
      </c>
      <c r="C555" s="1" t="s">
        <v>5</v>
      </c>
      <c r="D555">
        <v>34.283520000000003</v>
      </c>
      <c r="E555" s="1" t="s">
        <v>537</v>
      </c>
    </row>
    <row r="556" spans="1:5" x14ac:dyDescent="0.25">
      <c r="A556" s="1" t="s">
        <v>1436</v>
      </c>
      <c r="B556" s="1" t="s">
        <v>1437</v>
      </c>
      <c r="C556" s="1" t="s">
        <v>5</v>
      </c>
      <c r="D556">
        <v>34.286079999999998</v>
      </c>
      <c r="E556" s="1" t="s">
        <v>525</v>
      </c>
    </row>
    <row r="557" spans="1:5" x14ac:dyDescent="0.25">
      <c r="A557" s="1" t="s">
        <v>1447</v>
      </c>
      <c r="B557" s="1" t="s">
        <v>1448</v>
      </c>
      <c r="C557" s="1" t="s">
        <v>5</v>
      </c>
      <c r="D557">
        <v>34.286079999999998</v>
      </c>
      <c r="E557" s="1" t="s">
        <v>1449</v>
      </c>
    </row>
    <row r="558" spans="1:5" x14ac:dyDescent="0.25">
      <c r="A558" s="1" t="s">
        <v>1375</v>
      </c>
      <c r="B558" s="1" t="s">
        <v>1376</v>
      </c>
      <c r="C558" s="1" t="s">
        <v>5</v>
      </c>
      <c r="D558">
        <v>34.343868880000002</v>
      </c>
      <c r="E558" s="1" t="s">
        <v>525</v>
      </c>
    </row>
    <row r="559" spans="1:5" x14ac:dyDescent="0.25">
      <c r="A559" s="1" t="s">
        <v>1474</v>
      </c>
      <c r="B559" s="1" t="s">
        <v>1475</v>
      </c>
      <c r="C559" s="1" t="s">
        <v>5</v>
      </c>
      <c r="D559">
        <v>35.409550240000002</v>
      </c>
      <c r="E559" s="1" t="s">
        <v>537</v>
      </c>
    </row>
    <row r="560" spans="1:5" x14ac:dyDescent="0.25">
      <c r="A560" s="1" t="s">
        <v>1373</v>
      </c>
      <c r="B560" s="1" t="s">
        <v>1374</v>
      </c>
      <c r="C560" s="1" t="s">
        <v>5</v>
      </c>
      <c r="D560">
        <v>36.001280000000001</v>
      </c>
      <c r="E560" s="1" t="s">
        <v>525</v>
      </c>
    </row>
    <row r="561" spans="1:5" x14ac:dyDescent="0.25">
      <c r="A561" s="1" t="s">
        <v>1090</v>
      </c>
      <c r="B561" s="1" t="s">
        <v>1091</v>
      </c>
      <c r="C561" s="1" t="s">
        <v>5</v>
      </c>
      <c r="D561">
        <v>36.767686400000002</v>
      </c>
      <c r="E561" s="1" t="s">
        <v>1085</v>
      </c>
    </row>
    <row r="562" spans="1:5" x14ac:dyDescent="0.25">
      <c r="A562" s="1" t="s">
        <v>735</v>
      </c>
      <c r="B562" s="1" t="s">
        <v>736</v>
      </c>
      <c r="C562" s="1" t="s">
        <v>5</v>
      </c>
      <c r="D562">
        <v>36.771839999999997</v>
      </c>
      <c r="E562" s="1" t="s">
        <v>536</v>
      </c>
    </row>
    <row r="563" spans="1:5" x14ac:dyDescent="0.25">
      <c r="A563" s="1" t="s">
        <v>1870</v>
      </c>
      <c r="B563" s="1" t="s">
        <v>1871</v>
      </c>
      <c r="C563" s="1" t="s">
        <v>5</v>
      </c>
      <c r="D563">
        <v>37.019903999999997</v>
      </c>
      <c r="E563" s="1" t="s">
        <v>609</v>
      </c>
    </row>
    <row r="564" spans="1:5" x14ac:dyDescent="0.25">
      <c r="A564" s="1" t="s">
        <v>542</v>
      </c>
      <c r="B564" s="1" t="s">
        <v>543</v>
      </c>
      <c r="C564" s="1" t="s">
        <v>5</v>
      </c>
      <c r="D564">
        <v>38.123519999999999</v>
      </c>
      <c r="E564" s="1" t="s">
        <v>522</v>
      </c>
    </row>
    <row r="565" spans="1:5" x14ac:dyDescent="0.25">
      <c r="A565" s="1" t="s">
        <v>721</v>
      </c>
      <c r="B565" s="1" t="s">
        <v>722</v>
      </c>
      <c r="C565" s="1" t="s">
        <v>5</v>
      </c>
      <c r="D565">
        <v>38.4</v>
      </c>
      <c r="E565" s="1" t="s">
        <v>536</v>
      </c>
    </row>
    <row r="566" spans="1:5" x14ac:dyDescent="0.25">
      <c r="A566" s="1" t="s">
        <v>1005</v>
      </c>
      <c r="B566" s="1" t="s">
        <v>1006</v>
      </c>
      <c r="C566" s="1" t="s">
        <v>5</v>
      </c>
      <c r="D566">
        <v>38.622528000000003</v>
      </c>
      <c r="E566" s="1" t="s">
        <v>582</v>
      </c>
    </row>
    <row r="567" spans="1:5" x14ac:dyDescent="0.25">
      <c r="A567" s="1" t="s">
        <v>975</v>
      </c>
      <c r="B567" s="1" t="s">
        <v>976</v>
      </c>
      <c r="C567" s="1" t="s">
        <v>5</v>
      </c>
      <c r="D567">
        <v>38.643360000000001</v>
      </c>
      <c r="E567" s="1" t="s">
        <v>582</v>
      </c>
    </row>
    <row r="568" spans="1:5" x14ac:dyDescent="0.25">
      <c r="A568" s="1" t="s">
        <v>1528</v>
      </c>
      <c r="B568" s="1" t="s">
        <v>1529</v>
      </c>
      <c r="C568" s="1" t="s">
        <v>5</v>
      </c>
      <c r="D568">
        <v>38.898485440000002</v>
      </c>
      <c r="E568" s="1" t="s">
        <v>602</v>
      </c>
    </row>
    <row r="569" spans="1:5" x14ac:dyDescent="0.25">
      <c r="A569" s="1" t="s">
        <v>566</v>
      </c>
      <c r="B569" s="1" t="s">
        <v>567</v>
      </c>
      <c r="C569" s="1" t="s">
        <v>5</v>
      </c>
      <c r="D569">
        <v>39.237192</v>
      </c>
      <c r="E569" s="1" t="s">
        <v>525</v>
      </c>
    </row>
    <row r="570" spans="1:5" x14ac:dyDescent="0.25">
      <c r="A570" s="1" t="s">
        <v>1729</v>
      </c>
      <c r="B570" s="1" t="s">
        <v>1730</v>
      </c>
      <c r="C570" s="1" t="s">
        <v>5</v>
      </c>
      <c r="D570">
        <v>39.668632719999998</v>
      </c>
      <c r="E570" s="1" t="s">
        <v>1660</v>
      </c>
    </row>
    <row r="571" spans="1:5" x14ac:dyDescent="0.25">
      <c r="A571" s="1" t="s">
        <v>1894</v>
      </c>
      <c r="B571" s="1" t="s">
        <v>1895</v>
      </c>
      <c r="C571" s="1" t="s">
        <v>5</v>
      </c>
      <c r="D571">
        <v>40</v>
      </c>
      <c r="E571" s="1" t="s">
        <v>525</v>
      </c>
    </row>
    <row r="572" spans="1:5" x14ac:dyDescent="0.25">
      <c r="A572" s="1" t="s">
        <v>1440</v>
      </c>
      <c r="B572" s="1" t="s">
        <v>1441</v>
      </c>
      <c r="C572" s="1" t="s">
        <v>5</v>
      </c>
      <c r="D572">
        <v>40.034999999999997</v>
      </c>
      <c r="E572" s="1" t="s">
        <v>1442</v>
      </c>
    </row>
    <row r="573" spans="1:5" x14ac:dyDescent="0.25">
      <c r="A573" s="1" t="s">
        <v>999</v>
      </c>
      <c r="B573" s="1" t="s">
        <v>1000</v>
      </c>
      <c r="C573" s="1" t="s">
        <v>5</v>
      </c>
      <c r="D573">
        <v>40.577114559999998</v>
      </c>
      <c r="E573" s="1" t="s">
        <v>582</v>
      </c>
    </row>
    <row r="574" spans="1:5" x14ac:dyDescent="0.25">
      <c r="A574" s="1" t="s">
        <v>1075</v>
      </c>
      <c r="B574" s="1" t="s">
        <v>1076</v>
      </c>
      <c r="C574" s="1" t="s">
        <v>5</v>
      </c>
      <c r="D574">
        <v>40.599290879999998</v>
      </c>
      <c r="E574" s="1" t="s">
        <v>1070</v>
      </c>
    </row>
    <row r="575" spans="1:5" x14ac:dyDescent="0.25">
      <c r="A575" s="1" t="s">
        <v>540</v>
      </c>
      <c r="B575" s="1" t="s">
        <v>541</v>
      </c>
      <c r="C575" s="1" t="s">
        <v>5</v>
      </c>
      <c r="D575">
        <v>40.632898400000002</v>
      </c>
      <c r="E575" s="1" t="s">
        <v>522</v>
      </c>
    </row>
    <row r="576" spans="1:5" x14ac:dyDescent="0.25">
      <c r="A576" s="1" t="s">
        <v>706</v>
      </c>
      <c r="B576" s="1" t="s">
        <v>707</v>
      </c>
      <c r="C576" s="1" t="s">
        <v>5</v>
      </c>
      <c r="D576">
        <v>41.033907200000002</v>
      </c>
      <c r="E576" s="1" t="s">
        <v>536</v>
      </c>
    </row>
    <row r="577" spans="1:5" x14ac:dyDescent="0.25">
      <c r="A577" s="1" t="s">
        <v>1579</v>
      </c>
      <c r="B577" s="1" t="s">
        <v>1580</v>
      </c>
      <c r="C577" s="1" t="s">
        <v>5</v>
      </c>
      <c r="D577">
        <v>41.0382192</v>
      </c>
      <c r="E577" s="1" t="s">
        <v>1576</v>
      </c>
    </row>
    <row r="578" spans="1:5" x14ac:dyDescent="0.25">
      <c r="A578" s="1" t="s">
        <v>985</v>
      </c>
      <c r="B578" s="1" t="s">
        <v>986</v>
      </c>
      <c r="C578" s="1" t="s">
        <v>5</v>
      </c>
      <c r="D578">
        <v>41.198352</v>
      </c>
      <c r="E578" s="1" t="s">
        <v>582</v>
      </c>
    </row>
    <row r="579" spans="1:5" x14ac:dyDescent="0.25">
      <c r="A579" s="1" t="s">
        <v>1526</v>
      </c>
      <c r="B579" s="1" t="s">
        <v>1527</v>
      </c>
      <c r="C579" s="1" t="s">
        <v>5</v>
      </c>
      <c r="D579">
        <v>41.546284</v>
      </c>
      <c r="E579" s="1" t="s">
        <v>602</v>
      </c>
    </row>
    <row r="580" spans="1:5" x14ac:dyDescent="0.25">
      <c r="A580" s="1" t="s">
        <v>1626</v>
      </c>
      <c r="B580" s="1" t="s">
        <v>1627</v>
      </c>
      <c r="C580" s="1" t="s">
        <v>5</v>
      </c>
      <c r="D580">
        <v>41.846015999999999</v>
      </c>
      <c r="E580" s="1" t="s">
        <v>1628</v>
      </c>
    </row>
    <row r="581" spans="1:5" x14ac:dyDescent="0.25">
      <c r="A581" s="1" t="s">
        <v>878</v>
      </c>
      <c r="B581" s="1" t="s">
        <v>879</v>
      </c>
      <c r="C581" s="1" t="s">
        <v>5</v>
      </c>
      <c r="D581">
        <v>42.484842559999997</v>
      </c>
      <c r="E581" s="1" t="s">
        <v>848</v>
      </c>
    </row>
    <row r="582" spans="1:5" x14ac:dyDescent="0.25">
      <c r="A582" s="1" t="s">
        <v>1019</v>
      </c>
      <c r="B582" s="1" t="s">
        <v>1020</v>
      </c>
      <c r="C582" s="1" t="s">
        <v>5</v>
      </c>
      <c r="D582">
        <v>43.113284800000002</v>
      </c>
      <c r="E582" s="1" t="s">
        <v>582</v>
      </c>
    </row>
    <row r="583" spans="1:5" x14ac:dyDescent="0.25">
      <c r="A583" s="1" t="s">
        <v>1062</v>
      </c>
      <c r="B583" s="1" t="s">
        <v>1063</v>
      </c>
      <c r="C583" s="1" t="s">
        <v>5</v>
      </c>
      <c r="D583">
        <v>43.678719999999998</v>
      </c>
      <c r="E583" s="1" t="s">
        <v>1061</v>
      </c>
    </row>
    <row r="584" spans="1:5" x14ac:dyDescent="0.25">
      <c r="A584" s="1" t="s">
        <v>1600</v>
      </c>
      <c r="B584" s="1" t="s">
        <v>1601</v>
      </c>
      <c r="C584" s="1" t="s">
        <v>5</v>
      </c>
      <c r="D584">
        <v>43.816103759999997</v>
      </c>
      <c r="E584" s="1" t="s">
        <v>745</v>
      </c>
    </row>
    <row r="585" spans="1:5" x14ac:dyDescent="0.25">
      <c r="A585" s="1" t="s">
        <v>598</v>
      </c>
      <c r="B585" s="1" t="s">
        <v>599</v>
      </c>
      <c r="C585" s="1" t="s">
        <v>5</v>
      </c>
      <c r="D585">
        <v>44.877119999999998</v>
      </c>
      <c r="E585" s="1" t="s">
        <v>593</v>
      </c>
    </row>
    <row r="586" spans="1:5" x14ac:dyDescent="0.25">
      <c r="A586" s="1" t="s">
        <v>594</v>
      </c>
      <c r="B586" s="1" t="s">
        <v>595</v>
      </c>
      <c r="C586" s="1" t="s">
        <v>5</v>
      </c>
      <c r="D586">
        <v>45.414018400000003</v>
      </c>
      <c r="E586" s="1" t="s">
        <v>593</v>
      </c>
    </row>
    <row r="587" spans="1:5" x14ac:dyDescent="0.25">
      <c r="A587" s="1" t="s">
        <v>1478</v>
      </c>
      <c r="B587" s="1" t="s">
        <v>1479</v>
      </c>
      <c r="C587" s="1" t="s">
        <v>5</v>
      </c>
      <c r="D587">
        <v>45.854452000000002</v>
      </c>
      <c r="E587" s="1" t="s">
        <v>537</v>
      </c>
    </row>
    <row r="588" spans="1:5" x14ac:dyDescent="0.25">
      <c r="A588" s="1" t="s">
        <v>1068</v>
      </c>
      <c r="B588" s="1" t="s">
        <v>1069</v>
      </c>
      <c r="C588" s="1" t="s">
        <v>5</v>
      </c>
      <c r="D588">
        <v>46.08</v>
      </c>
      <c r="E588" s="1" t="s">
        <v>1070</v>
      </c>
    </row>
    <row r="589" spans="1:5" x14ac:dyDescent="0.25">
      <c r="A589" s="1" t="s">
        <v>909</v>
      </c>
      <c r="B589" s="1" t="s">
        <v>910</v>
      </c>
      <c r="C589" s="1" t="s">
        <v>5</v>
      </c>
      <c r="D589">
        <v>47.08352</v>
      </c>
      <c r="E589" s="1" t="s">
        <v>898</v>
      </c>
    </row>
    <row r="590" spans="1:5" x14ac:dyDescent="0.25">
      <c r="A590" s="1" t="s">
        <v>1663</v>
      </c>
      <c r="B590" s="1" t="s">
        <v>1664</v>
      </c>
      <c r="C590" s="1" t="s">
        <v>5</v>
      </c>
      <c r="D590">
        <v>47.255760000000002</v>
      </c>
      <c r="E590" s="1" t="s">
        <v>602</v>
      </c>
    </row>
    <row r="591" spans="1:5" x14ac:dyDescent="0.25">
      <c r="A591" s="1" t="s">
        <v>1876</v>
      </c>
      <c r="B591" s="1" t="s">
        <v>1877</v>
      </c>
      <c r="C591" s="1" t="s">
        <v>5</v>
      </c>
      <c r="D591">
        <v>47.901760000000003</v>
      </c>
      <c r="E591" s="1" t="s">
        <v>609</v>
      </c>
    </row>
    <row r="592" spans="1:5" x14ac:dyDescent="0.25">
      <c r="A592" s="1" t="s">
        <v>1480</v>
      </c>
      <c r="B592" s="1" t="s">
        <v>1481</v>
      </c>
      <c r="C592" s="1" t="s">
        <v>5</v>
      </c>
      <c r="D592">
        <v>48</v>
      </c>
      <c r="E592" s="1" t="s">
        <v>525</v>
      </c>
    </row>
    <row r="593" spans="1:5" x14ac:dyDescent="0.25">
      <c r="A593" s="1" t="s">
        <v>1592</v>
      </c>
      <c r="B593" s="1" t="s">
        <v>1593</v>
      </c>
      <c r="C593" s="1" t="s">
        <v>5</v>
      </c>
      <c r="D593">
        <v>48</v>
      </c>
      <c r="E593" s="1" t="s">
        <v>1587</v>
      </c>
    </row>
    <row r="594" spans="1:5" x14ac:dyDescent="0.25">
      <c r="A594" s="1" t="s">
        <v>1896</v>
      </c>
      <c r="B594" s="1" t="s">
        <v>1897</v>
      </c>
      <c r="C594" s="1" t="s">
        <v>5</v>
      </c>
      <c r="D594">
        <v>49.671299279999999</v>
      </c>
      <c r="E594" s="1" t="s">
        <v>525</v>
      </c>
    </row>
    <row r="595" spans="1:5" x14ac:dyDescent="0.25">
      <c r="A595" s="1" t="s">
        <v>1534</v>
      </c>
      <c r="B595" s="1" t="s">
        <v>1535</v>
      </c>
      <c r="C595" s="1" t="s">
        <v>5</v>
      </c>
      <c r="D595">
        <v>49.683918720000001</v>
      </c>
      <c r="E595" s="1" t="s">
        <v>602</v>
      </c>
    </row>
    <row r="596" spans="1:5" hidden="1" x14ac:dyDescent="0.25">
      <c r="A596" s="1" t="s">
        <v>708</v>
      </c>
      <c r="B596" s="1" t="s">
        <v>709</v>
      </c>
      <c r="C596" s="1" t="s">
        <v>5</v>
      </c>
      <c r="D596">
        <v>50.614331999999997</v>
      </c>
      <c r="E596" s="1" t="s">
        <v>536</v>
      </c>
    </row>
    <row r="597" spans="1:5" hidden="1" x14ac:dyDescent="0.25">
      <c r="A597" s="1" t="s">
        <v>1059</v>
      </c>
      <c r="B597" s="1" t="s">
        <v>1060</v>
      </c>
      <c r="C597" s="1" t="s">
        <v>5</v>
      </c>
      <c r="D597">
        <v>50.719831999999997</v>
      </c>
      <c r="E597" s="1" t="s">
        <v>1061</v>
      </c>
    </row>
    <row r="598" spans="1:5" hidden="1" x14ac:dyDescent="0.25">
      <c r="A598" s="1" t="s">
        <v>1802</v>
      </c>
      <c r="B598" s="1" t="s">
        <v>1803</v>
      </c>
      <c r="C598" s="1" t="s">
        <v>5</v>
      </c>
      <c r="D598">
        <v>51.992455839999998</v>
      </c>
      <c r="E598" s="1" t="s">
        <v>602</v>
      </c>
    </row>
    <row r="599" spans="1:5" hidden="1" x14ac:dyDescent="0.25">
      <c r="A599" s="1" t="s">
        <v>1554</v>
      </c>
      <c r="B599" s="1" t="s">
        <v>1555</v>
      </c>
      <c r="C599" s="1" t="s">
        <v>5</v>
      </c>
      <c r="D599">
        <v>52.003839999999997</v>
      </c>
      <c r="E599" s="1" t="s">
        <v>537</v>
      </c>
    </row>
    <row r="600" spans="1:5" hidden="1" x14ac:dyDescent="0.25">
      <c r="A600" s="1" t="s">
        <v>1464</v>
      </c>
      <c r="B600" s="1" t="s">
        <v>1465</v>
      </c>
      <c r="C600" s="1" t="s">
        <v>5</v>
      </c>
      <c r="D600">
        <v>52.425519999999999</v>
      </c>
      <c r="E600" s="1" t="s">
        <v>536</v>
      </c>
    </row>
    <row r="601" spans="1:5" hidden="1" x14ac:dyDescent="0.25">
      <c r="A601" s="1" t="s">
        <v>530</v>
      </c>
      <c r="B601" s="1" t="s">
        <v>531</v>
      </c>
      <c r="C601" s="1" t="s">
        <v>5</v>
      </c>
      <c r="D601">
        <v>53.410919999999997</v>
      </c>
      <c r="E601" s="1" t="s">
        <v>525</v>
      </c>
    </row>
    <row r="602" spans="1:5" hidden="1" x14ac:dyDescent="0.25">
      <c r="A602" s="1" t="s">
        <v>1798</v>
      </c>
      <c r="B602" s="1" t="s">
        <v>1799</v>
      </c>
      <c r="C602" s="1" t="s">
        <v>5</v>
      </c>
      <c r="D602">
        <v>53.766592000000003</v>
      </c>
      <c r="E602" s="1" t="s">
        <v>602</v>
      </c>
    </row>
    <row r="603" spans="1:5" hidden="1" x14ac:dyDescent="0.25">
      <c r="A603" s="1" t="s">
        <v>1808</v>
      </c>
      <c r="B603" s="1" t="s">
        <v>1809</v>
      </c>
      <c r="C603" s="1" t="s">
        <v>5</v>
      </c>
      <c r="D603">
        <v>53.835056000000002</v>
      </c>
      <c r="E603" s="1" t="s">
        <v>602</v>
      </c>
    </row>
    <row r="604" spans="1:5" hidden="1" x14ac:dyDescent="0.25">
      <c r="A604" s="1" t="s">
        <v>1762</v>
      </c>
      <c r="B604" s="1" t="s">
        <v>1763</v>
      </c>
      <c r="C604" s="1" t="s">
        <v>5</v>
      </c>
      <c r="D604">
        <v>53.924824000000001</v>
      </c>
      <c r="E604" s="1" t="s">
        <v>537</v>
      </c>
    </row>
    <row r="605" spans="1:5" hidden="1" x14ac:dyDescent="0.25">
      <c r="A605" s="1" t="s">
        <v>1064</v>
      </c>
      <c r="B605" s="1" t="s">
        <v>1065</v>
      </c>
      <c r="C605" s="1" t="s">
        <v>5</v>
      </c>
      <c r="D605">
        <v>54.005760000000002</v>
      </c>
      <c r="E605" s="1" t="s">
        <v>1061</v>
      </c>
    </row>
    <row r="606" spans="1:5" hidden="1" x14ac:dyDescent="0.25">
      <c r="A606" s="1" t="s">
        <v>1051</v>
      </c>
      <c r="B606" s="1" t="s">
        <v>1052</v>
      </c>
      <c r="C606" s="1" t="s">
        <v>5</v>
      </c>
      <c r="D606">
        <v>54.011912639999998</v>
      </c>
      <c r="E606" s="1" t="s">
        <v>582</v>
      </c>
    </row>
    <row r="607" spans="1:5" hidden="1" x14ac:dyDescent="0.25">
      <c r="A607" s="1" t="s">
        <v>1096</v>
      </c>
      <c r="B607" s="1" t="s">
        <v>1097</v>
      </c>
      <c r="C607" s="1" t="s">
        <v>5</v>
      </c>
      <c r="D607">
        <v>54.144444479999997</v>
      </c>
      <c r="E607" s="1" t="s">
        <v>898</v>
      </c>
    </row>
    <row r="608" spans="1:5" hidden="1" x14ac:dyDescent="0.25">
      <c r="A608" s="1" t="s">
        <v>977</v>
      </c>
      <c r="B608" s="1" t="s">
        <v>978</v>
      </c>
      <c r="C608" s="1" t="s">
        <v>5</v>
      </c>
      <c r="D608">
        <v>54.703165439999999</v>
      </c>
      <c r="E608" s="1" t="s">
        <v>582</v>
      </c>
    </row>
    <row r="609" spans="1:5" hidden="1" x14ac:dyDescent="0.25">
      <c r="A609" s="1" t="s">
        <v>596</v>
      </c>
      <c r="B609" s="1" t="s">
        <v>597</v>
      </c>
      <c r="C609" s="1" t="s">
        <v>5</v>
      </c>
      <c r="D609">
        <v>55.477552000000003</v>
      </c>
      <c r="E609" s="1" t="s">
        <v>593</v>
      </c>
    </row>
    <row r="610" spans="1:5" hidden="1" x14ac:dyDescent="0.25">
      <c r="A610" s="1" t="s">
        <v>1669</v>
      </c>
      <c r="B610" s="1" t="s">
        <v>1670</v>
      </c>
      <c r="C610" s="1" t="s">
        <v>5</v>
      </c>
      <c r="D610">
        <v>56.130779199999999</v>
      </c>
      <c r="E610" s="1" t="s">
        <v>593</v>
      </c>
    </row>
    <row r="611" spans="1:5" hidden="1" x14ac:dyDescent="0.25">
      <c r="A611" s="1" t="s">
        <v>1079</v>
      </c>
      <c r="B611" s="1" t="s">
        <v>1080</v>
      </c>
      <c r="C611" s="1" t="s">
        <v>5</v>
      </c>
      <c r="D611">
        <v>56.501759999999997</v>
      </c>
      <c r="E611" s="1" t="s">
        <v>1070</v>
      </c>
    </row>
    <row r="612" spans="1:5" hidden="1" x14ac:dyDescent="0.25">
      <c r="A612" s="1" t="s">
        <v>1476</v>
      </c>
      <c r="B612" s="1" t="s">
        <v>1477</v>
      </c>
      <c r="C612" s="1" t="s">
        <v>5</v>
      </c>
      <c r="D612">
        <v>57.503682640000001</v>
      </c>
      <c r="E612" s="1" t="s">
        <v>537</v>
      </c>
    </row>
    <row r="613" spans="1:5" hidden="1" x14ac:dyDescent="0.25">
      <c r="A613" s="1" t="s">
        <v>1565</v>
      </c>
      <c r="B613" s="1" t="s">
        <v>1566</v>
      </c>
      <c r="C613" s="1" t="s">
        <v>5</v>
      </c>
      <c r="D613">
        <v>57.6</v>
      </c>
      <c r="E613" s="1" t="s">
        <v>1558</v>
      </c>
    </row>
    <row r="614" spans="1:5" hidden="1" x14ac:dyDescent="0.25">
      <c r="A614" s="1" t="s">
        <v>546</v>
      </c>
      <c r="B614" s="1" t="s">
        <v>547</v>
      </c>
      <c r="C614" s="1" t="s">
        <v>5</v>
      </c>
      <c r="D614">
        <v>57.756791200000002</v>
      </c>
      <c r="E614" s="1" t="s">
        <v>525</v>
      </c>
    </row>
    <row r="615" spans="1:5" hidden="1" x14ac:dyDescent="0.25">
      <c r="A615" s="1" t="s">
        <v>1460</v>
      </c>
      <c r="B615" s="1" t="s">
        <v>1461</v>
      </c>
      <c r="C615" s="1" t="s">
        <v>5</v>
      </c>
      <c r="D615">
        <v>57.821685119999998</v>
      </c>
      <c r="E615" s="1" t="s">
        <v>536</v>
      </c>
    </row>
    <row r="616" spans="1:5" hidden="1" x14ac:dyDescent="0.25">
      <c r="A616" s="1" t="s">
        <v>1007</v>
      </c>
      <c r="B616" s="1" t="s">
        <v>1008</v>
      </c>
      <c r="C616" s="1" t="s">
        <v>5</v>
      </c>
      <c r="D616">
        <v>59.220480000000002</v>
      </c>
      <c r="E616" s="1" t="s">
        <v>582</v>
      </c>
    </row>
    <row r="617" spans="1:5" hidden="1" x14ac:dyDescent="0.25">
      <c r="A617" s="1" t="s">
        <v>1858</v>
      </c>
      <c r="B617" s="1" t="s">
        <v>1859</v>
      </c>
      <c r="C617" s="1" t="s">
        <v>5</v>
      </c>
      <c r="D617">
        <v>59.321919280000003</v>
      </c>
      <c r="E617" s="1" t="s">
        <v>745</v>
      </c>
    </row>
    <row r="618" spans="1:5" hidden="1" x14ac:dyDescent="0.25">
      <c r="A618" s="1" t="s">
        <v>1098</v>
      </c>
      <c r="B618" s="1" t="s">
        <v>1099</v>
      </c>
      <c r="C618" s="1" t="s">
        <v>5</v>
      </c>
      <c r="D618">
        <v>60.252604480000002</v>
      </c>
      <c r="E618" s="1" t="s">
        <v>898</v>
      </c>
    </row>
    <row r="619" spans="1:5" hidden="1" x14ac:dyDescent="0.25">
      <c r="A619" s="1" t="s">
        <v>1393</v>
      </c>
      <c r="B619" s="1" t="s">
        <v>1394</v>
      </c>
      <c r="C619" s="1" t="s">
        <v>5</v>
      </c>
      <c r="D619">
        <v>60.379292</v>
      </c>
      <c r="E619" s="1" t="s">
        <v>536</v>
      </c>
    </row>
    <row r="620" spans="1:5" hidden="1" x14ac:dyDescent="0.25">
      <c r="A620" s="1" t="s">
        <v>1262</v>
      </c>
      <c r="B620" s="1" t="s">
        <v>1263</v>
      </c>
      <c r="C620" s="1" t="s">
        <v>5</v>
      </c>
      <c r="D620">
        <v>60.665931200000003</v>
      </c>
      <c r="E620" s="1" t="s">
        <v>1061</v>
      </c>
    </row>
    <row r="621" spans="1:5" hidden="1" x14ac:dyDescent="0.25">
      <c r="A621" s="1" t="s">
        <v>1577</v>
      </c>
      <c r="B621" s="1" t="s">
        <v>1578</v>
      </c>
      <c r="C621" s="1" t="s">
        <v>5</v>
      </c>
      <c r="D621">
        <v>61.556699360000003</v>
      </c>
      <c r="E621" s="1" t="s">
        <v>1576</v>
      </c>
    </row>
    <row r="622" spans="1:5" hidden="1" x14ac:dyDescent="0.25">
      <c r="A622" s="1" t="s">
        <v>1574</v>
      </c>
      <c r="B622" s="1" t="s">
        <v>1575</v>
      </c>
      <c r="C622" s="1" t="s">
        <v>5</v>
      </c>
      <c r="D622">
        <v>62.251518246000003</v>
      </c>
      <c r="E622" s="1" t="s">
        <v>1576</v>
      </c>
    </row>
    <row r="623" spans="1:5" hidden="1" x14ac:dyDescent="0.25">
      <c r="A623" s="1" t="s">
        <v>1874</v>
      </c>
      <c r="B623" s="1" t="s">
        <v>1875</v>
      </c>
      <c r="C623" s="1" t="s">
        <v>5</v>
      </c>
      <c r="D623">
        <v>62.397740400000004</v>
      </c>
      <c r="E623" s="1" t="s">
        <v>525</v>
      </c>
    </row>
    <row r="624" spans="1:5" hidden="1" x14ac:dyDescent="0.25">
      <c r="A624" s="1" t="s">
        <v>1639</v>
      </c>
      <c r="B624" s="1" t="s">
        <v>1640</v>
      </c>
      <c r="C624" s="1" t="s">
        <v>5</v>
      </c>
      <c r="D624">
        <v>62.909624000000001</v>
      </c>
      <c r="E624" s="1" t="s">
        <v>1628</v>
      </c>
    </row>
    <row r="625" spans="1:5" hidden="1" x14ac:dyDescent="0.25">
      <c r="A625" s="1" t="s">
        <v>743</v>
      </c>
      <c r="B625" s="1" t="s">
        <v>744</v>
      </c>
      <c r="C625" s="1" t="s">
        <v>5</v>
      </c>
      <c r="D625">
        <v>63.882023189999998</v>
      </c>
      <c r="E625" s="1" t="s">
        <v>745</v>
      </c>
    </row>
    <row r="626" spans="1:5" hidden="1" x14ac:dyDescent="0.25">
      <c r="A626" s="1" t="s">
        <v>1864</v>
      </c>
      <c r="B626" s="1" t="s">
        <v>1865</v>
      </c>
      <c r="C626" s="1" t="s">
        <v>5</v>
      </c>
      <c r="D626">
        <v>64.526800399999999</v>
      </c>
      <c r="E626" s="1" t="s">
        <v>525</v>
      </c>
    </row>
    <row r="627" spans="1:5" hidden="1" x14ac:dyDescent="0.25">
      <c r="A627" s="1" t="s">
        <v>1071</v>
      </c>
      <c r="B627" s="1" t="s">
        <v>1072</v>
      </c>
      <c r="C627" s="1" t="s">
        <v>5</v>
      </c>
      <c r="D627">
        <v>65.459872000000004</v>
      </c>
      <c r="E627" s="1" t="s">
        <v>1070</v>
      </c>
    </row>
    <row r="628" spans="1:5" hidden="1" x14ac:dyDescent="0.25">
      <c r="A628" s="1" t="s">
        <v>1880</v>
      </c>
      <c r="B628" s="1" t="s">
        <v>1881</v>
      </c>
      <c r="C628" s="1" t="s">
        <v>5</v>
      </c>
      <c r="D628">
        <v>65.565557760000004</v>
      </c>
      <c r="E628" s="1" t="s">
        <v>525</v>
      </c>
    </row>
    <row r="629" spans="1:5" hidden="1" x14ac:dyDescent="0.25">
      <c r="A629" s="1" t="s">
        <v>896</v>
      </c>
      <c r="B629" s="1" t="s">
        <v>897</v>
      </c>
      <c r="C629" s="1" t="s">
        <v>5</v>
      </c>
      <c r="D629">
        <v>67.101690880000007</v>
      </c>
      <c r="E629" s="1" t="s">
        <v>898</v>
      </c>
    </row>
    <row r="630" spans="1:5" hidden="1" x14ac:dyDescent="0.25">
      <c r="A630" s="1" t="s">
        <v>1776</v>
      </c>
      <c r="B630" s="1" t="s">
        <v>1777</v>
      </c>
      <c r="C630" s="1" t="s">
        <v>5</v>
      </c>
      <c r="D630">
        <v>67.231180800000004</v>
      </c>
      <c r="E630" s="1" t="s">
        <v>582</v>
      </c>
    </row>
    <row r="631" spans="1:5" hidden="1" x14ac:dyDescent="0.25">
      <c r="A631" s="1" t="s">
        <v>1610</v>
      </c>
      <c r="B631" s="1" t="s">
        <v>1611</v>
      </c>
      <c r="C631" s="1" t="s">
        <v>5</v>
      </c>
      <c r="D631">
        <v>67.340637830000006</v>
      </c>
      <c r="E631" s="1" t="s">
        <v>537</v>
      </c>
    </row>
    <row r="632" spans="1:5" hidden="1" x14ac:dyDescent="0.25">
      <c r="A632" s="1" t="s">
        <v>1252</v>
      </c>
      <c r="B632" s="1" t="s">
        <v>1253</v>
      </c>
      <c r="C632" s="1" t="s">
        <v>5</v>
      </c>
      <c r="D632">
        <v>67.499487999999999</v>
      </c>
      <c r="E632" s="1" t="s">
        <v>1061</v>
      </c>
    </row>
    <row r="633" spans="1:5" hidden="1" x14ac:dyDescent="0.25">
      <c r="A633" s="1" t="s">
        <v>1635</v>
      </c>
      <c r="B633" s="1" t="s">
        <v>1636</v>
      </c>
      <c r="C633" s="1" t="s">
        <v>5</v>
      </c>
      <c r="D633">
        <v>71.890195199999994</v>
      </c>
      <c r="E633" s="1" t="s">
        <v>1628</v>
      </c>
    </row>
    <row r="634" spans="1:5" hidden="1" x14ac:dyDescent="0.25">
      <c r="A634" s="1" t="s">
        <v>1450</v>
      </c>
      <c r="B634" s="1" t="s">
        <v>1451</v>
      </c>
      <c r="C634" s="1" t="s">
        <v>5</v>
      </c>
      <c r="D634">
        <v>73.099507200000005</v>
      </c>
      <c r="E634" s="1" t="s">
        <v>536</v>
      </c>
    </row>
    <row r="635" spans="1:5" hidden="1" x14ac:dyDescent="0.25">
      <c r="A635" s="1" t="s">
        <v>1041</v>
      </c>
      <c r="B635" s="1" t="s">
        <v>1042</v>
      </c>
      <c r="C635" s="1" t="s">
        <v>5</v>
      </c>
      <c r="D635">
        <v>73.139200000000002</v>
      </c>
      <c r="E635" s="1" t="s">
        <v>582</v>
      </c>
    </row>
    <row r="636" spans="1:5" hidden="1" x14ac:dyDescent="0.25">
      <c r="A636" s="1" t="s">
        <v>1397</v>
      </c>
      <c r="B636" s="1" t="s">
        <v>1398</v>
      </c>
      <c r="C636" s="1" t="s">
        <v>5</v>
      </c>
      <c r="D636">
        <v>77.627784000000005</v>
      </c>
      <c r="E636" s="1" t="s">
        <v>745</v>
      </c>
    </row>
    <row r="637" spans="1:5" hidden="1" x14ac:dyDescent="0.25">
      <c r="A637" s="1" t="s">
        <v>1411</v>
      </c>
      <c r="B637" s="1" t="s">
        <v>1412</v>
      </c>
      <c r="C637" s="1" t="s">
        <v>5</v>
      </c>
      <c r="D637">
        <v>78.378872000000001</v>
      </c>
      <c r="E637" s="1" t="s">
        <v>745</v>
      </c>
    </row>
    <row r="638" spans="1:5" hidden="1" x14ac:dyDescent="0.25">
      <c r="A638" s="1" t="s">
        <v>987</v>
      </c>
      <c r="B638" s="1" t="s">
        <v>988</v>
      </c>
      <c r="C638" s="1" t="s">
        <v>5</v>
      </c>
      <c r="D638">
        <v>80</v>
      </c>
      <c r="E638" s="1" t="s">
        <v>582</v>
      </c>
    </row>
    <row r="639" spans="1:5" hidden="1" x14ac:dyDescent="0.25">
      <c r="A639" s="1" t="s">
        <v>1258</v>
      </c>
      <c r="B639" s="1" t="s">
        <v>1259</v>
      </c>
      <c r="C639" s="1" t="s">
        <v>5</v>
      </c>
      <c r="D639">
        <v>80</v>
      </c>
      <c r="E639" s="1" t="s">
        <v>1061</v>
      </c>
    </row>
    <row r="640" spans="1:5" hidden="1" x14ac:dyDescent="0.25">
      <c r="A640" s="1" t="s">
        <v>1760</v>
      </c>
      <c r="B640" s="1" t="s">
        <v>1761</v>
      </c>
      <c r="C640" s="1" t="s">
        <v>5</v>
      </c>
      <c r="D640">
        <v>80.011509200000006</v>
      </c>
      <c r="E640" s="1" t="s">
        <v>537</v>
      </c>
    </row>
    <row r="641" spans="1:5" hidden="1" x14ac:dyDescent="0.25">
      <c r="A641" s="1" t="s">
        <v>1438</v>
      </c>
      <c r="B641" s="1" t="s">
        <v>1439</v>
      </c>
      <c r="C641" s="1" t="s">
        <v>5</v>
      </c>
      <c r="D641">
        <v>80.5</v>
      </c>
      <c r="E641" s="1" t="s">
        <v>525</v>
      </c>
    </row>
    <row r="642" spans="1:5" hidden="1" x14ac:dyDescent="0.25">
      <c r="A642" s="1" t="s">
        <v>966</v>
      </c>
      <c r="B642" s="1" t="s">
        <v>967</v>
      </c>
      <c r="C642" s="1" t="s">
        <v>5</v>
      </c>
      <c r="D642">
        <v>80.507537040000003</v>
      </c>
      <c r="E642" s="1" t="s">
        <v>968</v>
      </c>
    </row>
    <row r="643" spans="1:5" hidden="1" x14ac:dyDescent="0.25">
      <c r="A643" s="1" t="s">
        <v>1015</v>
      </c>
      <c r="B643" s="1" t="s">
        <v>1016</v>
      </c>
      <c r="C643" s="1" t="s">
        <v>5</v>
      </c>
      <c r="D643">
        <v>81.741636799999995</v>
      </c>
      <c r="E643" s="1" t="s">
        <v>582</v>
      </c>
    </row>
    <row r="644" spans="1:5" hidden="1" x14ac:dyDescent="0.25">
      <c r="A644" s="1" t="s">
        <v>1452</v>
      </c>
      <c r="B644" s="1" t="s">
        <v>1453</v>
      </c>
      <c r="C644" s="1" t="s">
        <v>5</v>
      </c>
      <c r="D644">
        <v>81.868799999999993</v>
      </c>
      <c r="E644" s="1" t="s">
        <v>536</v>
      </c>
    </row>
    <row r="645" spans="1:5" hidden="1" x14ac:dyDescent="0.25">
      <c r="A645" s="1" t="s">
        <v>1860</v>
      </c>
      <c r="B645" s="1" t="s">
        <v>1861</v>
      </c>
      <c r="C645" s="1" t="s">
        <v>5</v>
      </c>
      <c r="D645">
        <v>81.972716559999995</v>
      </c>
      <c r="E645" s="1" t="s">
        <v>745</v>
      </c>
    </row>
    <row r="646" spans="1:5" hidden="1" x14ac:dyDescent="0.25">
      <c r="A646" s="1" t="s">
        <v>1552</v>
      </c>
      <c r="B646" s="1" t="s">
        <v>1553</v>
      </c>
      <c r="C646" s="1" t="s">
        <v>5</v>
      </c>
      <c r="D646">
        <v>82.466431999999998</v>
      </c>
      <c r="E646" s="1" t="s">
        <v>537</v>
      </c>
    </row>
    <row r="647" spans="1:5" hidden="1" x14ac:dyDescent="0.25">
      <c r="A647" s="1" t="s">
        <v>1520</v>
      </c>
      <c r="B647" s="1" t="s">
        <v>1521</v>
      </c>
      <c r="C647" s="1" t="s">
        <v>5</v>
      </c>
      <c r="D647">
        <v>82.540779999999998</v>
      </c>
      <c r="E647" s="1" t="s">
        <v>602</v>
      </c>
    </row>
    <row r="648" spans="1:5" hidden="1" x14ac:dyDescent="0.25">
      <c r="A648" s="1" t="s">
        <v>1654</v>
      </c>
      <c r="B648" s="1" t="s">
        <v>1655</v>
      </c>
      <c r="C648" s="1" t="s">
        <v>5</v>
      </c>
      <c r="D648">
        <v>82.540779999999998</v>
      </c>
      <c r="E648" s="1" t="s">
        <v>602</v>
      </c>
    </row>
    <row r="649" spans="1:5" hidden="1" x14ac:dyDescent="0.25">
      <c r="A649" s="1" t="s">
        <v>600</v>
      </c>
      <c r="B649" s="1" t="s">
        <v>601</v>
      </c>
      <c r="C649" s="1" t="s">
        <v>5</v>
      </c>
      <c r="D649">
        <v>82.587519999999998</v>
      </c>
      <c r="E649" s="1" t="s">
        <v>602</v>
      </c>
    </row>
    <row r="650" spans="1:5" hidden="1" x14ac:dyDescent="0.25">
      <c r="A650" s="1" t="s">
        <v>1409</v>
      </c>
      <c r="B650" s="1" t="s">
        <v>1410</v>
      </c>
      <c r="C650" s="1" t="s">
        <v>5</v>
      </c>
      <c r="D650">
        <v>83.118574719999998</v>
      </c>
      <c r="E650" s="1" t="s">
        <v>745</v>
      </c>
    </row>
    <row r="651" spans="1:5" hidden="1" x14ac:dyDescent="0.25">
      <c r="A651" s="1" t="s">
        <v>1629</v>
      </c>
      <c r="B651" s="1" t="s">
        <v>1630</v>
      </c>
      <c r="C651" s="1" t="s">
        <v>5</v>
      </c>
      <c r="D651">
        <v>84.128954879999995</v>
      </c>
      <c r="E651" s="1" t="s">
        <v>1628</v>
      </c>
    </row>
    <row r="652" spans="1:5" hidden="1" x14ac:dyDescent="0.25">
      <c r="A652" s="1" t="s">
        <v>1522</v>
      </c>
      <c r="B652" s="1" t="s">
        <v>1523</v>
      </c>
      <c r="C652" s="1" t="s">
        <v>5</v>
      </c>
      <c r="D652">
        <v>84.220148640000005</v>
      </c>
      <c r="E652" s="1" t="s">
        <v>602</v>
      </c>
    </row>
    <row r="653" spans="1:5" hidden="1" x14ac:dyDescent="0.25">
      <c r="A653" s="1" t="s">
        <v>1868</v>
      </c>
      <c r="B653" s="1" t="s">
        <v>1869</v>
      </c>
      <c r="C653" s="1" t="s">
        <v>5</v>
      </c>
      <c r="D653">
        <v>87.351269119999998</v>
      </c>
      <c r="E653" s="1" t="s">
        <v>609</v>
      </c>
    </row>
    <row r="654" spans="1:5" hidden="1" x14ac:dyDescent="0.25">
      <c r="A654" s="1" t="s">
        <v>1658</v>
      </c>
      <c r="B654" s="1" t="s">
        <v>1659</v>
      </c>
      <c r="C654" s="1" t="s">
        <v>5</v>
      </c>
      <c r="D654">
        <v>89.376622080000004</v>
      </c>
      <c r="E654" s="1" t="s">
        <v>1660</v>
      </c>
    </row>
    <row r="655" spans="1:5" hidden="1" x14ac:dyDescent="0.25">
      <c r="A655" s="1" t="s">
        <v>578</v>
      </c>
      <c r="B655" s="1" t="s">
        <v>579</v>
      </c>
      <c r="C655" s="1" t="s">
        <v>5</v>
      </c>
      <c r="D655">
        <v>89.731382400000001</v>
      </c>
      <c r="E655" s="1" t="s">
        <v>525</v>
      </c>
    </row>
    <row r="656" spans="1:5" hidden="1" x14ac:dyDescent="0.25">
      <c r="A656" s="1" t="s">
        <v>1383</v>
      </c>
      <c r="B656" s="1" t="s">
        <v>1384</v>
      </c>
      <c r="C656" s="1" t="s">
        <v>5</v>
      </c>
      <c r="D656">
        <v>90.272176000000002</v>
      </c>
      <c r="E656" s="1" t="s">
        <v>536</v>
      </c>
    </row>
    <row r="657" spans="1:5" hidden="1" x14ac:dyDescent="0.25">
      <c r="A657" s="1" t="s">
        <v>1387</v>
      </c>
      <c r="B657" s="1" t="s">
        <v>1388</v>
      </c>
      <c r="C657" s="1" t="s">
        <v>5</v>
      </c>
      <c r="D657">
        <v>90.545996000000002</v>
      </c>
      <c r="E657" s="1" t="s">
        <v>536</v>
      </c>
    </row>
    <row r="658" spans="1:5" hidden="1" x14ac:dyDescent="0.25">
      <c r="A658" s="1" t="s">
        <v>1542</v>
      </c>
      <c r="B658" s="1" t="s">
        <v>1543</v>
      </c>
      <c r="C658" s="1" t="s">
        <v>5</v>
      </c>
      <c r="D658">
        <v>92.586624</v>
      </c>
      <c r="E658" s="1" t="s">
        <v>537</v>
      </c>
    </row>
    <row r="659" spans="1:5" hidden="1" x14ac:dyDescent="0.25">
      <c r="A659" s="1" t="s">
        <v>1434</v>
      </c>
      <c r="B659" s="1" t="s">
        <v>1435</v>
      </c>
      <c r="C659" s="1" t="s">
        <v>5</v>
      </c>
      <c r="D659">
        <v>93.498503999999997</v>
      </c>
      <c r="E659" s="1" t="s">
        <v>525</v>
      </c>
    </row>
    <row r="660" spans="1:5" hidden="1" x14ac:dyDescent="0.25">
      <c r="A660" s="1" t="s">
        <v>1077</v>
      </c>
      <c r="B660" s="1" t="s">
        <v>1078</v>
      </c>
      <c r="C660" s="1" t="s">
        <v>5</v>
      </c>
      <c r="D660">
        <v>93.514848000000001</v>
      </c>
      <c r="E660" s="1" t="s">
        <v>1070</v>
      </c>
    </row>
    <row r="661" spans="1:5" hidden="1" x14ac:dyDescent="0.25">
      <c r="A661" s="1" t="s">
        <v>1884</v>
      </c>
      <c r="B661" s="1" t="s">
        <v>1885</v>
      </c>
      <c r="C661" s="1" t="s">
        <v>5</v>
      </c>
      <c r="D661">
        <v>95.979933599999995</v>
      </c>
      <c r="E661" s="1" t="s">
        <v>609</v>
      </c>
    </row>
    <row r="662" spans="1:5" hidden="1" x14ac:dyDescent="0.25">
      <c r="A662" s="1" t="s">
        <v>1268</v>
      </c>
      <c r="B662" s="1" t="s">
        <v>1269</v>
      </c>
      <c r="C662" s="1" t="s">
        <v>5</v>
      </c>
      <c r="D662">
        <v>96</v>
      </c>
      <c r="E662" s="1" t="s">
        <v>1270</v>
      </c>
    </row>
    <row r="663" spans="1:5" hidden="1" x14ac:dyDescent="0.25">
      <c r="A663" s="1" t="s">
        <v>1454</v>
      </c>
      <c r="B663" s="1" t="s">
        <v>1455</v>
      </c>
      <c r="C663" s="1" t="s">
        <v>5</v>
      </c>
      <c r="D663">
        <v>97.227353600000001</v>
      </c>
      <c r="E663" s="1" t="s">
        <v>536</v>
      </c>
    </row>
    <row r="664" spans="1:5" hidden="1" x14ac:dyDescent="0.25">
      <c r="A664" s="1" t="s">
        <v>1667</v>
      </c>
      <c r="B664" s="1" t="s">
        <v>1668</v>
      </c>
      <c r="C664" s="1" t="s">
        <v>5</v>
      </c>
      <c r="D664">
        <v>99.999986629999995</v>
      </c>
      <c r="E664" s="1" t="s">
        <v>602</v>
      </c>
    </row>
    <row r="665" spans="1:5" hidden="1" x14ac:dyDescent="0.25">
      <c r="A665" s="1" t="s">
        <v>1770</v>
      </c>
      <c r="B665" s="1" t="s">
        <v>1771</v>
      </c>
      <c r="C665" s="1" t="s">
        <v>5</v>
      </c>
      <c r="D665">
        <v>102.05693119999999</v>
      </c>
      <c r="E665" s="1" t="s">
        <v>537</v>
      </c>
    </row>
    <row r="666" spans="1:5" hidden="1" x14ac:dyDescent="0.25">
      <c r="A666" s="1" t="s">
        <v>1850</v>
      </c>
      <c r="B666" s="1" t="s">
        <v>1851</v>
      </c>
      <c r="C666" s="1" t="s">
        <v>5</v>
      </c>
      <c r="D666">
        <v>102.10220016</v>
      </c>
      <c r="E666" s="1" t="s">
        <v>745</v>
      </c>
    </row>
    <row r="667" spans="1:5" hidden="1" x14ac:dyDescent="0.25">
      <c r="A667" s="1" t="s">
        <v>767</v>
      </c>
      <c r="B667" s="1" t="s">
        <v>768</v>
      </c>
      <c r="C667" s="1" t="s">
        <v>5</v>
      </c>
      <c r="D667">
        <v>102.6096</v>
      </c>
      <c r="E667" s="1" t="s">
        <v>754</v>
      </c>
    </row>
    <row r="668" spans="1:5" hidden="1" x14ac:dyDescent="0.25">
      <c r="A668" s="1" t="s">
        <v>1713</v>
      </c>
      <c r="B668" s="1" t="s">
        <v>1714</v>
      </c>
      <c r="C668" s="1" t="s">
        <v>5</v>
      </c>
      <c r="D668">
        <v>103.47512</v>
      </c>
      <c r="E668" s="1" t="s">
        <v>1660</v>
      </c>
    </row>
    <row r="669" spans="1:5" hidden="1" x14ac:dyDescent="0.25">
      <c r="A669" s="1" t="s">
        <v>1561</v>
      </c>
      <c r="B669" s="1" t="s">
        <v>1562</v>
      </c>
      <c r="C669" s="1" t="s">
        <v>5</v>
      </c>
      <c r="D669">
        <v>104.12012128000001</v>
      </c>
      <c r="E669" s="1" t="s">
        <v>1558</v>
      </c>
    </row>
    <row r="670" spans="1:5" hidden="1" x14ac:dyDescent="0.25">
      <c r="A670" s="1" t="s">
        <v>752</v>
      </c>
      <c r="B670" s="1" t="s">
        <v>753</v>
      </c>
      <c r="C670" s="1" t="s">
        <v>5</v>
      </c>
      <c r="D670">
        <v>106.41538416</v>
      </c>
      <c r="E670" s="1" t="s">
        <v>754</v>
      </c>
    </row>
    <row r="671" spans="1:5" hidden="1" x14ac:dyDescent="0.25">
      <c r="A671" s="1" t="s">
        <v>700</v>
      </c>
      <c r="B671" s="1" t="s">
        <v>701</v>
      </c>
      <c r="C671" s="1" t="s">
        <v>5</v>
      </c>
      <c r="D671">
        <v>106.53414544</v>
      </c>
      <c r="E671" s="1" t="s">
        <v>702</v>
      </c>
    </row>
    <row r="672" spans="1:5" hidden="1" x14ac:dyDescent="0.25">
      <c r="A672" s="1" t="s">
        <v>1094</v>
      </c>
      <c r="B672" s="1" t="s">
        <v>1095</v>
      </c>
      <c r="C672" s="1" t="s">
        <v>5</v>
      </c>
      <c r="D672">
        <v>106.66752</v>
      </c>
      <c r="E672" s="1" t="s">
        <v>1085</v>
      </c>
    </row>
    <row r="673" spans="1:5" hidden="1" x14ac:dyDescent="0.25">
      <c r="A673" s="1" t="s">
        <v>1401</v>
      </c>
      <c r="B673" s="1" t="s">
        <v>1402</v>
      </c>
      <c r="C673" s="1" t="s">
        <v>5</v>
      </c>
      <c r="D673">
        <v>107.1783836</v>
      </c>
      <c r="E673" s="1" t="s">
        <v>745</v>
      </c>
    </row>
    <row r="674" spans="1:5" hidden="1" x14ac:dyDescent="0.25">
      <c r="A674" s="1" t="s">
        <v>1456</v>
      </c>
      <c r="B674" s="1" t="s">
        <v>1457</v>
      </c>
      <c r="C674" s="1" t="s">
        <v>5</v>
      </c>
      <c r="D674">
        <v>108.8</v>
      </c>
      <c r="E674" s="1" t="s">
        <v>536</v>
      </c>
    </row>
    <row r="675" spans="1:5" hidden="1" x14ac:dyDescent="0.25">
      <c r="A675" s="1" t="s">
        <v>1590</v>
      </c>
      <c r="B675" s="1" t="s">
        <v>1591</v>
      </c>
      <c r="C675" s="1" t="s">
        <v>5</v>
      </c>
      <c r="D675">
        <v>109.02016</v>
      </c>
      <c r="E675" s="1" t="s">
        <v>1587</v>
      </c>
    </row>
    <row r="676" spans="1:5" hidden="1" x14ac:dyDescent="0.25">
      <c r="A676" s="1" t="s">
        <v>1588</v>
      </c>
      <c r="B676" s="1" t="s">
        <v>1589</v>
      </c>
      <c r="C676" s="1" t="s">
        <v>5</v>
      </c>
      <c r="D676">
        <v>112</v>
      </c>
      <c r="E676" s="1" t="s">
        <v>1587</v>
      </c>
    </row>
    <row r="677" spans="1:5" hidden="1" x14ac:dyDescent="0.25">
      <c r="A677" s="1" t="s">
        <v>1385</v>
      </c>
      <c r="B677" s="1" t="s">
        <v>1386</v>
      </c>
      <c r="C677" s="1" t="s">
        <v>5</v>
      </c>
      <c r="D677">
        <v>112.08692000000001</v>
      </c>
      <c r="E677" s="1" t="s">
        <v>536</v>
      </c>
    </row>
    <row r="678" spans="1:5" hidden="1" x14ac:dyDescent="0.25">
      <c r="A678" s="1" t="s">
        <v>1753</v>
      </c>
      <c r="B678" s="1" t="s">
        <v>1754</v>
      </c>
      <c r="C678" s="1" t="s">
        <v>5</v>
      </c>
      <c r="D678">
        <v>113.15299520000001</v>
      </c>
      <c r="E678" s="1" t="s">
        <v>525</v>
      </c>
    </row>
    <row r="679" spans="1:5" hidden="1" x14ac:dyDescent="0.25">
      <c r="A679" s="1" t="s">
        <v>1559</v>
      </c>
      <c r="B679" s="1" t="s">
        <v>1560</v>
      </c>
      <c r="C679" s="1" t="s">
        <v>5</v>
      </c>
      <c r="D679">
        <v>114.87724128000001</v>
      </c>
      <c r="E679" s="1" t="s">
        <v>1558</v>
      </c>
    </row>
    <row r="680" spans="1:5" hidden="1" x14ac:dyDescent="0.25">
      <c r="A680" s="1" t="s">
        <v>1524</v>
      </c>
      <c r="B680" s="1" t="s">
        <v>1525</v>
      </c>
      <c r="C680" s="1" t="s">
        <v>5</v>
      </c>
      <c r="D680">
        <v>115.6200552</v>
      </c>
      <c r="E680" s="1" t="s">
        <v>602</v>
      </c>
    </row>
    <row r="681" spans="1:5" hidden="1" x14ac:dyDescent="0.25">
      <c r="A681" s="1" t="s">
        <v>969</v>
      </c>
      <c r="B681" s="1" t="s">
        <v>970</v>
      </c>
      <c r="C681" s="1" t="s">
        <v>5</v>
      </c>
      <c r="D681">
        <v>119.14346368</v>
      </c>
      <c r="E681" s="1" t="s">
        <v>968</v>
      </c>
    </row>
    <row r="682" spans="1:5" hidden="1" x14ac:dyDescent="0.25">
      <c r="A682" s="1" t="s">
        <v>1532</v>
      </c>
      <c r="B682" s="1" t="s">
        <v>1533</v>
      </c>
      <c r="C682" s="1" t="s">
        <v>5</v>
      </c>
      <c r="D682">
        <v>119.30138479999999</v>
      </c>
      <c r="E682" s="1" t="s">
        <v>602</v>
      </c>
    </row>
    <row r="683" spans="1:5" hidden="1" x14ac:dyDescent="0.25">
      <c r="A683" s="1" t="s">
        <v>1379</v>
      </c>
      <c r="B683" s="1" t="s">
        <v>1380</v>
      </c>
      <c r="C683" s="1" t="s">
        <v>5</v>
      </c>
      <c r="D683">
        <v>120.72499999999999</v>
      </c>
      <c r="E683" s="1" t="s">
        <v>525</v>
      </c>
    </row>
    <row r="684" spans="1:5" hidden="1" x14ac:dyDescent="0.25">
      <c r="A684" s="1" t="s">
        <v>869</v>
      </c>
      <c r="B684" s="1" t="s">
        <v>870</v>
      </c>
      <c r="C684" s="1" t="s">
        <v>5</v>
      </c>
      <c r="D684">
        <v>121.2545648</v>
      </c>
      <c r="E684" s="1" t="s">
        <v>848</v>
      </c>
    </row>
    <row r="685" spans="1:5" hidden="1" x14ac:dyDescent="0.25">
      <c r="A685" s="1" t="s">
        <v>1039</v>
      </c>
      <c r="B685" s="1" t="s">
        <v>1040</v>
      </c>
      <c r="C685" s="1" t="s">
        <v>5</v>
      </c>
      <c r="D685">
        <v>124.0125</v>
      </c>
      <c r="E685" s="1" t="s">
        <v>582</v>
      </c>
    </row>
    <row r="686" spans="1:5" hidden="1" x14ac:dyDescent="0.25">
      <c r="A686" s="1" t="s">
        <v>1624</v>
      </c>
      <c r="B686" s="1" t="s">
        <v>1625</v>
      </c>
      <c r="C686" s="1" t="s">
        <v>5</v>
      </c>
      <c r="D686">
        <v>129.05101440000001</v>
      </c>
      <c r="E686" s="1" t="s">
        <v>525</v>
      </c>
    </row>
    <row r="687" spans="1:5" hidden="1" x14ac:dyDescent="0.25">
      <c r="A687" s="1" t="s">
        <v>1585</v>
      </c>
      <c r="B687" s="1" t="s">
        <v>1586</v>
      </c>
      <c r="C687" s="1" t="s">
        <v>5</v>
      </c>
      <c r="D687">
        <v>129.6</v>
      </c>
      <c r="E687" s="1" t="s">
        <v>1587</v>
      </c>
    </row>
    <row r="688" spans="1:5" hidden="1" x14ac:dyDescent="0.25">
      <c r="A688" s="1" t="s">
        <v>591</v>
      </c>
      <c r="B688" s="1" t="s">
        <v>592</v>
      </c>
      <c r="C688" s="1" t="s">
        <v>5</v>
      </c>
      <c r="D688">
        <v>130.20327760000001</v>
      </c>
      <c r="E688" s="1" t="s">
        <v>593</v>
      </c>
    </row>
    <row r="689" spans="1:5" hidden="1" x14ac:dyDescent="0.25">
      <c r="A689" s="1" t="s">
        <v>1683</v>
      </c>
      <c r="B689" s="1" t="s">
        <v>1684</v>
      </c>
      <c r="C689" s="1" t="s">
        <v>5</v>
      </c>
      <c r="D689">
        <v>132.35072</v>
      </c>
      <c r="E689" s="1" t="s">
        <v>1587</v>
      </c>
    </row>
    <row r="690" spans="1:5" hidden="1" x14ac:dyDescent="0.25">
      <c r="A690" s="1" t="s">
        <v>1550</v>
      </c>
      <c r="B690" s="1" t="s">
        <v>1551</v>
      </c>
      <c r="C690" s="1" t="s">
        <v>5</v>
      </c>
      <c r="D690">
        <v>134.27370112</v>
      </c>
      <c r="E690" s="1" t="s">
        <v>537</v>
      </c>
    </row>
    <row r="691" spans="1:5" hidden="1" x14ac:dyDescent="0.25">
      <c r="A691" s="1" t="s">
        <v>1616</v>
      </c>
      <c r="B691" s="1" t="s">
        <v>1617</v>
      </c>
      <c r="C691" s="1" t="s">
        <v>5</v>
      </c>
      <c r="D691">
        <v>144</v>
      </c>
      <c r="E691" s="1" t="s">
        <v>525</v>
      </c>
    </row>
    <row r="692" spans="1:5" hidden="1" x14ac:dyDescent="0.25">
      <c r="A692" s="1" t="s">
        <v>1413</v>
      </c>
      <c r="B692" s="1" t="s">
        <v>1414</v>
      </c>
      <c r="C692" s="1" t="s">
        <v>5</v>
      </c>
      <c r="D692">
        <v>150.6725232</v>
      </c>
      <c r="E692" s="1" t="s">
        <v>745</v>
      </c>
    </row>
    <row r="693" spans="1:5" hidden="1" x14ac:dyDescent="0.25">
      <c r="A693" s="1" t="s">
        <v>763</v>
      </c>
      <c r="B693" s="1" t="s">
        <v>764</v>
      </c>
      <c r="C693" s="1" t="s">
        <v>5</v>
      </c>
      <c r="D693">
        <v>151.0154881</v>
      </c>
      <c r="E693" s="1" t="s">
        <v>754</v>
      </c>
    </row>
    <row r="694" spans="1:5" hidden="1" x14ac:dyDescent="0.25">
      <c r="A694" s="1" t="s">
        <v>1088</v>
      </c>
      <c r="B694" s="1" t="s">
        <v>1089</v>
      </c>
      <c r="C694" s="1" t="s">
        <v>5</v>
      </c>
      <c r="D694">
        <v>153.16756989999999</v>
      </c>
      <c r="E694" s="1" t="s">
        <v>1085</v>
      </c>
    </row>
    <row r="695" spans="1:5" hidden="1" x14ac:dyDescent="0.25">
      <c r="A695" s="1" t="s">
        <v>1569</v>
      </c>
      <c r="B695" s="1" t="s">
        <v>1570</v>
      </c>
      <c r="C695" s="1" t="s">
        <v>5</v>
      </c>
      <c r="D695">
        <v>153.60939392</v>
      </c>
      <c r="E695" s="1" t="s">
        <v>602</v>
      </c>
    </row>
    <row r="696" spans="1:5" hidden="1" x14ac:dyDescent="0.25">
      <c r="A696" s="1" t="s">
        <v>1102</v>
      </c>
      <c r="B696" s="1" t="s">
        <v>1103</v>
      </c>
      <c r="C696" s="1" t="s">
        <v>5</v>
      </c>
      <c r="D696">
        <v>159.7904576</v>
      </c>
      <c r="E696" s="1" t="s">
        <v>745</v>
      </c>
    </row>
    <row r="697" spans="1:5" hidden="1" x14ac:dyDescent="0.25">
      <c r="A697" s="1" t="s">
        <v>1633</v>
      </c>
      <c r="B697" s="1" t="s">
        <v>1634</v>
      </c>
      <c r="C697" s="1" t="s">
        <v>5</v>
      </c>
      <c r="D697">
        <v>160.97292976</v>
      </c>
      <c r="E697" s="1" t="s">
        <v>1628</v>
      </c>
    </row>
    <row r="698" spans="1:5" hidden="1" x14ac:dyDescent="0.25">
      <c r="A698" s="1" t="s">
        <v>746</v>
      </c>
      <c r="B698" s="1" t="s">
        <v>747</v>
      </c>
      <c r="C698" s="1" t="s">
        <v>5</v>
      </c>
      <c r="D698">
        <v>173.05211600000001</v>
      </c>
      <c r="E698" s="1" t="s">
        <v>745</v>
      </c>
    </row>
    <row r="699" spans="1:5" hidden="1" x14ac:dyDescent="0.25">
      <c r="A699" s="1" t="s">
        <v>1029</v>
      </c>
      <c r="B699" s="1" t="s">
        <v>1030</v>
      </c>
      <c r="C699" s="1" t="s">
        <v>5</v>
      </c>
      <c r="D699">
        <v>175.05433088000001</v>
      </c>
      <c r="E699" s="1" t="s">
        <v>582</v>
      </c>
    </row>
    <row r="700" spans="1:5" hidden="1" x14ac:dyDescent="0.25">
      <c r="A700" s="1" t="s">
        <v>560</v>
      </c>
      <c r="B700" s="1" t="s">
        <v>561</v>
      </c>
      <c r="C700" s="1" t="s">
        <v>5</v>
      </c>
      <c r="D700">
        <v>177.17142655999999</v>
      </c>
      <c r="E700" s="1" t="s">
        <v>523</v>
      </c>
    </row>
    <row r="701" spans="1:5" hidden="1" x14ac:dyDescent="0.25">
      <c r="A701" s="1" t="s">
        <v>765</v>
      </c>
      <c r="B701" s="1" t="s">
        <v>766</v>
      </c>
      <c r="C701" s="1" t="s">
        <v>5</v>
      </c>
      <c r="D701">
        <v>181.2165238</v>
      </c>
      <c r="E701" s="1" t="s">
        <v>754</v>
      </c>
    </row>
    <row r="702" spans="1:5" hidden="1" x14ac:dyDescent="0.25">
      <c r="A702" s="1" t="s">
        <v>1389</v>
      </c>
      <c r="B702" s="1" t="s">
        <v>1390</v>
      </c>
      <c r="C702" s="1" t="s">
        <v>5</v>
      </c>
      <c r="D702">
        <v>183.8739392</v>
      </c>
      <c r="E702" s="1" t="s">
        <v>536</v>
      </c>
    </row>
    <row r="703" spans="1:5" hidden="1" x14ac:dyDescent="0.25">
      <c r="A703" s="1" t="s">
        <v>905</v>
      </c>
      <c r="B703" s="1" t="s">
        <v>906</v>
      </c>
      <c r="C703" s="1" t="s">
        <v>5</v>
      </c>
      <c r="D703">
        <v>184.0757438</v>
      </c>
      <c r="E703" s="1" t="s">
        <v>898</v>
      </c>
    </row>
    <row r="704" spans="1:5" hidden="1" x14ac:dyDescent="0.25">
      <c r="A704" s="1" t="s">
        <v>901</v>
      </c>
      <c r="B704" s="1" t="s">
        <v>902</v>
      </c>
      <c r="C704" s="1" t="s">
        <v>5</v>
      </c>
      <c r="D704">
        <v>189.70944144000001</v>
      </c>
      <c r="E704" s="1" t="s">
        <v>898</v>
      </c>
    </row>
    <row r="705" spans="1:5" hidden="1" x14ac:dyDescent="0.25">
      <c r="A705" s="1" t="s">
        <v>1878</v>
      </c>
      <c r="B705" s="1" t="s">
        <v>1879</v>
      </c>
      <c r="C705" s="1" t="s">
        <v>5</v>
      </c>
      <c r="D705">
        <v>206.875</v>
      </c>
      <c r="E705" s="1" t="s">
        <v>525</v>
      </c>
    </row>
    <row r="706" spans="1:5" hidden="1" x14ac:dyDescent="0.25">
      <c r="A706" s="1" t="s">
        <v>1755</v>
      </c>
      <c r="B706" s="1" t="s">
        <v>1756</v>
      </c>
      <c r="C706" s="1" t="s">
        <v>5</v>
      </c>
      <c r="D706">
        <v>209.16532799999999</v>
      </c>
      <c r="E706" s="1" t="s">
        <v>525</v>
      </c>
    </row>
    <row r="707" spans="1:5" hidden="1" x14ac:dyDescent="0.25">
      <c r="A707" s="1" t="s">
        <v>1403</v>
      </c>
      <c r="B707" s="1" t="s">
        <v>1404</v>
      </c>
      <c r="C707" s="1" t="s">
        <v>5</v>
      </c>
      <c r="D707">
        <v>213.1841556</v>
      </c>
      <c r="E707" s="1" t="s">
        <v>745</v>
      </c>
    </row>
    <row r="708" spans="1:5" hidden="1" x14ac:dyDescent="0.25">
      <c r="A708" s="1" t="s">
        <v>1556</v>
      </c>
      <c r="B708" s="1" t="s">
        <v>1557</v>
      </c>
      <c r="C708" s="1" t="s">
        <v>5</v>
      </c>
      <c r="D708">
        <v>214.04323656</v>
      </c>
      <c r="E708" s="1" t="s">
        <v>1558</v>
      </c>
    </row>
    <row r="709" spans="1:5" hidden="1" x14ac:dyDescent="0.25">
      <c r="A709" s="1" t="s">
        <v>552</v>
      </c>
      <c r="B709" s="1" t="s">
        <v>553</v>
      </c>
      <c r="C709" s="1" t="s">
        <v>5</v>
      </c>
      <c r="D709">
        <v>233.45026799999999</v>
      </c>
      <c r="E709" s="1" t="s">
        <v>525</v>
      </c>
    </row>
    <row r="710" spans="1:5" hidden="1" x14ac:dyDescent="0.25">
      <c r="A710" s="1" t="s">
        <v>1620</v>
      </c>
      <c r="B710" s="1" t="s">
        <v>1621</v>
      </c>
      <c r="C710" s="1" t="s">
        <v>5</v>
      </c>
      <c r="D710">
        <v>238.43670180000001</v>
      </c>
      <c r="E710" s="1" t="s">
        <v>525</v>
      </c>
    </row>
    <row r="711" spans="1:5" hidden="1" x14ac:dyDescent="0.25">
      <c r="A711" s="1" t="s">
        <v>1622</v>
      </c>
      <c r="B711" s="1" t="s">
        <v>1623</v>
      </c>
      <c r="C711" s="1" t="s">
        <v>5</v>
      </c>
      <c r="D711">
        <v>256.39999999999998</v>
      </c>
      <c r="E711" s="1" t="s">
        <v>525</v>
      </c>
    </row>
    <row r="712" spans="1:5" hidden="1" x14ac:dyDescent="0.25">
      <c r="A712" s="1" t="s">
        <v>1848</v>
      </c>
      <c r="B712" s="1" t="s">
        <v>1849</v>
      </c>
      <c r="C712" s="1" t="s">
        <v>5</v>
      </c>
      <c r="D712">
        <v>266.62845440000001</v>
      </c>
      <c r="E712" s="1" t="s">
        <v>745</v>
      </c>
    </row>
    <row r="713" spans="1:5" hidden="1" x14ac:dyDescent="0.25">
      <c r="A713" s="1" t="s">
        <v>585</v>
      </c>
      <c r="B713" s="1" t="s">
        <v>586</v>
      </c>
      <c r="C713" s="1" t="s">
        <v>5</v>
      </c>
      <c r="D713">
        <v>291.09861119999999</v>
      </c>
      <c r="E713" s="1" t="s">
        <v>525</v>
      </c>
    </row>
    <row r="714" spans="1:5" hidden="1" x14ac:dyDescent="0.25">
      <c r="A714" s="1" t="s">
        <v>1866</v>
      </c>
      <c r="B714" s="1" t="s">
        <v>1867</v>
      </c>
      <c r="C714" s="1" t="s">
        <v>5</v>
      </c>
      <c r="D714">
        <v>303.70835119999998</v>
      </c>
      <c r="E714" s="1" t="s">
        <v>609</v>
      </c>
    </row>
    <row r="715" spans="1:5" hidden="1" x14ac:dyDescent="0.25">
      <c r="A715" s="1" t="s">
        <v>1661</v>
      </c>
      <c r="B715" s="1" t="s">
        <v>1662</v>
      </c>
      <c r="C715" s="1" t="s">
        <v>5</v>
      </c>
      <c r="D715">
        <v>320</v>
      </c>
      <c r="E715" s="1" t="s">
        <v>1660</v>
      </c>
    </row>
    <row r="716" spans="1:5" hidden="1" x14ac:dyDescent="0.25">
      <c r="A716" s="1" t="s">
        <v>1768</v>
      </c>
      <c r="B716" s="1" t="s">
        <v>1769</v>
      </c>
      <c r="C716" s="1" t="s">
        <v>5</v>
      </c>
      <c r="D716">
        <v>355.58180800000002</v>
      </c>
      <c r="E716" s="1" t="s">
        <v>537</v>
      </c>
    </row>
    <row r="717" spans="1:5" hidden="1" x14ac:dyDescent="0.25">
      <c r="A717" s="1" t="s">
        <v>1399</v>
      </c>
      <c r="B717" s="1" t="s">
        <v>1400</v>
      </c>
      <c r="C717" s="1" t="s">
        <v>5</v>
      </c>
      <c r="D717">
        <v>364.32259071999999</v>
      </c>
      <c r="E717" s="1" t="s">
        <v>745</v>
      </c>
    </row>
    <row r="718" spans="1:5" hidden="1" x14ac:dyDescent="0.25">
      <c r="A718" s="1" t="s">
        <v>1800</v>
      </c>
      <c r="B718" s="1" t="s">
        <v>1801</v>
      </c>
      <c r="C718" s="1" t="s">
        <v>5</v>
      </c>
      <c r="D718">
        <v>374.23047808000001</v>
      </c>
      <c r="E718" s="1" t="s">
        <v>602</v>
      </c>
    </row>
    <row r="719" spans="1:5" hidden="1" x14ac:dyDescent="0.25">
      <c r="A719" s="1" t="s">
        <v>1104</v>
      </c>
      <c r="B719" s="1" t="s">
        <v>1105</v>
      </c>
      <c r="C719" s="1" t="s">
        <v>5</v>
      </c>
      <c r="D719">
        <v>417.14</v>
      </c>
      <c r="E719" s="1" t="s">
        <v>745</v>
      </c>
    </row>
    <row r="720" spans="1:5" hidden="1" x14ac:dyDescent="0.25">
      <c r="A720" s="1" t="s">
        <v>1852</v>
      </c>
      <c r="B720" s="1" t="s">
        <v>1853</v>
      </c>
      <c r="C720" s="1" t="s">
        <v>5</v>
      </c>
      <c r="D720">
        <v>417.14</v>
      </c>
      <c r="E720" s="1" t="s">
        <v>745</v>
      </c>
    </row>
    <row r="721" spans="1:5" hidden="1" x14ac:dyDescent="0.25">
      <c r="A721" s="1" t="s">
        <v>1563</v>
      </c>
      <c r="B721" s="1" t="s">
        <v>1564</v>
      </c>
      <c r="C721" s="1" t="s">
        <v>5</v>
      </c>
      <c r="D721">
        <v>430.9715392</v>
      </c>
      <c r="E721" s="1" t="s">
        <v>1558</v>
      </c>
    </row>
    <row r="722" spans="1:5" hidden="1" x14ac:dyDescent="0.25">
      <c r="A722" s="1" t="s">
        <v>1571</v>
      </c>
      <c r="B722" s="1" t="s">
        <v>1572</v>
      </c>
      <c r="C722" s="1" t="s">
        <v>5</v>
      </c>
      <c r="D722">
        <v>466.20490799999999</v>
      </c>
      <c r="E722" s="1" t="s">
        <v>1573</v>
      </c>
    </row>
    <row r="723" spans="1:5" hidden="1" x14ac:dyDescent="0.25">
      <c r="A723" s="1" t="s">
        <v>1594</v>
      </c>
      <c r="B723" s="1" t="s">
        <v>1595</v>
      </c>
      <c r="C723" s="1" t="s">
        <v>5</v>
      </c>
      <c r="D723">
        <v>561.01382980000005</v>
      </c>
      <c r="E723" s="1" t="s">
        <v>1587</v>
      </c>
    </row>
    <row r="724" spans="1:5" hidden="1" x14ac:dyDescent="0.25">
      <c r="A724" s="1" t="s">
        <v>544</v>
      </c>
      <c r="B724" s="1" t="s">
        <v>545</v>
      </c>
      <c r="C724" s="1" t="s">
        <v>5</v>
      </c>
      <c r="D724">
        <v>907.94712368</v>
      </c>
      <c r="E724" s="1" t="s">
        <v>522</v>
      </c>
    </row>
    <row r="725" spans="1:5" hidden="1" x14ac:dyDescent="0.25">
      <c r="A725" s="1" t="s">
        <v>1250</v>
      </c>
      <c r="B725" s="1" t="s">
        <v>1251</v>
      </c>
      <c r="C725" s="1" t="s">
        <v>5</v>
      </c>
      <c r="D725">
        <v>1350.6814136190001</v>
      </c>
      <c r="E725" s="1" t="s">
        <v>1249</v>
      </c>
    </row>
    <row r="726" spans="1:5" hidden="1" x14ac:dyDescent="0.25">
      <c r="A726" s="1" t="s">
        <v>1856</v>
      </c>
      <c r="B726" s="1" t="s">
        <v>1857</v>
      </c>
      <c r="C726" s="1" t="s">
        <v>5</v>
      </c>
      <c r="D726">
        <v>1391.3279152</v>
      </c>
      <c r="E726" s="1" t="s">
        <v>745</v>
      </c>
    </row>
    <row r="727" spans="1:5" hidden="1" x14ac:dyDescent="0.25">
      <c r="A727" s="1" t="s">
        <v>1567</v>
      </c>
      <c r="B727" s="1" t="s">
        <v>1568</v>
      </c>
      <c r="C727" s="1" t="s">
        <v>5</v>
      </c>
      <c r="D727">
        <v>1719.8772254999999</v>
      </c>
      <c r="E727" s="1" t="s">
        <v>602</v>
      </c>
    </row>
    <row r="728" spans="1:5" hidden="1" x14ac:dyDescent="0.25">
      <c r="A728" s="1" t="s">
        <v>1407</v>
      </c>
      <c r="B728" s="1" t="s">
        <v>1408</v>
      </c>
      <c r="C728" s="1" t="s">
        <v>5</v>
      </c>
      <c r="D728">
        <v>3106.9970560000002</v>
      </c>
      <c r="E728" s="1" t="s">
        <v>745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521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524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202"/>
  <sheetViews>
    <sheetView tabSelected="1" zoomScale="85" zoomScaleNormal="85" workbookViewId="0">
      <pane ySplit="1" topLeftCell="A2" activePane="bottomLeft" state="frozen"/>
      <selection activeCell="I32" sqref="I32"/>
      <selection pane="bottomLeft" activeCell="G43" sqref="G43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4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200</v>
      </c>
      <c r="C2" s="28"/>
      <c r="D2" s="28"/>
      <c r="E2" s="28"/>
      <c r="F2" s="28"/>
      <c r="G2" s="52" t="e">
        <f>IF(M2="","",VLOOKUP(M2,MASTER!$B$11:$C$30,2,0))</f>
        <v>#N/A</v>
      </c>
      <c r="H2" s="28" t="s">
        <v>41</v>
      </c>
      <c r="I2" s="28" t="s">
        <v>42</v>
      </c>
      <c r="J2" s="28" t="s">
        <v>3</v>
      </c>
      <c r="K2" s="28">
        <v>1</v>
      </c>
      <c r="L2" s="28" t="s">
        <v>40</v>
      </c>
      <c r="M2" s="52" t="e">
        <f>IF(L2="","",VLOOKUP(L2,$A$10:$B$29,2,0))</f>
        <v>#N/A</v>
      </c>
      <c r="N2" s="52">
        <f>IF(K2="","",K2)</f>
        <v>1</v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200</v>
      </c>
      <c r="C3" s="28"/>
      <c r="D3" s="28"/>
      <c r="E3" s="28"/>
      <c r="F3" s="28"/>
      <c r="G3" s="52" t="e">
        <f>IF(M3="","",VLOOKUP(M3,MASTER!$B$11:$C$30,2,0))</f>
        <v>#N/A</v>
      </c>
      <c r="H3" s="2" t="s">
        <v>43</v>
      </c>
      <c r="I3" s="2" t="s">
        <v>44</v>
      </c>
      <c r="J3" s="2" t="s">
        <v>3</v>
      </c>
      <c r="K3" s="2">
        <v>1</v>
      </c>
      <c r="L3" s="2" t="s">
        <v>40</v>
      </c>
      <c r="M3" s="52" t="e">
        <f t="shared" ref="M3:M66" si="0">IF(L3="","",VLOOKUP(L3,$A$10:$B$29,2,0))</f>
        <v>#N/A</v>
      </c>
      <c r="N3" s="52">
        <f t="shared" ref="N3:N66" si="1">IF(K3="","",K3)</f>
        <v>1</v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50</v>
      </c>
      <c r="C4" s="55"/>
      <c r="D4" s="55"/>
      <c r="E4" s="28"/>
      <c r="F4" s="28"/>
      <c r="G4" s="52" t="e">
        <f>IF(M4="","",VLOOKUP(M4,MASTER!$B$11:$C$30,2,0))</f>
        <v>#N/A</v>
      </c>
      <c r="H4" s="2" t="s">
        <v>45</v>
      </c>
      <c r="I4" s="2" t="s">
        <v>46</v>
      </c>
      <c r="J4" s="2" t="s">
        <v>3</v>
      </c>
      <c r="K4" s="2">
        <v>1</v>
      </c>
      <c r="L4" s="2" t="s">
        <v>40</v>
      </c>
      <c r="M4" s="52" t="e">
        <f t="shared" si="0"/>
        <v>#N/A</v>
      </c>
      <c r="N4" s="52">
        <f t="shared" si="1"/>
        <v>1</v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e">
        <f>IF(M5="","",VLOOKUP(M5,MASTER!$B$11:$C$30,2,0))</f>
        <v>#N/A</v>
      </c>
      <c r="H5" s="2" t="s">
        <v>47</v>
      </c>
      <c r="I5" s="2" t="s">
        <v>48</v>
      </c>
      <c r="J5" s="2" t="s">
        <v>3</v>
      </c>
      <c r="K5" s="2">
        <v>1</v>
      </c>
      <c r="L5" s="2" t="s">
        <v>40</v>
      </c>
      <c r="M5" s="52" t="e">
        <f t="shared" si="0"/>
        <v>#N/A</v>
      </c>
      <c r="N5" s="52">
        <f t="shared" si="1"/>
        <v>1</v>
      </c>
      <c r="O5" s="2"/>
      <c r="P5" s="2"/>
      <c r="Q5" s="2"/>
      <c r="R5" s="2"/>
      <c r="S5" s="25"/>
    </row>
    <row r="6" spans="1:19" x14ac:dyDescent="0.25">
      <c r="A6" s="33" t="s">
        <v>28</v>
      </c>
      <c r="B6" s="34">
        <f>AVERAGE(K2:K201)</f>
        <v>1</v>
      </c>
      <c r="C6" s="28"/>
      <c r="D6" s="28"/>
      <c r="E6" s="28"/>
      <c r="F6" s="28"/>
      <c r="G6" s="52" t="e">
        <f>IF(M6="","",VLOOKUP(M6,MASTER!$B$11:$C$30,2,0))</f>
        <v>#N/A</v>
      </c>
      <c r="H6" s="2" t="s">
        <v>49</v>
      </c>
      <c r="I6" s="2" t="s">
        <v>50</v>
      </c>
      <c r="J6" s="2" t="s">
        <v>3</v>
      </c>
      <c r="K6" s="2">
        <v>1</v>
      </c>
      <c r="L6" s="2" t="s">
        <v>40</v>
      </c>
      <c r="M6" s="52" t="e">
        <f t="shared" si="0"/>
        <v>#N/A</v>
      </c>
      <c r="N6" s="52">
        <f t="shared" si="1"/>
        <v>1</v>
      </c>
      <c r="O6" s="2"/>
      <c r="P6" s="2"/>
      <c r="Q6" s="2"/>
      <c r="R6" s="2"/>
      <c r="S6" s="25"/>
    </row>
    <row r="7" spans="1:19" x14ac:dyDescent="0.25">
      <c r="A7" s="33" t="s">
        <v>29</v>
      </c>
      <c r="B7" s="34">
        <f>_xlfn.STDEV.S(C10:C14)</f>
        <v>0</v>
      </c>
      <c r="C7" s="28"/>
      <c r="D7" s="28"/>
      <c r="E7" s="28"/>
      <c r="F7" s="28"/>
      <c r="G7" s="52" t="e">
        <f>IF(M7="","",VLOOKUP(M7,MASTER!$B$11:$C$30,2,0))</f>
        <v>#N/A</v>
      </c>
      <c r="H7" s="2" t="s">
        <v>51</v>
      </c>
      <c r="I7" s="2" t="s">
        <v>52</v>
      </c>
      <c r="J7" s="2" t="s">
        <v>3</v>
      </c>
      <c r="K7" s="2">
        <v>1</v>
      </c>
      <c r="L7" s="2" t="s">
        <v>40</v>
      </c>
      <c r="M7" s="52" t="e">
        <f t="shared" si="0"/>
        <v>#N/A</v>
      </c>
      <c r="N7" s="52">
        <f t="shared" si="1"/>
        <v>1</v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e">
        <f>IF(M8="","",VLOOKUP(M8,MASTER!$B$11:$C$30,2,0))</f>
        <v>#N/A</v>
      </c>
      <c r="H8" s="2" t="s">
        <v>53</v>
      </c>
      <c r="I8" s="2" t="s">
        <v>54</v>
      </c>
      <c r="J8" s="2" t="s">
        <v>3</v>
      </c>
      <c r="K8" s="2">
        <v>1</v>
      </c>
      <c r="L8" s="2" t="s">
        <v>40</v>
      </c>
      <c r="M8" s="52" t="e">
        <f t="shared" si="0"/>
        <v>#N/A</v>
      </c>
      <c r="N8" s="52">
        <f t="shared" si="1"/>
        <v>1</v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e">
        <f>IF(M9="","",VLOOKUP(M9,MASTER!$B$11:$C$30,2,0))</f>
        <v>#N/A</v>
      </c>
      <c r="H9" s="2" t="s">
        <v>55</v>
      </c>
      <c r="I9" s="2" t="s">
        <v>56</v>
      </c>
      <c r="J9" s="2" t="s">
        <v>3</v>
      </c>
      <c r="K9" s="2">
        <v>1</v>
      </c>
      <c r="L9" s="2" t="s">
        <v>40</v>
      </c>
      <c r="M9" s="52" t="e">
        <f t="shared" si="0"/>
        <v>#N/A</v>
      </c>
      <c r="N9" s="52">
        <f t="shared" si="1"/>
        <v>1</v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e">
        <f>IF(M10="","",VLOOKUP(M10,MASTER!$B$11:$C$30,2,0))</f>
        <v>#N/A</v>
      </c>
      <c r="H10" s="2" t="s">
        <v>57</v>
      </c>
      <c r="I10" s="2" t="s">
        <v>58</v>
      </c>
      <c r="J10" s="2" t="s">
        <v>3</v>
      </c>
      <c r="K10" s="2">
        <v>1</v>
      </c>
      <c r="L10" s="2" t="s">
        <v>40</v>
      </c>
      <c r="M10" s="52" t="e">
        <f t="shared" si="0"/>
        <v>#N/A</v>
      </c>
      <c r="N10" s="52">
        <f t="shared" si="1"/>
        <v>1</v>
      </c>
      <c r="O10" s="2"/>
      <c r="P10" s="2"/>
      <c r="Q10" s="2"/>
      <c r="R10" s="2"/>
      <c r="S10" s="25"/>
    </row>
    <row r="11" spans="1:19" x14ac:dyDescent="0.25">
      <c r="A11" s="44">
        <f>IF(B11="","",2)</f>
        <v>2</v>
      </c>
      <c r="B11" s="39" t="str">
        <f>IF(MASTER!B12=0,"",MASTER!B12)</f>
        <v>Robert Bronstein</v>
      </c>
      <c r="C11" s="45">
        <f t="shared" si="2"/>
        <v>0</v>
      </c>
      <c r="D11" s="46">
        <f t="shared" si="3"/>
        <v>0</v>
      </c>
      <c r="E11" s="39"/>
      <c r="F11" s="28"/>
      <c r="G11" s="52" t="e">
        <f>IF(M11="","",VLOOKUP(M11,MASTER!$B$11:$C$30,2,0))</f>
        <v>#N/A</v>
      </c>
      <c r="H11" s="2" t="s">
        <v>59</v>
      </c>
      <c r="I11" s="2" t="s">
        <v>60</v>
      </c>
      <c r="J11" s="2" t="s">
        <v>3</v>
      </c>
      <c r="K11" s="2">
        <v>1</v>
      </c>
      <c r="L11" s="2" t="s">
        <v>40</v>
      </c>
      <c r="M11" s="52" t="e">
        <f t="shared" si="0"/>
        <v>#N/A</v>
      </c>
      <c r="N11" s="52">
        <f t="shared" si="1"/>
        <v>1</v>
      </c>
      <c r="O11" s="2"/>
      <c r="P11" s="2"/>
      <c r="Q11" s="2"/>
      <c r="R11" s="2"/>
      <c r="S11" s="25"/>
    </row>
    <row r="12" spans="1:19" x14ac:dyDescent="0.25">
      <c r="A12" s="44">
        <f>IF(B12="","",3)</f>
        <v>3</v>
      </c>
      <c r="B12" s="39" t="str">
        <f>IF(MASTER!B13=0,"",MASTER!B13)</f>
        <v>Katherine Gowdey</v>
      </c>
      <c r="C12" s="45">
        <f t="shared" si="2"/>
        <v>0</v>
      </c>
      <c r="D12" s="46">
        <f t="shared" si="3"/>
        <v>0</v>
      </c>
      <c r="E12" s="39"/>
      <c r="F12" s="28"/>
      <c r="G12" s="52" t="e">
        <f>IF(M12="","",VLOOKUP(M12,MASTER!$B$11:$C$30,2,0))</f>
        <v>#N/A</v>
      </c>
      <c r="H12" s="2" t="s">
        <v>61</v>
      </c>
      <c r="I12" s="2" t="s">
        <v>62</v>
      </c>
      <c r="J12" s="2" t="s">
        <v>3</v>
      </c>
      <c r="K12" s="2">
        <v>1</v>
      </c>
      <c r="L12" s="2" t="s">
        <v>40</v>
      </c>
      <c r="M12" s="52" t="e">
        <f t="shared" si="0"/>
        <v>#N/A</v>
      </c>
      <c r="N12" s="52">
        <f t="shared" si="1"/>
        <v>1</v>
      </c>
      <c r="O12" s="2"/>
      <c r="P12" s="2"/>
      <c r="Q12" s="2"/>
      <c r="R12" s="2"/>
      <c r="S12" s="25"/>
    </row>
    <row r="13" spans="1:19" x14ac:dyDescent="0.25">
      <c r="A13" s="44">
        <f>IF(B13="","",4)</f>
        <v>4</v>
      </c>
      <c r="B13" s="39" t="str">
        <f>IF(MASTER!B14=0,"",MASTER!B14)</f>
        <v>Hailey McVey</v>
      </c>
      <c r="C13" s="45">
        <f t="shared" si="2"/>
        <v>0</v>
      </c>
      <c r="D13" s="46">
        <f t="shared" si="3"/>
        <v>0</v>
      </c>
      <c r="E13" s="39"/>
      <c r="F13" s="28"/>
      <c r="G13" s="52" t="e">
        <f>IF(M13="","",VLOOKUP(M13,MASTER!$B$11:$C$30,2,0))</f>
        <v>#N/A</v>
      </c>
      <c r="H13" s="2" t="s">
        <v>63</v>
      </c>
      <c r="I13" s="2" t="s">
        <v>64</v>
      </c>
      <c r="J13" s="2" t="s">
        <v>3</v>
      </c>
      <c r="K13" s="2">
        <v>1</v>
      </c>
      <c r="L13" s="2" t="s">
        <v>40</v>
      </c>
      <c r="M13" s="52" t="e">
        <f t="shared" si="0"/>
        <v>#N/A</v>
      </c>
      <c r="N13" s="52">
        <f t="shared" si="1"/>
        <v>1</v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e">
        <f>IF(M14="","",VLOOKUP(M14,MASTER!$B$11:$C$30,2,0))</f>
        <v>#N/A</v>
      </c>
      <c r="H14" s="2" t="s">
        <v>65</v>
      </c>
      <c r="I14" s="2" t="s">
        <v>66</v>
      </c>
      <c r="J14" s="2" t="s">
        <v>3</v>
      </c>
      <c r="K14" s="2">
        <v>1</v>
      </c>
      <c r="L14" s="2" t="s">
        <v>40</v>
      </c>
      <c r="M14" s="52" t="e">
        <f t="shared" si="0"/>
        <v>#N/A</v>
      </c>
      <c r="N14" s="52">
        <f t="shared" si="1"/>
        <v>1</v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e">
        <f>IF(M15="","",VLOOKUP(M15,MASTER!$B$11:$C$30,2,0))</f>
        <v>#N/A</v>
      </c>
      <c r="H15" s="2" t="s">
        <v>67</v>
      </c>
      <c r="I15" s="2" t="s">
        <v>68</v>
      </c>
      <c r="J15" s="2" t="s">
        <v>3</v>
      </c>
      <c r="K15" s="2">
        <v>1</v>
      </c>
      <c r="L15" s="2" t="s">
        <v>40</v>
      </c>
      <c r="M15" s="52" t="e">
        <f t="shared" si="0"/>
        <v>#N/A</v>
      </c>
      <c r="N15" s="52">
        <f t="shared" si="1"/>
        <v>1</v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e">
        <f>IF(M16="","",VLOOKUP(M16,MASTER!$B$11:$C$30,2,0))</f>
        <v>#N/A</v>
      </c>
      <c r="H16" s="2" t="s">
        <v>69</v>
      </c>
      <c r="I16" s="2" t="s">
        <v>70</v>
      </c>
      <c r="J16" s="2" t="s">
        <v>3</v>
      </c>
      <c r="K16" s="2">
        <v>1</v>
      </c>
      <c r="L16" s="2" t="s">
        <v>40</v>
      </c>
      <c r="M16" s="52" t="e">
        <f t="shared" si="0"/>
        <v>#N/A</v>
      </c>
      <c r="N16" s="52">
        <f t="shared" si="1"/>
        <v>1</v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e">
        <f>IF(M17="","",VLOOKUP(M17,MASTER!$B$11:$C$30,2,0))</f>
        <v>#N/A</v>
      </c>
      <c r="H17" s="2" t="s">
        <v>71</v>
      </c>
      <c r="I17" s="2" t="s">
        <v>72</v>
      </c>
      <c r="J17" s="2" t="s">
        <v>3</v>
      </c>
      <c r="K17" s="2">
        <v>1</v>
      </c>
      <c r="L17" s="2" t="s">
        <v>40</v>
      </c>
      <c r="M17" s="52" t="e">
        <f t="shared" si="0"/>
        <v>#N/A</v>
      </c>
      <c r="N17" s="52">
        <f t="shared" si="1"/>
        <v>1</v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e">
        <f>IF(M18="","",VLOOKUP(M18,MASTER!$B$11:$C$30,2,0))</f>
        <v>#N/A</v>
      </c>
      <c r="H18" s="2" t="s">
        <v>73</v>
      </c>
      <c r="I18" s="2" t="s">
        <v>74</v>
      </c>
      <c r="J18" s="2" t="s">
        <v>3</v>
      </c>
      <c r="K18" s="2">
        <v>1</v>
      </c>
      <c r="L18" s="2" t="s">
        <v>40</v>
      </c>
      <c r="M18" s="52" t="e">
        <f t="shared" si="0"/>
        <v>#N/A</v>
      </c>
      <c r="N18" s="52">
        <f t="shared" si="1"/>
        <v>1</v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e">
        <f>IF(M19="","",VLOOKUP(M19,MASTER!$B$11:$C$30,2,0))</f>
        <v>#N/A</v>
      </c>
      <c r="H19" s="2" t="s">
        <v>75</v>
      </c>
      <c r="I19" s="2" t="s">
        <v>76</v>
      </c>
      <c r="J19" s="2" t="s">
        <v>3</v>
      </c>
      <c r="K19" s="2">
        <v>1</v>
      </c>
      <c r="L19" s="2" t="s">
        <v>40</v>
      </c>
      <c r="M19" s="52" t="e">
        <f t="shared" si="0"/>
        <v>#N/A</v>
      </c>
      <c r="N19" s="52">
        <f t="shared" si="1"/>
        <v>1</v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e">
        <f>IF(M20="","",VLOOKUP(M20,MASTER!$B$11:$C$30,2,0))</f>
        <v>#N/A</v>
      </c>
      <c r="H20" s="2" t="s">
        <v>77</v>
      </c>
      <c r="I20" s="2" t="s">
        <v>78</v>
      </c>
      <c r="J20" s="2" t="s">
        <v>3</v>
      </c>
      <c r="K20" s="2">
        <v>1</v>
      </c>
      <c r="L20" s="2" t="s">
        <v>40</v>
      </c>
      <c r="M20" s="52" t="e">
        <f t="shared" si="0"/>
        <v>#N/A</v>
      </c>
      <c r="N20" s="52">
        <f t="shared" si="1"/>
        <v>1</v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e">
        <f>IF(M21="","",VLOOKUP(M21,MASTER!$B$11:$C$30,2,0))</f>
        <v>#N/A</v>
      </c>
      <c r="H21" s="2" t="s">
        <v>79</v>
      </c>
      <c r="I21" s="2" t="s">
        <v>80</v>
      </c>
      <c r="J21" s="2" t="s">
        <v>3</v>
      </c>
      <c r="K21" s="2">
        <v>1</v>
      </c>
      <c r="L21" s="2" t="s">
        <v>40</v>
      </c>
      <c r="M21" s="52" t="e">
        <f t="shared" si="0"/>
        <v>#N/A</v>
      </c>
      <c r="N21" s="52">
        <f t="shared" si="1"/>
        <v>1</v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e">
        <f>IF(M22="","",VLOOKUP(M22,MASTER!$B$11:$C$30,2,0))</f>
        <v>#N/A</v>
      </c>
      <c r="H22" s="2" t="s">
        <v>81</v>
      </c>
      <c r="I22" s="2" t="s">
        <v>82</v>
      </c>
      <c r="J22" s="2" t="s">
        <v>3</v>
      </c>
      <c r="K22" s="2">
        <v>1</v>
      </c>
      <c r="L22" s="2" t="s">
        <v>40</v>
      </c>
      <c r="M22" s="52" t="e">
        <f t="shared" si="0"/>
        <v>#N/A</v>
      </c>
      <c r="N22" s="52">
        <f t="shared" si="1"/>
        <v>1</v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e">
        <f>IF(M23="","",VLOOKUP(M23,MASTER!$B$11:$C$30,2,0))</f>
        <v>#N/A</v>
      </c>
      <c r="H23" s="2" t="s">
        <v>83</v>
      </c>
      <c r="I23" s="2" t="s">
        <v>84</v>
      </c>
      <c r="J23" s="2" t="s">
        <v>3</v>
      </c>
      <c r="K23" s="2">
        <v>1</v>
      </c>
      <c r="L23" s="2" t="s">
        <v>40</v>
      </c>
      <c r="M23" s="52" t="e">
        <f t="shared" si="0"/>
        <v>#N/A</v>
      </c>
      <c r="N23" s="52">
        <f t="shared" si="1"/>
        <v>1</v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e">
        <f>IF(M24="","",VLOOKUP(M24,MASTER!$B$11:$C$30,2,0))</f>
        <v>#N/A</v>
      </c>
      <c r="H24" s="2" t="s">
        <v>85</v>
      </c>
      <c r="I24" s="2" t="s">
        <v>86</v>
      </c>
      <c r="J24" s="2" t="s">
        <v>3</v>
      </c>
      <c r="K24" s="2">
        <v>1</v>
      </c>
      <c r="L24" s="2" t="s">
        <v>40</v>
      </c>
      <c r="M24" s="52" t="e">
        <f t="shared" si="0"/>
        <v>#N/A</v>
      </c>
      <c r="N24" s="52">
        <f t="shared" si="1"/>
        <v>1</v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e">
        <f>IF(M25="","",VLOOKUP(M25,MASTER!$B$11:$C$30,2,0))</f>
        <v>#N/A</v>
      </c>
      <c r="H25" s="2" t="s">
        <v>87</v>
      </c>
      <c r="I25" s="2" t="s">
        <v>88</v>
      </c>
      <c r="J25" s="2" t="s">
        <v>3</v>
      </c>
      <c r="K25" s="2">
        <v>1</v>
      </c>
      <c r="L25" s="2" t="s">
        <v>40</v>
      </c>
      <c r="M25" s="52" t="e">
        <f t="shared" si="0"/>
        <v>#N/A</v>
      </c>
      <c r="N25" s="52">
        <f t="shared" si="1"/>
        <v>1</v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e">
        <f>IF(M26="","",VLOOKUP(M26,MASTER!$B$11:$C$30,2,0))</f>
        <v>#N/A</v>
      </c>
      <c r="H26" s="2" t="s">
        <v>89</v>
      </c>
      <c r="I26" s="2" t="s">
        <v>90</v>
      </c>
      <c r="J26" s="2" t="s">
        <v>3</v>
      </c>
      <c r="K26" s="2">
        <v>1</v>
      </c>
      <c r="L26" s="2" t="s">
        <v>40</v>
      </c>
      <c r="M26" s="52" t="e">
        <f t="shared" si="0"/>
        <v>#N/A</v>
      </c>
      <c r="N26" s="52">
        <f t="shared" si="1"/>
        <v>1</v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e">
        <f>IF(M27="","",VLOOKUP(M27,MASTER!$B$11:$C$30,2,0))</f>
        <v>#N/A</v>
      </c>
      <c r="H27" s="2" t="s">
        <v>91</v>
      </c>
      <c r="I27" s="2" t="s">
        <v>92</v>
      </c>
      <c r="J27" s="2" t="s">
        <v>3</v>
      </c>
      <c r="K27" s="2">
        <v>1</v>
      </c>
      <c r="L27" s="2" t="s">
        <v>40</v>
      </c>
      <c r="M27" s="52" t="e">
        <f t="shared" si="0"/>
        <v>#N/A</v>
      </c>
      <c r="N27" s="52">
        <f t="shared" si="1"/>
        <v>1</v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e">
        <f>IF(M28="","",VLOOKUP(M28,MASTER!$B$11:$C$30,2,0))</f>
        <v>#N/A</v>
      </c>
      <c r="H28" s="2" t="s">
        <v>93</v>
      </c>
      <c r="I28" s="2" t="s">
        <v>94</v>
      </c>
      <c r="J28" s="2" t="s">
        <v>3</v>
      </c>
      <c r="K28" s="2">
        <v>1</v>
      </c>
      <c r="L28" s="2" t="s">
        <v>40</v>
      </c>
      <c r="M28" s="52" t="e">
        <f t="shared" si="0"/>
        <v>#N/A</v>
      </c>
      <c r="N28" s="52">
        <f t="shared" si="1"/>
        <v>1</v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e">
        <f>IF(M29="","",VLOOKUP(M29,MASTER!$B$11:$C$30,2,0))</f>
        <v>#N/A</v>
      </c>
      <c r="H29" s="2" t="s">
        <v>95</v>
      </c>
      <c r="I29" s="2" t="s">
        <v>96</v>
      </c>
      <c r="J29" s="2" t="s">
        <v>3</v>
      </c>
      <c r="K29" s="2">
        <v>1</v>
      </c>
      <c r="L29" s="2" t="s">
        <v>40</v>
      </c>
      <c r="M29" s="52" t="e">
        <f t="shared" si="0"/>
        <v>#N/A</v>
      </c>
      <c r="N29" s="52">
        <f t="shared" si="1"/>
        <v>1</v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e">
        <f>IF(M30="","",VLOOKUP(M30,MASTER!$B$11:$C$30,2,0))</f>
        <v>#N/A</v>
      </c>
      <c r="H30" s="2" t="s">
        <v>97</v>
      </c>
      <c r="I30" s="2" t="s">
        <v>98</v>
      </c>
      <c r="J30" s="2" t="s">
        <v>3</v>
      </c>
      <c r="K30" s="2">
        <v>1</v>
      </c>
      <c r="L30" s="2" t="s">
        <v>40</v>
      </c>
      <c r="M30" s="52" t="e">
        <f t="shared" si="0"/>
        <v>#N/A</v>
      </c>
      <c r="N30" s="52">
        <f t="shared" si="1"/>
        <v>1</v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e">
        <f>IF(M31="","",VLOOKUP(M31,MASTER!$B$11:$C$30,2,0))</f>
        <v>#N/A</v>
      </c>
      <c r="H31" s="2" t="s">
        <v>99</v>
      </c>
      <c r="I31" s="2" t="s">
        <v>100</v>
      </c>
      <c r="J31" s="2" t="s">
        <v>3</v>
      </c>
      <c r="K31" s="2">
        <v>1</v>
      </c>
      <c r="L31" s="2" t="s">
        <v>40</v>
      </c>
      <c r="M31" s="52" t="e">
        <f t="shared" si="0"/>
        <v>#N/A</v>
      </c>
      <c r="N31" s="52">
        <f t="shared" si="1"/>
        <v>1</v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e">
        <f>IF(M32="","",VLOOKUP(M32,MASTER!$B$11:$C$30,2,0))</f>
        <v>#N/A</v>
      </c>
      <c r="H32" s="2" t="s">
        <v>101</v>
      </c>
      <c r="I32" s="2" t="s">
        <v>102</v>
      </c>
      <c r="J32" s="2" t="s">
        <v>3</v>
      </c>
      <c r="K32" s="2">
        <v>1</v>
      </c>
      <c r="L32" s="2" t="s">
        <v>40</v>
      </c>
      <c r="M32" s="52" t="e">
        <f t="shared" si="0"/>
        <v>#N/A</v>
      </c>
      <c r="N32" s="52">
        <f t="shared" si="1"/>
        <v>1</v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e">
        <f>IF(M33="","",VLOOKUP(M33,MASTER!$B$11:$C$30,2,0))</f>
        <v>#N/A</v>
      </c>
      <c r="H33" s="2" t="s">
        <v>103</v>
      </c>
      <c r="I33" s="2" t="s">
        <v>104</v>
      </c>
      <c r="J33" s="2" t="s">
        <v>3</v>
      </c>
      <c r="K33" s="2">
        <v>1</v>
      </c>
      <c r="L33" s="2" t="s">
        <v>40</v>
      </c>
      <c r="M33" s="52" t="e">
        <f t="shared" si="0"/>
        <v>#N/A</v>
      </c>
      <c r="N33" s="52">
        <f t="shared" si="1"/>
        <v>1</v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e">
        <f>IF(M34="","",VLOOKUP(M34,MASTER!$B$11:$C$30,2,0))</f>
        <v>#N/A</v>
      </c>
      <c r="H34" s="2" t="s">
        <v>105</v>
      </c>
      <c r="I34" s="2" t="s">
        <v>106</v>
      </c>
      <c r="J34" s="2" t="s">
        <v>3</v>
      </c>
      <c r="K34" s="2">
        <v>1</v>
      </c>
      <c r="L34" s="2" t="s">
        <v>40</v>
      </c>
      <c r="M34" s="52" t="e">
        <f t="shared" si="0"/>
        <v>#N/A</v>
      </c>
      <c r="N34" s="52">
        <f t="shared" si="1"/>
        <v>1</v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e">
        <f>IF(M35="","",VLOOKUP(M35,MASTER!$B$11:$C$30,2,0))</f>
        <v>#N/A</v>
      </c>
      <c r="H35" s="2" t="s">
        <v>107</v>
      </c>
      <c r="I35" s="2" t="s">
        <v>108</v>
      </c>
      <c r="J35" s="2" t="s">
        <v>3</v>
      </c>
      <c r="K35" s="2">
        <v>1</v>
      </c>
      <c r="L35" s="2" t="s">
        <v>40</v>
      </c>
      <c r="M35" s="52" t="e">
        <f t="shared" si="0"/>
        <v>#N/A</v>
      </c>
      <c r="N35" s="52">
        <f t="shared" si="1"/>
        <v>1</v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e">
        <f>IF(M36="","",VLOOKUP(M36,MASTER!$B$11:$C$30,2,0))</f>
        <v>#N/A</v>
      </c>
      <c r="H36" s="2" t="s">
        <v>109</v>
      </c>
      <c r="I36" s="2" t="s">
        <v>110</v>
      </c>
      <c r="J36" s="2" t="s">
        <v>3</v>
      </c>
      <c r="K36" s="2">
        <v>1</v>
      </c>
      <c r="L36" s="2" t="s">
        <v>40</v>
      </c>
      <c r="M36" s="52" t="e">
        <f t="shared" si="0"/>
        <v>#N/A</v>
      </c>
      <c r="N36" s="52">
        <f t="shared" si="1"/>
        <v>1</v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e">
        <f>IF(M37="","",VLOOKUP(M37,MASTER!$B$11:$C$30,2,0))</f>
        <v>#N/A</v>
      </c>
      <c r="H37" s="2" t="s">
        <v>111</v>
      </c>
      <c r="I37" s="2" t="s">
        <v>112</v>
      </c>
      <c r="J37" s="2" t="s">
        <v>3</v>
      </c>
      <c r="K37" s="2">
        <v>1</v>
      </c>
      <c r="L37" s="2" t="s">
        <v>40</v>
      </c>
      <c r="M37" s="52" t="e">
        <f t="shared" si="0"/>
        <v>#N/A</v>
      </c>
      <c r="N37" s="52">
        <f t="shared" si="1"/>
        <v>1</v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e">
        <f>IF(M38="","",VLOOKUP(M38,MASTER!$B$11:$C$30,2,0))</f>
        <v>#N/A</v>
      </c>
      <c r="H38" s="2" t="s">
        <v>113</v>
      </c>
      <c r="I38" s="2" t="s">
        <v>114</v>
      </c>
      <c r="J38" s="2" t="s">
        <v>3</v>
      </c>
      <c r="K38" s="2">
        <v>1</v>
      </c>
      <c r="L38" s="2" t="s">
        <v>40</v>
      </c>
      <c r="M38" s="52" t="e">
        <f t="shared" si="0"/>
        <v>#N/A</v>
      </c>
      <c r="N38" s="52">
        <f t="shared" si="1"/>
        <v>1</v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e">
        <f>IF(M39="","",VLOOKUP(M39,MASTER!$B$11:$C$30,2,0))</f>
        <v>#N/A</v>
      </c>
      <c r="H39" s="2" t="s">
        <v>115</v>
      </c>
      <c r="I39" s="2" t="s">
        <v>116</v>
      </c>
      <c r="J39" s="2" t="s">
        <v>3</v>
      </c>
      <c r="K39" s="2">
        <v>1</v>
      </c>
      <c r="L39" s="2" t="s">
        <v>40</v>
      </c>
      <c r="M39" s="52" t="e">
        <f t="shared" si="0"/>
        <v>#N/A</v>
      </c>
      <c r="N39" s="52">
        <f t="shared" si="1"/>
        <v>1</v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e">
        <f>IF(M40="","",VLOOKUP(M40,MASTER!$B$11:$C$30,2,0))</f>
        <v>#N/A</v>
      </c>
      <c r="H40" s="2" t="s">
        <v>117</v>
      </c>
      <c r="I40" s="2" t="s">
        <v>118</v>
      </c>
      <c r="J40" s="2" t="s">
        <v>3</v>
      </c>
      <c r="K40" s="2">
        <v>1</v>
      </c>
      <c r="L40" s="2" t="s">
        <v>40</v>
      </c>
      <c r="M40" s="52" t="e">
        <f t="shared" si="0"/>
        <v>#N/A</v>
      </c>
      <c r="N40" s="52">
        <f t="shared" si="1"/>
        <v>1</v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e">
        <f>IF(M41="","",VLOOKUP(M41,MASTER!$B$11:$C$30,2,0))</f>
        <v>#N/A</v>
      </c>
      <c r="H41" s="2" t="s">
        <v>119</v>
      </c>
      <c r="I41" s="2" t="s">
        <v>120</v>
      </c>
      <c r="J41" s="2" t="s">
        <v>3</v>
      </c>
      <c r="K41" s="2">
        <v>1</v>
      </c>
      <c r="L41" s="2" t="s">
        <v>40</v>
      </c>
      <c r="M41" s="52" t="e">
        <f t="shared" si="0"/>
        <v>#N/A</v>
      </c>
      <c r="N41" s="52">
        <f t="shared" si="1"/>
        <v>1</v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e">
        <f>IF(M42="","",VLOOKUP(M42,MASTER!$B$11:$C$30,2,0))</f>
        <v>#N/A</v>
      </c>
      <c r="H42" s="2" t="s">
        <v>121</v>
      </c>
      <c r="I42" s="2" t="s">
        <v>122</v>
      </c>
      <c r="J42" s="2" t="s">
        <v>3</v>
      </c>
      <c r="K42" s="2">
        <v>1</v>
      </c>
      <c r="L42" s="2" t="s">
        <v>40</v>
      </c>
      <c r="M42" s="52" t="e">
        <f t="shared" si="0"/>
        <v>#N/A</v>
      </c>
      <c r="N42" s="52">
        <f t="shared" si="1"/>
        <v>1</v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e">
        <f>IF(M43="","",VLOOKUP(M43,MASTER!$B$11:$C$30,2,0))</f>
        <v>#N/A</v>
      </c>
      <c r="H43" s="2" t="s">
        <v>123</v>
      </c>
      <c r="I43" s="2" t="s">
        <v>124</v>
      </c>
      <c r="J43" s="2" t="s">
        <v>3</v>
      </c>
      <c r="K43" s="2">
        <v>1</v>
      </c>
      <c r="L43" s="2" t="s">
        <v>40</v>
      </c>
      <c r="M43" s="52" t="e">
        <f t="shared" si="0"/>
        <v>#N/A</v>
      </c>
      <c r="N43" s="52">
        <f t="shared" si="1"/>
        <v>1</v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e">
        <f>IF(M44="","",VLOOKUP(M44,MASTER!$B$11:$C$30,2,0))</f>
        <v>#N/A</v>
      </c>
      <c r="H44" s="2" t="s">
        <v>125</v>
      </c>
      <c r="I44" s="2" t="s">
        <v>126</v>
      </c>
      <c r="J44" s="2" t="s">
        <v>3</v>
      </c>
      <c r="K44" s="2">
        <v>1</v>
      </c>
      <c r="L44" s="2" t="s">
        <v>40</v>
      </c>
      <c r="M44" s="52" t="e">
        <f t="shared" si="0"/>
        <v>#N/A</v>
      </c>
      <c r="N44" s="52">
        <f t="shared" si="1"/>
        <v>1</v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e">
        <f>IF(M45="","",VLOOKUP(M45,MASTER!$B$11:$C$30,2,0))</f>
        <v>#N/A</v>
      </c>
      <c r="H45" s="2" t="s">
        <v>127</v>
      </c>
      <c r="I45" s="2" t="s">
        <v>128</v>
      </c>
      <c r="J45" s="2" t="s">
        <v>3</v>
      </c>
      <c r="K45" s="2">
        <v>1</v>
      </c>
      <c r="L45" s="2" t="s">
        <v>40</v>
      </c>
      <c r="M45" s="52" t="e">
        <f t="shared" si="0"/>
        <v>#N/A</v>
      </c>
      <c r="N45" s="52">
        <f t="shared" si="1"/>
        <v>1</v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e">
        <f>IF(M46="","",VLOOKUP(M46,MASTER!$B$11:$C$30,2,0))</f>
        <v>#N/A</v>
      </c>
      <c r="H46" s="2" t="s">
        <v>129</v>
      </c>
      <c r="I46" s="2" t="s">
        <v>130</v>
      </c>
      <c r="J46" s="2" t="s">
        <v>3</v>
      </c>
      <c r="K46" s="2">
        <v>1</v>
      </c>
      <c r="L46" s="2" t="s">
        <v>40</v>
      </c>
      <c r="M46" s="52" t="e">
        <f t="shared" si="0"/>
        <v>#N/A</v>
      </c>
      <c r="N46" s="52">
        <f t="shared" si="1"/>
        <v>1</v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e">
        <f>IF(M47="","",VLOOKUP(M47,MASTER!$B$11:$C$30,2,0))</f>
        <v>#N/A</v>
      </c>
      <c r="H47" s="2" t="s">
        <v>131</v>
      </c>
      <c r="I47" s="2" t="s">
        <v>132</v>
      </c>
      <c r="J47" s="2" t="s">
        <v>3</v>
      </c>
      <c r="K47" s="2">
        <v>1</v>
      </c>
      <c r="L47" s="2" t="s">
        <v>40</v>
      </c>
      <c r="M47" s="52" t="e">
        <f t="shared" si="0"/>
        <v>#N/A</v>
      </c>
      <c r="N47" s="52">
        <f t="shared" si="1"/>
        <v>1</v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e">
        <f>IF(M48="","",VLOOKUP(M48,MASTER!$B$11:$C$30,2,0))</f>
        <v>#N/A</v>
      </c>
      <c r="H48" s="2" t="s">
        <v>133</v>
      </c>
      <c r="I48" s="2" t="s">
        <v>134</v>
      </c>
      <c r="J48" s="2" t="s">
        <v>3</v>
      </c>
      <c r="K48" s="2">
        <v>1</v>
      </c>
      <c r="L48" s="2" t="s">
        <v>40</v>
      </c>
      <c r="M48" s="52" t="e">
        <f t="shared" si="0"/>
        <v>#N/A</v>
      </c>
      <c r="N48" s="52">
        <f t="shared" si="1"/>
        <v>1</v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e">
        <f>IF(M49="","",VLOOKUP(M49,MASTER!$B$11:$C$30,2,0))</f>
        <v>#N/A</v>
      </c>
      <c r="H49" s="2" t="s">
        <v>135</v>
      </c>
      <c r="I49" s="2" t="s">
        <v>136</v>
      </c>
      <c r="J49" s="2" t="s">
        <v>3</v>
      </c>
      <c r="K49" s="2">
        <v>1</v>
      </c>
      <c r="L49" s="2" t="s">
        <v>40</v>
      </c>
      <c r="M49" s="52" t="e">
        <f t="shared" si="0"/>
        <v>#N/A</v>
      </c>
      <c r="N49" s="52">
        <f t="shared" si="1"/>
        <v>1</v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e">
        <f>IF(M50="","",VLOOKUP(M50,MASTER!$B$11:$C$30,2,0))</f>
        <v>#N/A</v>
      </c>
      <c r="H50" s="2" t="s">
        <v>137</v>
      </c>
      <c r="I50" s="2" t="s">
        <v>138</v>
      </c>
      <c r="J50" s="2" t="s">
        <v>3</v>
      </c>
      <c r="K50" s="2">
        <v>1</v>
      </c>
      <c r="L50" s="2" t="s">
        <v>40</v>
      </c>
      <c r="M50" s="52" t="e">
        <f t="shared" si="0"/>
        <v>#N/A</v>
      </c>
      <c r="N50" s="52">
        <f t="shared" si="1"/>
        <v>1</v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e">
        <f>IF(M51="","",VLOOKUP(M51,MASTER!$B$11:$C$30,2,0))</f>
        <v>#N/A</v>
      </c>
      <c r="H51" s="2" t="s">
        <v>139</v>
      </c>
      <c r="I51" s="2" t="s">
        <v>140</v>
      </c>
      <c r="J51" s="2" t="s">
        <v>3</v>
      </c>
      <c r="K51" s="2">
        <v>1</v>
      </c>
      <c r="L51" s="2" t="s">
        <v>40</v>
      </c>
      <c r="M51" s="52" t="e">
        <f t="shared" si="0"/>
        <v>#N/A</v>
      </c>
      <c r="N51" s="52">
        <f t="shared" si="1"/>
        <v>1</v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e">
        <f>IF(M52="","",VLOOKUP(M52,MASTER!$B$11:$C$30,2,0))</f>
        <v>#N/A</v>
      </c>
      <c r="H52" s="2" t="s">
        <v>141</v>
      </c>
      <c r="I52" s="2" t="s">
        <v>142</v>
      </c>
      <c r="J52" s="2" t="s">
        <v>3</v>
      </c>
      <c r="K52" s="2">
        <v>1</v>
      </c>
      <c r="L52" s="2" t="s">
        <v>40</v>
      </c>
      <c r="M52" s="52" t="e">
        <f t="shared" si="0"/>
        <v>#N/A</v>
      </c>
      <c r="N52" s="52">
        <f t="shared" si="1"/>
        <v>1</v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e">
        <f>IF(M53="","",VLOOKUP(M53,MASTER!$B$11:$C$30,2,0))</f>
        <v>#N/A</v>
      </c>
      <c r="H53" s="2" t="s">
        <v>143</v>
      </c>
      <c r="I53" s="2" t="s">
        <v>144</v>
      </c>
      <c r="J53" s="2" t="s">
        <v>3</v>
      </c>
      <c r="K53" s="2">
        <v>1</v>
      </c>
      <c r="L53" s="2" t="s">
        <v>40</v>
      </c>
      <c r="M53" s="52" t="e">
        <f t="shared" si="0"/>
        <v>#N/A</v>
      </c>
      <c r="N53" s="52">
        <f t="shared" si="1"/>
        <v>1</v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e">
        <f>IF(M54="","",VLOOKUP(M54,MASTER!$B$11:$C$30,2,0))</f>
        <v>#N/A</v>
      </c>
      <c r="H54" s="2" t="s">
        <v>145</v>
      </c>
      <c r="I54" s="2" t="s">
        <v>146</v>
      </c>
      <c r="J54" s="2" t="s">
        <v>3</v>
      </c>
      <c r="K54" s="2">
        <v>1</v>
      </c>
      <c r="L54" s="2" t="s">
        <v>40</v>
      </c>
      <c r="M54" s="52" t="e">
        <f t="shared" si="0"/>
        <v>#N/A</v>
      </c>
      <c r="N54" s="52">
        <f t="shared" si="1"/>
        <v>1</v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e">
        <f>IF(M55="","",VLOOKUP(M55,MASTER!$B$11:$C$30,2,0))</f>
        <v>#N/A</v>
      </c>
      <c r="H55" s="2" t="s">
        <v>147</v>
      </c>
      <c r="I55" s="2" t="s">
        <v>148</v>
      </c>
      <c r="J55" s="2" t="s">
        <v>3</v>
      </c>
      <c r="K55" s="2">
        <v>1</v>
      </c>
      <c r="L55" s="2" t="s">
        <v>40</v>
      </c>
      <c r="M55" s="52" t="e">
        <f t="shared" si="0"/>
        <v>#N/A</v>
      </c>
      <c r="N55" s="52">
        <f t="shared" si="1"/>
        <v>1</v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e">
        <f>IF(M56="","",VLOOKUP(M56,MASTER!$B$11:$C$30,2,0))</f>
        <v>#N/A</v>
      </c>
      <c r="H56" s="2" t="s">
        <v>149</v>
      </c>
      <c r="I56" s="2" t="s">
        <v>150</v>
      </c>
      <c r="J56" s="2" t="s">
        <v>3</v>
      </c>
      <c r="K56" s="2">
        <v>1</v>
      </c>
      <c r="L56" s="2" t="s">
        <v>40</v>
      </c>
      <c r="M56" s="52" t="e">
        <f t="shared" si="0"/>
        <v>#N/A</v>
      </c>
      <c r="N56" s="52">
        <f t="shared" si="1"/>
        <v>1</v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e">
        <f>IF(M57="","",VLOOKUP(M57,MASTER!$B$11:$C$30,2,0))</f>
        <v>#N/A</v>
      </c>
      <c r="H57" s="2" t="s">
        <v>151</v>
      </c>
      <c r="I57" s="2" t="s">
        <v>152</v>
      </c>
      <c r="J57" s="2" t="s">
        <v>3</v>
      </c>
      <c r="K57" s="2">
        <v>1</v>
      </c>
      <c r="L57" s="2" t="s">
        <v>40</v>
      </c>
      <c r="M57" s="52" t="e">
        <f t="shared" si="0"/>
        <v>#N/A</v>
      </c>
      <c r="N57" s="52">
        <f t="shared" si="1"/>
        <v>1</v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e">
        <f>IF(M58="","",VLOOKUP(M58,MASTER!$B$11:$C$30,2,0))</f>
        <v>#N/A</v>
      </c>
      <c r="H58" s="2" t="s">
        <v>153</v>
      </c>
      <c r="I58" s="2" t="s">
        <v>154</v>
      </c>
      <c r="J58" s="2" t="s">
        <v>3</v>
      </c>
      <c r="K58" s="2">
        <v>1</v>
      </c>
      <c r="L58" s="2" t="s">
        <v>40</v>
      </c>
      <c r="M58" s="52" t="e">
        <f t="shared" si="0"/>
        <v>#N/A</v>
      </c>
      <c r="N58" s="52">
        <f t="shared" si="1"/>
        <v>1</v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e">
        <f>IF(M59="","",VLOOKUP(M59,MASTER!$B$11:$C$30,2,0))</f>
        <v>#N/A</v>
      </c>
      <c r="H59" s="2" t="s">
        <v>155</v>
      </c>
      <c r="I59" s="2" t="s">
        <v>156</v>
      </c>
      <c r="J59" s="2" t="s">
        <v>3</v>
      </c>
      <c r="K59" s="2">
        <v>1</v>
      </c>
      <c r="L59" s="2" t="s">
        <v>40</v>
      </c>
      <c r="M59" s="52" t="e">
        <f t="shared" si="0"/>
        <v>#N/A</v>
      </c>
      <c r="N59" s="52">
        <f t="shared" si="1"/>
        <v>1</v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e">
        <f>IF(M60="","",VLOOKUP(M60,MASTER!$B$11:$C$30,2,0))</f>
        <v>#N/A</v>
      </c>
      <c r="H60" s="2" t="s">
        <v>157</v>
      </c>
      <c r="I60" s="2" t="s">
        <v>158</v>
      </c>
      <c r="J60" s="2" t="s">
        <v>3</v>
      </c>
      <c r="K60" s="2">
        <v>1</v>
      </c>
      <c r="L60" s="2" t="s">
        <v>40</v>
      </c>
      <c r="M60" s="52" t="e">
        <f t="shared" si="0"/>
        <v>#N/A</v>
      </c>
      <c r="N60" s="52">
        <f t="shared" si="1"/>
        <v>1</v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e">
        <f>IF(M61="","",VLOOKUP(M61,MASTER!$B$11:$C$30,2,0))</f>
        <v>#N/A</v>
      </c>
      <c r="H61" s="2" t="s">
        <v>159</v>
      </c>
      <c r="I61" s="2" t="s">
        <v>160</v>
      </c>
      <c r="J61" s="2" t="s">
        <v>3</v>
      </c>
      <c r="K61" s="2">
        <v>1</v>
      </c>
      <c r="L61" s="2" t="s">
        <v>40</v>
      </c>
      <c r="M61" s="52" t="e">
        <f t="shared" si="0"/>
        <v>#N/A</v>
      </c>
      <c r="N61" s="52">
        <f t="shared" si="1"/>
        <v>1</v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e">
        <f>IF(M62="","",VLOOKUP(M62,MASTER!$B$11:$C$30,2,0))</f>
        <v>#N/A</v>
      </c>
      <c r="H62" s="2" t="s">
        <v>161</v>
      </c>
      <c r="I62" s="2" t="s">
        <v>162</v>
      </c>
      <c r="J62" s="2" t="s">
        <v>3</v>
      </c>
      <c r="K62" s="2">
        <v>1</v>
      </c>
      <c r="L62" s="2" t="s">
        <v>40</v>
      </c>
      <c r="M62" s="52" t="e">
        <f t="shared" si="0"/>
        <v>#N/A</v>
      </c>
      <c r="N62" s="52">
        <f t="shared" si="1"/>
        <v>1</v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e">
        <f>IF(M63="","",VLOOKUP(M63,MASTER!$B$11:$C$30,2,0))</f>
        <v>#N/A</v>
      </c>
      <c r="H63" s="2" t="s">
        <v>163</v>
      </c>
      <c r="I63" s="2" t="s">
        <v>164</v>
      </c>
      <c r="J63" s="2" t="s">
        <v>3</v>
      </c>
      <c r="K63" s="2">
        <v>1</v>
      </c>
      <c r="L63" s="2" t="s">
        <v>40</v>
      </c>
      <c r="M63" s="52" t="e">
        <f t="shared" si="0"/>
        <v>#N/A</v>
      </c>
      <c r="N63" s="52">
        <f t="shared" si="1"/>
        <v>1</v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e">
        <f>IF(M64="","",VLOOKUP(M64,MASTER!$B$11:$C$30,2,0))</f>
        <v>#N/A</v>
      </c>
      <c r="H64" s="2" t="s">
        <v>165</v>
      </c>
      <c r="I64" s="2" t="s">
        <v>166</v>
      </c>
      <c r="J64" s="2" t="s">
        <v>3</v>
      </c>
      <c r="K64" s="2">
        <v>1</v>
      </c>
      <c r="L64" s="2" t="s">
        <v>40</v>
      </c>
      <c r="M64" s="52" t="e">
        <f t="shared" si="0"/>
        <v>#N/A</v>
      </c>
      <c r="N64" s="52">
        <f t="shared" si="1"/>
        <v>1</v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e">
        <f>IF(M65="","",VLOOKUP(M65,MASTER!$B$11:$C$30,2,0))</f>
        <v>#N/A</v>
      </c>
      <c r="H65" s="2" t="s">
        <v>167</v>
      </c>
      <c r="I65" s="2" t="s">
        <v>168</v>
      </c>
      <c r="J65" s="2" t="s">
        <v>3</v>
      </c>
      <c r="K65" s="2">
        <v>1</v>
      </c>
      <c r="L65" s="2" t="s">
        <v>40</v>
      </c>
      <c r="M65" s="52" t="e">
        <f t="shared" si="0"/>
        <v>#N/A</v>
      </c>
      <c r="N65" s="52">
        <f t="shared" si="1"/>
        <v>1</v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e">
        <f>IF(M66="","",VLOOKUP(M66,MASTER!$B$11:$C$30,2,0))</f>
        <v>#N/A</v>
      </c>
      <c r="H66" s="2" t="s">
        <v>169</v>
      </c>
      <c r="I66" s="2" t="s">
        <v>170</v>
      </c>
      <c r="J66" s="2" t="s">
        <v>3</v>
      </c>
      <c r="K66" s="2">
        <v>1</v>
      </c>
      <c r="L66" s="2" t="s">
        <v>40</v>
      </c>
      <c r="M66" s="52" t="e">
        <f t="shared" si="0"/>
        <v>#N/A</v>
      </c>
      <c r="N66" s="52">
        <f t="shared" si="1"/>
        <v>1</v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e">
        <f>IF(M67="","",VLOOKUP(M67,MASTER!$B$11:$C$30,2,0))</f>
        <v>#N/A</v>
      </c>
      <c r="H67" s="2" t="s">
        <v>171</v>
      </c>
      <c r="I67" s="2" t="s">
        <v>172</v>
      </c>
      <c r="J67" s="2" t="s">
        <v>3</v>
      </c>
      <c r="K67" s="2">
        <v>1</v>
      </c>
      <c r="L67" s="2" t="s">
        <v>40</v>
      </c>
      <c r="M67" s="52" t="e">
        <f t="shared" ref="M67:M130" si="4">IF(L67="","",VLOOKUP(L67,$A$10:$B$29,2,0))</f>
        <v>#N/A</v>
      </c>
      <c r="N67" s="52">
        <f t="shared" ref="N67:N130" si="5">IF(K67="","",K67)</f>
        <v>1</v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e">
        <f>IF(M68="","",VLOOKUP(M68,MASTER!$B$11:$C$30,2,0))</f>
        <v>#N/A</v>
      </c>
      <c r="H68" s="2" t="s">
        <v>173</v>
      </c>
      <c r="I68" s="2" t="s">
        <v>174</v>
      </c>
      <c r="J68" s="2" t="s">
        <v>3</v>
      </c>
      <c r="K68" s="2">
        <v>1</v>
      </c>
      <c r="L68" s="2" t="s">
        <v>40</v>
      </c>
      <c r="M68" s="52" t="e">
        <f t="shared" si="4"/>
        <v>#N/A</v>
      </c>
      <c r="N68" s="52">
        <f t="shared" si="5"/>
        <v>1</v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e">
        <f>IF(M69="","",VLOOKUP(M69,MASTER!$B$11:$C$30,2,0))</f>
        <v>#N/A</v>
      </c>
      <c r="H69" s="2" t="s">
        <v>175</v>
      </c>
      <c r="I69" s="2" t="s">
        <v>176</v>
      </c>
      <c r="J69" s="2" t="s">
        <v>3</v>
      </c>
      <c r="K69" s="2">
        <v>1</v>
      </c>
      <c r="L69" s="2" t="s">
        <v>40</v>
      </c>
      <c r="M69" s="52" t="e">
        <f t="shared" si="4"/>
        <v>#N/A</v>
      </c>
      <c r="N69" s="52">
        <f t="shared" si="5"/>
        <v>1</v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e">
        <f>IF(M70="","",VLOOKUP(M70,MASTER!$B$11:$C$30,2,0))</f>
        <v>#N/A</v>
      </c>
      <c r="H70" s="2" t="s">
        <v>177</v>
      </c>
      <c r="I70" s="2" t="s">
        <v>178</v>
      </c>
      <c r="J70" s="2" t="s">
        <v>3</v>
      </c>
      <c r="K70" s="2">
        <v>1</v>
      </c>
      <c r="L70" s="2" t="s">
        <v>40</v>
      </c>
      <c r="M70" s="52" t="e">
        <f t="shared" si="4"/>
        <v>#N/A</v>
      </c>
      <c r="N70" s="52">
        <f t="shared" si="5"/>
        <v>1</v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e">
        <f>IF(M71="","",VLOOKUP(M71,MASTER!$B$11:$C$30,2,0))</f>
        <v>#N/A</v>
      </c>
      <c r="H71" s="2" t="s">
        <v>179</v>
      </c>
      <c r="I71" s="2" t="s">
        <v>180</v>
      </c>
      <c r="J71" s="2" t="s">
        <v>3</v>
      </c>
      <c r="K71" s="2">
        <v>1</v>
      </c>
      <c r="L71" s="2" t="s">
        <v>40</v>
      </c>
      <c r="M71" s="52" t="e">
        <f t="shared" si="4"/>
        <v>#N/A</v>
      </c>
      <c r="N71" s="52">
        <f t="shared" si="5"/>
        <v>1</v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e">
        <f>IF(M72="","",VLOOKUP(M72,MASTER!$B$11:$C$30,2,0))</f>
        <v>#N/A</v>
      </c>
      <c r="H72" s="2" t="s">
        <v>181</v>
      </c>
      <c r="I72" s="2" t="s">
        <v>182</v>
      </c>
      <c r="J72" s="2" t="s">
        <v>3</v>
      </c>
      <c r="K72" s="2">
        <v>1</v>
      </c>
      <c r="L72" s="2" t="s">
        <v>40</v>
      </c>
      <c r="M72" s="52" t="e">
        <f t="shared" si="4"/>
        <v>#N/A</v>
      </c>
      <c r="N72" s="52">
        <f t="shared" si="5"/>
        <v>1</v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e">
        <f>IF(M73="","",VLOOKUP(M73,MASTER!$B$11:$C$30,2,0))</f>
        <v>#N/A</v>
      </c>
      <c r="H73" s="2" t="s">
        <v>183</v>
      </c>
      <c r="I73" s="2" t="s">
        <v>184</v>
      </c>
      <c r="J73" s="2" t="s">
        <v>3</v>
      </c>
      <c r="K73" s="2">
        <v>1</v>
      </c>
      <c r="L73" s="2" t="s">
        <v>40</v>
      </c>
      <c r="M73" s="52" t="e">
        <f t="shared" si="4"/>
        <v>#N/A</v>
      </c>
      <c r="N73" s="52">
        <f t="shared" si="5"/>
        <v>1</v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e">
        <f>IF(M74="","",VLOOKUP(M74,MASTER!$B$11:$C$30,2,0))</f>
        <v>#N/A</v>
      </c>
      <c r="H74" s="2" t="s">
        <v>185</v>
      </c>
      <c r="I74" s="2" t="s">
        <v>186</v>
      </c>
      <c r="J74" s="2" t="s">
        <v>3</v>
      </c>
      <c r="K74" s="2">
        <v>1</v>
      </c>
      <c r="L74" s="2" t="s">
        <v>40</v>
      </c>
      <c r="M74" s="52" t="e">
        <f t="shared" si="4"/>
        <v>#N/A</v>
      </c>
      <c r="N74" s="52">
        <f t="shared" si="5"/>
        <v>1</v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e">
        <f>IF(M75="","",VLOOKUP(M75,MASTER!$B$11:$C$30,2,0))</f>
        <v>#N/A</v>
      </c>
      <c r="H75" s="2" t="s">
        <v>187</v>
      </c>
      <c r="I75" s="2" t="s">
        <v>188</v>
      </c>
      <c r="J75" s="2" t="s">
        <v>3</v>
      </c>
      <c r="K75" s="2">
        <v>1</v>
      </c>
      <c r="L75" s="2" t="s">
        <v>40</v>
      </c>
      <c r="M75" s="52" t="e">
        <f t="shared" si="4"/>
        <v>#N/A</v>
      </c>
      <c r="N75" s="52">
        <f t="shared" si="5"/>
        <v>1</v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e">
        <f>IF(M76="","",VLOOKUP(M76,MASTER!$B$11:$C$30,2,0))</f>
        <v>#N/A</v>
      </c>
      <c r="H76" s="2" t="s">
        <v>189</v>
      </c>
      <c r="I76" s="2" t="s">
        <v>190</v>
      </c>
      <c r="J76" s="2" t="s">
        <v>3</v>
      </c>
      <c r="K76" s="2">
        <v>1</v>
      </c>
      <c r="L76" s="2" t="s">
        <v>40</v>
      </c>
      <c r="M76" s="52" t="e">
        <f t="shared" si="4"/>
        <v>#N/A</v>
      </c>
      <c r="N76" s="52">
        <f t="shared" si="5"/>
        <v>1</v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e">
        <f>IF(M77="","",VLOOKUP(M77,MASTER!$B$11:$C$30,2,0))</f>
        <v>#N/A</v>
      </c>
      <c r="H77" s="2" t="s">
        <v>191</v>
      </c>
      <c r="I77" s="2" t="s">
        <v>192</v>
      </c>
      <c r="J77" s="2" t="s">
        <v>3</v>
      </c>
      <c r="K77" s="2">
        <v>1</v>
      </c>
      <c r="L77" s="2" t="s">
        <v>40</v>
      </c>
      <c r="M77" s="52" t="e">
        <f t="shared" si="4"/>
        <v>#N/A</v>
      </c>
      <c r="N77" s="52">
        <f t="shared" si="5"/>
        <v>1</v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e">
        <f>IF(M78="","",VLOOKUP(M78,MASTER!$B$11:$C$30,2,0))</f>
        <v>#N/A</v>
      </c>
      <c r="H78" s="2" t="s">
        <v>193</v>
      </c>
      <c r="I78" s="2" t="s">
        <v>194</v>
      </c>
      <c r="J78" s="2" t="s">
        <v>3</v>
      </c>
      <c r="K78" s="2">
        <v>1</v>
      </c>
      <c r="L78" s="2" t="s">
        <v>40</v>
      </c>
      <c r="M78" s="52" t="e">
        <f t="shared" si="4"/>
        <v>#N/A</v>
      </c>
      <c r="N78" s="52">
        <f t="shared" si="5"/>
        <v>1</v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e">
        <f>IF(M79="","",VLOOKUP(M79,MASTER!$B$11:$C$30,2,0))</f>
        <v>#N/A</v>
      </c>
      <c r="H79" s="2" t="s">
        <v>195</v>
      </c>
      <c r="I79" s="2" t="s">
        <v>196</v>
      </c>
      <c r="J79" s="2" t="s">
        <v>3</v>
      </c>
      <c r="K79" s="2">
        <v>1</v>
      </c>
      <c r="L79" s="2" t="s">
        <v>40</v>
      </c>
      <c r="M79" s="52" t="e">
        <f t="shared" si="4"/>
        <v>#N/A</v>
      </c>
      <c r="N79" s="52">
        <f t="shared" si="5"/>
        <v>1</v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e">
        <f>IF(M80="","",VLOOKUP(M80,MASTER!$B$11:$C$30,2,0))</f>
        <v>#N/A</v>
      </c>
      <c r="H80" s="2" t="s">
        <v>197</v>
      </c>
      <c r="I80" s="2" t="s">
        <v>198</v>
      </c>
      <c r="J80" s="2" t="s">
        <v>3</v>
      </c>
      <c r="K80" s="2">
        <v>1</v>
      </c>
      <c r="L80" s="2" t="s">
        <v>40</v>
      </c>
      <c r="M80" s="52" t="e">
        <f t="shared" si="4"/>
        <v>#N/A</v>
      </c>
      <c r="N80" s="52">
        <f t="shared" si="5"/>
        <v>1</v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e">
        <f>IF(M81="","",VLOOKUP(M81,MASTER!$B$11:$C$30,2,0))</f>
        <v>#N/A</v>
      </c>
      <c r="H81" s="2" t="s">
        <v>199</v>
      </c>
      <c r="I81" s="2" t="s">
        <v>200</v>
      </c>
      <c r="J81" s="2" t="s">
        <v>3</v>
      </c>
      <c r="K81" s="2">
        <v>1</v>
      </c>
      <c r="L81" s="2" t="s">
        <v>40</v>
      </c>
      <c r="M81" s="52" t="e">
        <f t="shared" si="4"/>
        <v>#N/A</v>
      </c>
      <c r="N81" s="52">
        <f t="shared" si="5"/>
        <v>1</v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e">
        <f>IF(M82="","",VLOOKUP(M82,MASTER!$B$11:$C$30,2,0))</f>
        <v>#N/A</v>
      </c>
      <c r="H82" s="2" t="s">
        <v>201</v>
      </c>
      <c r="I82" s="2" t="s">
        <v>202</v>
      </c>
      <c r="J82" s="2" t="s">
        <v>3</v>
      </c>
      <c r="K82" s="2">
        <v>1</v>
      </c>
      <c r="L82" s="2" t="s">
        <v>40</v>
      </c>
      <c r="M82" s="52" t="e">
        <f t="shared" si="4"/>
        <v>#N/A</v>
      </c>
      <c r="N82" s="52">
        <f t="shared" si="5"/>
        <v>1</v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e">
        <f>IF(M83="","",VLOOKUP(M83,MASTER!$B$11:$C$30,2,0))</f>
        <v>#N/A</v>
      </c>
      <c r="H83" s="2" t="s">
        <v>203</v>
      </c>
      <c r="I83" s="2" t="s">
        <v>204</v>
      </c>
      <c r="J83" s="2" t="s">
        <v>3</v>
      </c>
      <c r="K83" s="2">
        <v>1</v>
      </c>
      <c r="L83" s="2" t="s">
        <v>40</v>
      </c>
      <c r="M83" s="52" t="e">
        <f t="shared" si="4"/>
        <v>#N/A</v>
      </c>
      <c r="N83" s="52">
        <f t="shared" si="5"/>
        <v>1</v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e">
        <f>IF(M84="","",VLOOKUP(M84,MASTER!$B$11:$C$30,2,0))</f>
        <v>#N/A</v>
      </c>
      <c r="H84" s="2" t="s">
        <v>205</v>
      </c>
      <c r="I84" s="2" t="s">
        <v>206</v>
      </c>
      <c r="J84" s="2" t="s">
        <v>3</v>
      </c>
      <c r="K84" s="2">
        <v>1</v>
      </c>
      <c r="L84" s="2" t="s">
        <v>40</v>
      </c>
      <c r="M84" s="52" t="e">
        <f t="shared" si="4"/>
        <v>#N/A</v>
      </c>
      <c r="N84" s="52">
        <f t="shared" si="5"/>
        <v>1</v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e">
        <f>IF(M85="","",VLOOKUP(M85,MASTER!$B$11:$C$30,2,0))</f>
        <v>#N/A</v>
      </c>
      <c r="H85" s="2" t="s">
        <v>207</v>
      </c>
      <c r="I85" s="2" t="s">
        <v>208</v>
      </c>
      <c r="J85" s="2" t="s">
        <v>3</v>
      </c>
      <c r="K85" s="2">
        <v>1</v>
      </c>
      <c r="L85" s="2" t="s">
        <v>40</v>
      </c>
      <c r="M85" s="52" t="e">
        <f t="shared" si="4"/>
        <v>#N/A</v>
      </c>
      <c r="N85" s="52">
        <f t="shared" si="5"/>
        <v>1</v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e">
        <f>IF(M86="","",VLOOKUP(M86,MASTER!$B$11:$C$30,2,0))</f>
        <v>#N/A</v>
      </c>
      <c r="H86" s="2" t="s">
        <v>209</v>
      </c>
      <c r="I86" s="2" t="s">
        <v>210</v>
      </c>
      <c r="J86" s="2" t="s">
        <v>3</v>
      </c>
      <c r="K86" s="2">
        <v>1</v>
      </c>
      <c r="L86" s="2" t="s">
        <v>40</v>
      </c>
      <c r="M86" s="52" t="e">
        <f t="shared" si="4"/>
        <v>#N/A</v>
      </c>
      <c r="N86" s="52">
        <f t="shared" si="5"/>
        <v>1</v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e">
        <f>IF(M87="","",VLOOKUP(M87,MASTER!$B$11:$C$30,2,0))</f>
        <v>#N/A</v>
      </c>
      <c r="H87" s="2" t="s">
        <v>211</v>
      </c>
      <c r="I87" s="2" t="s">
        <v>212</v>
      </c>
      <c r="J87" s="2" t="s">
        <v>3</v>
      </c>
      <c r="K87" s="2">
        <v>1</v>
      </c>
      <c r="L87" s="2" t="s">
        <v>40</v>
      </c>
      <c r="M87" s="52" t="e">
        <f t="shared" si="4"/>
        <v>#N/A</v>
      </c>
      <c r="N87" s="52">
        <f t="shared" si="5"/>
        <v>1</v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e">
        <f>IF(M88="","",VLOOKUP(M88,MASTER!$B$11:$C$30,2,0))</f>
        <v>#N/A</v>
      </c>
      <c r="H88" s="2" t="s">
        <v>213</v>
      </c>
      <c r="I88" s="2" t="s">
        <v>214</v>
      </c>
      <c r="J88" s="2" t="s">
        <v>3</v>
      </c>
      <c r="K88" s="2">
        <v>1</v>
      </c>
      <c r="L88" s="2" t="s">
        <v>40</v>
      </c>
      <c r="M88" s="52" t="e">
        <f t="shared" si="4"/>
        <v>#N/A</v>
      </c>
      <c r="N88" s="52">
        <f t="shared" si="5"/>
        <v>1</v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e">
        <f>IF(M89="","",VLOOKUP(M89,MASTER!$B$11:$C$30,2,0))</f>
        <v>#N/A</v>
      </c>
      <c r="H89" s="2" t="s">
        <v>215</v>
      </c>
      <c r="I89" s="2" t="s">
        <v>216</v>
      </c>
      <c r="J89" s="2" t="s">
        <v>3</v>
      </c>
      <c r="K89" s="2">
        <v>1</v>
      </c>
      <c r="L89" s="2" t="s">
        <v>40</v>
      </c>
      <c r="M89" s="52" t="e">
        <f t="shared" si="4"/>
        <v>#N/A</v>
      </c>
      <c r="N89" s="52">
        <f t="shared" si="5"/>
        <v>1</v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e">
        <f>IF(M90="","",VLOOKUP(M90,MASTER!$B$11:$C$30,2,0))</f>
        <v>#N/A</v>
      </c>
      <c r="H90" s="2" t="s">
        <v>217</v>
      </c>
      <c r="I90" s="2" t="s">
        <v>218</v>
      </c>
      <c r="J90" s="2" t="s">
        <v>3</v>
      </c>
      <c r="K90" s="2">
        <v>1</v>
      </c>
      <c r="L90" s="2" t="s">
        <v>40</v>
      </c>
      <c r="M90" s="52" t="e">
        <f t="shared" si="4"/>
        <v>#N/A</v>
      </c>
      <c r="N90" s="52">
        <f t="shared" si="5"/>
        <v>1</v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e">
        <f>IF(M91="","",VLOOKUP(M91,MASTER!$B$11:$C$30,2,0))</f>
        <v>#N/A</v>
      </c>
      <c r="H91" s="2" t="s">
        <v>219</v>
      </c>
      <c r="I91" s="2" t="s">
        <v>220</v>
      </c>
      <c r="J91" s="2" t="s">
        <v>3</v>
      </c>
      <c r="K91" s="2">
        <v>1</v>
      </c>
      <c r="L91" s="2" t="s">
        <v>40</v>
      </c>
      <c r="M91" s="52" t="e">
        <f t="shared" si="4"/>
        <v>#N/A</v>
      </c>
      <c r="N91" s="52">
        <f t="shared" si="5"/>
        <v>1</v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e">
        <f>IF(M92="","",VLOOKUP(M92,MASTER!$B$11:$C$30,2,0))</f>
        <v>#N/A</v>
      </c>
      <c r="H92" s="2" t="s">
        <v>221</v>
      </c>
      <c r="I92" s="2" t="s">
        <v>222</v>
      </c>
      <c r="J92" s="2" t="s">
        <v>3</v>
      </c>
      <c r="K92" s="2">
        <v>1</v>
      </c>
      <c r="L92" s="2" t="s">
        <v>40</v>
      </c>
      <c r="M92" s="52" t="e">
        <f t="shared" si="4"/>
        <v>#N/A</v>
      </c>
      <c r="N92" s="52">
        <f t="shared" si="5"/>
        <v>1</v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e">
        <f>IF(M93="","",VLOOKUP(M93,MASTER!$B$11:$C$30,2,0))</f>
        <v>#N/A</v>
      </c>
      <c r="H93" s="2" t="s">
        <v>223</v>
      </c>
      <c r="I93" s="2" t="s">
        <v>224</v>
      </c>
      <c r="J93" s="2" t="s">
        <v>3</v>
      </c>
      <c r="K93" s="2">
        <v>1</v>
      </c>
      <c r="L93" s="2" t="s">
        <v>40</v>
      </c>
      <c r="M93" s="52" t="e">
        <f t="shared" si="4"/>
        <v>#N/A</v>
      </c>
      <c r="N93" s="52">
        <f t="shared" si="5"/>
        <v>1</v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e">
        <f>IF(M94="","",VLOOKUP(M94,MASTER!$B$11:$C$30,2,0))</f>
        <v>#N/A</v>
      </c>
      <c r="H94" s="2" t="s">
        <v>225</v>
      </c>
      <c r="I94" s="2" t="s">
        <v>226</v>
      </c>
      <c r="J94" s="2" t="s">
        <v>3</v>
      </c>
      <c r="K94" s="2">
        <v>1</v>
      </c>
      <c r="L94" s="2" t="s">
        <v>40</v>
      </c>
      <c r="M94" s="52" t="e">
        <f t="shared" si="4"/>
        <v>#N/A</v>
      </c>
      <c r="N94" s="52">
        <f t="shared" si="5"/>
        <v>1</v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e">
        <f>IF(M95="","",VLOOKUP(M95,MASTER!$B$11:$C$30,2,0))</f>
        <v>#N/A</v>
      </c>
      <c r="H95" s="2" t="s">
        <v>227</v>
      </c>
      <c r="I95" s="2" t="s">
        <v>228</v>
      </c>
      <c r="J95" s="2" t="s">
        <v>3</v>
      </c>
      <c r="K95" s="2">
        <v>1</v>
      </c>
      <c r="L95" s="2" t="s">
        <v>40</v>
      </c>
      <c r="M95" s="52" t="e">
        <f t="shared" si="4"/>
        <v>#N/A</v>
      </c>
      <c r="N95" s="52">
        <f t="shared" si="5"/>
        <v>1</v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e">
        <f>IF(M96="","",VLOOKUP(M96,MASTER!$B$11:$C$30,2,0))</f>
        <v>#N/A</v>
      </c>
      <c r="H96" s="2" t="s">
        <v>229</v>
      </c>
      <c r="I96" s="2" t="s">
        <v>230</v>
      </c>
      <c r="J96" s="2" t="s">
        <v>3</v>
      </c>
      <c r="K96" s="2">
        <v>1</v>
      </c>
      <c r="L96" s="2" t="s">
        <v>40</v>
      </c>
      <c r="M96" s="52" t="e">
        <f t="shared" si="4"/>
        <v>#N/A</v>
      </c>
      <c r="N96" s="52">
        <f t="shared" si="5"/>
        <v>1</v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e">
        <f>IF(M97="","",VLOOKUP(M97,MASTER!$B$11:$C$30,2,0))</f>
        <v>#N/A</v>
      </c>
      <c r="H97" s="2" t="s">
        <v>231</v>
      </c>
      <c r="I97" s="2" t="s">
        <v>232</v>
      </c>
      <c r="J97" s="2" t="s">
        <v>3</v>
      </c>
      <c r="K97" s="2">
        <v>1</v>
      </c>
      <c r="L97" s="2" t="s">
        <v>40</v>
      </c>
      <c r="M97" s="52" t="e">
        <f t="shared" si="4"/>
        <v>#N/A</v>
      </c>
      <c r="N97" s="52">
        <f t="shared" si="5"/>
        <v>1</v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e">
        <f>IF(M98="","",VLOOKUP(M98,MASTER!$B$11:$C$30,2,0))</f>
        <v>#N/A</v>
      </c>
      <c r="H98" s="2" t="s">
        <v>233</v>
      </c>
      <c r="I98" s="2" t="s">
        <v>234</v>
      </c>
      <c r="J98" s="2" t="s">
        <v>3</v>
      </c>
      <c r="K98" s="2">
        <v>1</v>
      </c>
      <c r="L98" s="2" t="s">
        <v>40</v>
      </c>
      <c r="M98" s="52" t="e">
        <f t="shared" si="4"/>
        <v>#N/A</v>
      </c>
      <c r="N98" s="52">
        <f t="shared" si="5"/>
        <v>1</v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e">
        <f>IF(M99="","",VLOOKUP(M99,MASTER!$B$11:$C$30,2,0))</f>
        <v>#N/A</v>
      </c>
      <c r="H99" s="2" t="s">
        <v>235</v>
      </c>
      <c r="I99" s="2" t="s">
        <v>236</v>
      </c>
      <c r="J99" s="2" t="s">
        <v>3</v>
      </c>
      <c r="K99" s="2">
        <v>1</v>
      </c>
      <c r="L99" s="2" t="s">
        <v>40</v>
      </c>
      <c r="M99" s="52" t="e">
        <f t="shared" si="4"/>
        <v>#N/A</v>
      </c>
      <c r="N99" s="52">
        <f t="shared" si="5"/>
        <v>1</v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e">
        <f>IF(M100="","",VLOOKUP(M100,MASTER!$B$11:$C$30,2,0))</f>
        <v>#N/A</v>
      </c>
      <c r="H100" s="2" t="s">
        <v>237</v>
      </c>
      <c r="I100" s="2" t="s">
        <v>238</v>
      </c>
      <c r="J100" s="2" t="s">
        <v>3</v>
      </c>
      <c r="K100" s="2">
        <v>1</v>
      </c>
      <c r="L100" s="2" t="s">
        <v>40</v>
      </c>
      <c r="M100" s="52" t="e">
        <f t="shared" si="4"/>
        <v>#N/A</v>
      </c>
      <c r="N100" s="52">
        <f t="shared" si="5"/>
        <v>1</v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e">
        <f>IF(M101="","",VLOOKUP(M101,MASTER!$B$11:$C$30,2,0))</f>
        <v>#N/A</v>
      </c>
      <c r="H101" s="2" t="s">
        <v>239</v>
      </c>
      <c r="I101" s="2" t="s">
        <v>240</v>
      </c>
      <c r="J101" s="2" t="s">
        <v>3</v>
      </c>
      <c r="K101" s="2">
        <v>1</v>
      </c>
      <c r="L101" s="2" t="s">
        <v>40</v>
      </c>
      <c r="M101" s="52" t="e">
        <f t="shared" si="4"/>
        <v>#N/A</v>
      </c>
      <c r="N101" s="52">
        <f t="shared" si="5"/>
        <v>1</v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e">
        <f>IF(M102="","",VLOOKUP(M102,MASTER!$B$11:$C$30,2,0))</f>
        <v>#N/A</v>
      </c>
      <c r="H102" s="2" t="s">
        <v>241</v>
      </c>
      <c r="I102" s="2" t="s">
        <v>242</v>
      </c>
      <c r="J102" s="2" t="s">
        <v>3</v>
      </c>
      <c r="K102" s="2">
        <v>1</v>
      </c>
      <c r="L102" s="2" t="s">
        <v>40</v>
      </c>
      <c r="M102" s="52" t="e">
        <f t="shared" si="4"/>
        <v>#N/A</v>
      </c>
      <c r="N102" s="52">
        <f t="shared" si="5"/>
        <v>1</v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e">
        <f>IF(M103="","",VLOOKUP(M103,MASTER!$B$11:$C$30,2,0))</f>
        <v>#N/A</v>
      </c>
      <c r="H103" s="2" t="s">
        <v>243</v>
      </c>
      <c r="I103" s="2" t="s">
        <v>244</v>
      </c>
      <c r="J103" s="2" t="s">
        <v>3</v>
      </c>
      <c r="K103" s="2">
        <v>1</v>
      </c>
      <c r="L103" s="2" t="s">
        <v>40</v>
      </c>
      <c r="M103" s="52" t="e">
        <f t="shared" si="4"/>
        <v>#N/A</v>
      </c>
      <c r="N103" s="52">
        <f t="shared" si="5"/>
        <v>1</v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e">
        <f>IF(M104="","",VLOOKUP(M104,MASTER!$B$11:$C$30,2,0))</f>
        <v>#N/A</v>
      </c>
      <c r="H104" s="2" t="s">
        <v>245</v>
      </c>
      <c r="I104" s="2" t="s">
        <v>246</v>
      </c>
      <c r="J104" s="2" t="s">
        <v>3</v>
      </c>
      <c r="K104" s="2">
        <v>1</v>
      </c>
      <c r="L104" s="2" t="s">
        <v>40</v>
      </c>
      <c r="M104" s="52" t="e">
        <f t="shared" si="4"/>
        <v>#N/A</v>
      </c>
      <c r="N104" s="52">
        <f t="shared" si="5"/>
        <v>1</v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e">
        <f>IF(M105="","",VLOOKUP(M105,MASTER!$B$11:$C$30,2,0))</f>
        <v>#N/A</v>
      </c>
      <c r="H105" s="2" t="s">
        <v>247</v>
      </c>
      <c r="I105" s="2" t="s">
        <v>248</v>
      </c>
      <c r="J105" s="2" t="s">
        <v>3</v>
      </c>
      <c r="K105" s="2">
        <v>1</v>
      </c>
      <c r="L105" s="2" t="s">
        <v>40</v>
      </c>
      <c r="M105" s="52" t="e">
        <f t="shared" si="4"/>
        <v>#N/A</v>
      </c>
      <c r="N105" s="52">
        <f t="shared" si="5"/>
        <v>1</v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e">
        <f>IF(M106="","",VLOOKUP(M106,MASTER!$B$11:$C$30,2,0))</f>
        <v>#N/A</v>
      </c>
      <c r="H106" s="2" t="s">
        <v>249</v>
      </c>
      <c r="I106" s="2" t="s">
        <v>250</v>
      </c>
      <c r="J106" s="2" t="s">
        <v>3</v>
      </c>
      <c r="K106" s="2">
        <v>1</v>
      </c>
      <c r="L106" s="2" t="s">
        <v>40</v>
      </c>
      <c r="M106" s="52" t="e">
        <f t="shared" si="4"/>
        <v>#N/A</v>
      </c>
      <c r="N106" s="52">
        <f t="shared" si="5"/>
        <v>1</v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e">
        <f>IF(M107="","",VLOOKUP(M107,MASTER!$B$11:$C$30,2,0))</f>
        <v>#N/A</v>
      </c>
      <c r="H107" s="2" t="s">
        <v>251</v>
      </c>
      <c r="I107" s="2" t="s">
        <v>252</v>
      </c>
      <c r="J107" s="2" t="s">
        <v>3</v>
      </c>
      <c r="K107" s="2">
        <v>1</v>
      </c>
      <c r="L107" s="2" t="s">
        <v>40</v>
      </c>
      <c r="M107" s="52" t="e">
        <f t="shared" si="4"/>
        <v>#N/A</v>
      </c>
      <c r="N107" s="52">
        <f t="shared" si="5"/>
        <v>1</v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e">
        <f>IF(M108="","",VLOOKUP(M108,MASTER!$B$11:$C$30,2,0))</f>
        <v>#N/A</v>
      </c>
      <c r="H108" s="2" t="s">
        <v>253</v>
      </c>
      <c r="I108" s="2" t="s">
        <v>254</v>
      </c>
      <c r="J108" s="2" t="s">
        <v>3</v>
      </c>
      <c r="K108" s="2">
        <v>1</v>
      </c>
      <c r="L108" s="2" t="s">
        <v>40</v>
      </c>
      <c r="M108" s="52" t="e">
        <f t="shared" si="4"/>
        <v>#N/A</v>
      </c>
      <c r="N108" s="52">
        <f t="shared" si="5"/>
        <v>1</v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e">
        <f>IF(M109="","",VLOOKUP(M109,MASTER!$B$11:$C$30,2,0))</f>
        <v>#N/A</v>
      </c>
      <c r="H109" s="2" t="s">
        <v>255</v>
      </c>
      <c r="I109" s="2" t="s">
        <v>256</v>
      </c>
      <c r="J109" s="2" t="s">
        <v>3</v>
      </c>
      <c r="K109" s="2">
        <v>1</v>
      </c>
      <c r="L109" s="2" t="s">
        <v>40</v>
      </c>
      <c r="M109" s="52" t="e">
        <f t="shared" si="4"/>
        <v>#N/A</v>
      </c>
      <c r="N109" s="52">
        <f t="shared" si="5"/>
        <v>1</v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e">
        <f>IF(M110="","",VLOOKUP(M110,MASTER!$B$11:$C$30,2,0))</f>
        <v>#N/A</v>
      </c>
      <c r="H110" s="2" t="s">
        <v>257</v>
      </c>
      <c r="I110" s="2" t="s">
        <v>258</v>
      </c>
      <c r="J110" s="2" t="s">
        <v>3</v>
      </c>
      <c r="K110" s="2">
        <v>1</v>
      </c>
      <c r="L110" s="2" t="s">
        <v>40</v>
      </c>
      <c r="M110" s="52" t="e">
        <f t="shared" si="4"/>
        <v>#N/A</v>
      </c>
      <c r="N110" s="52">
        <f t="shared" si="5"/>
        <v>1</v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e">
        <f>IF(M111="","",VLOOKUP(M111,MASTER!$B$11:$C$30,2,0))</f>
        <v>#N/A</v>
      </c>
      <c r="H111" s="2" t="s">
        <v>259</v>
      </c>
      <c r="I111" s="2" t="s">
        <v>260</v>
      </c>
      <c r="J111" s="2" t="s">
        <v>3</v>
      </c>
      <c r="K111" s="2">
        <v>1</v>
      </c>
      <c r="L111" s="2" t="s">
        <v>40</v>
      </c>
      <c r="M111" s="52" t="e">
        <f t="shared" si="4"/>
        <v>#N/A</v>
      </c>
      <c r="N111" s="52">
        <f t="shared" si="5"/>
        <v>1</v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e">
        <f>IF(M112="","",VLOOKUP(M112,MASTER!$B$11:$C$30,2,0))</f>
        <v>#N/A</v>
      </c>
      <c r="H112" s="2" t="s">
        <v>261</v>
      </c>
      <c r="I112" s="2" t="s">
        <v>262</v>
      </c>
      <c r="J112" s="2" t="s">
        <v>3</v>
      </c>
      <c r="K112" s="2">
        <v>1</v>
      </c>
      <c r="L112" s="2" t="s">
        <v>40</v>
      </c>
      <c r="M112" s="52" t="e">
        <f t="shared" si="4"/>
        <v>#N/A</v>
      </c>
      <c r="N112" s="52">
        <f t="shared" si="5"/>
        <v>1</v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e">
        <f>IF(M113="","",VLOOKUP(M113,MASTER!$B$11:$C$30,2,0))</f>
        <v>#N/A</v>
      </c>
      <c r="H113" s="2" t="s">
        <v>263</v>
      </c>
      <c r="I113" s="2" t="s">
        <v>264</v>
      </c>
      <c r="J113" s="2" t="s">
        <v>3</v>
      </c>
      <c r="K113" s="2">
        <v>1</v>
      </c>
      <c r="L113" s="2" t="s">
        <v>40</v>
      </c>
      <c r="M113" s="52" t="e">
        <f t="shared" si="4"/>
        <v>#N/A</v>
      </c>
      <c r="N113" s="52">
        <f t="shared" si="5"/>
        <v>1</v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e">
        <f>IF(M114="","",VLOOKUP(M114,MASTER!$B$11:$C$30,2,0))</f>
        <v>#N/A</v>
      </c>
      <c r="H114" s="2" t="s">
        <v>265</v>
      </c>
      <c r="I114" s="2" t="s">
        <v>266</v>
      </c>
      <c r="J114" s="2" t="s">
        <v>3</v>
      </c>
      <c r="K114" s="2">
        <v>1</v>
      </c>
      <c r="L114" s="2" t="s">
        <v>40</v>
      </c>
      <c r="M114" s="52" t="e">
        <f t="shared" si="4"/>
        <v>#N/A</v>
      </c>
      <c r="N114" s="52">
        <f t="shared" si="5"/>
        <v>1</v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e">
        <f>IF(M115="","",VLOOKUP(M115,MASTER!$B$11:$C$30,2,0))</f>
        <v>#N/A</v>
      </c>
      <c r="H115" s="2" t="s">
        <v>267</v>
      </c>
      <c r="I115" s="2" t="s">
        <v>268</v>
      </c>
      <c r="J115" s="2" t="s">
        <v>3</v>
      </c>
      <c r="K115" s="2">
        <v>1</v>
      </c>
      <c r="L115" s="2" t="s">
        <v>40</v>
      </c>
      <c r="M115" s="52" t="e">
        <f t="shared" si="4"/>
        <v>#N/A</v>
      </c>
      <c r="N115" s="52">
        <f t="shared" si="5"/>
        <v>1</v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e">
        <f>IF(M116="","",VLOOKUP(M116,MASTER!$B$11:$C$30,2,0))</f>
        <v>#N/A</v>
      </c>
      <c r="H116" s="2" t="s">
        <v>269</v>
      </c>
      <c r="I116" s="2" t="s">
        <v>270</v>
      </c>
      <c r="J116" s="2" t="s">
        <v>3</v>
      </c>
      <c r="K116" s="2">
        <v>1</v>
      </c>
      <c r="L116" s="2" t="s">
        <v>40</v>
      </c>
      <c r="M116" s="52" t="e">
        <f t="shared" si="4"/>
        <v>#N/A</v>
      </c>
      <c r="N116" s="52">
        <f t="shared" si="5"/>
        <v>1</v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e">
        <f>IF(M117="","",VLOOKUP(M117,MASTER!$B$11:$C$30,2,0))</f>
        <v>#N/A</v>
      </c>
      <c r="H117" s="2" t="s">
        <v>271</v>
      </c>
      <c r="I117" s="2" t="s">
        <v>272</v>
      </c>
      <c r="J117" s="2" t="s">
        <v>3</v>
      </c>
      <c r="K117" s="2">
        <v>1</v>
      </c>
      <c r="L117" s="2" t="s">
        <v>40</v>
      </c>
      <c r="M117" s="52" t="e">
        <f t="shared" si="4"/>
        <v>#N/A</v>
      </c>
      <c r="N117" s="52">
        <f t="shared" si="5"/>
        <v>1</v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e">
        <f>IF(M118="","",VLOOKUP(M118,MASTER!$B$11:$C$30,2,0))</f>
        <v>#N/A</v>
      </c>
      <c r="H118" s="2" t="s">
        <v>273</v>
      </c>
      <c r="I118" s="2" t="s">
        <v>274</v>
      </c>
      <c r="J118" s="2" t="s">
        <v>3</v>
      </c>
      <c r="K118" s="2">
        <v>1</v>
      </c>
      <c r="L118" s="2" t="s">
        <v>40</v>
      </c>
      <c r="M118" s="52" t="e">
        <f t="shared" si="4"/>
        <v>#N/A</v>
      </c>
      <c r="N118" s="52">
        <f t="shared" si="5"/>
        <v>1</v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e">
        <f>IF(M119="","",VLOOKUP(M119,MASTER!$B$11:$C$30,2,0))</f>
        <v>#N/A</v>
      </c>
      <c r="H119" s="2" t="s">
        <v>275</v>
      </c>
      <c r="I119" s="2" t="s">
        <v>276</v>
      </c>
      <c r="J119" s="2" t="s">
        <v>3</v>
      </c>
      <c r="K119" s="2">
        <v>1</v>
      </c>
      <c r="L119" s="2" t="s">
        <v>40</v>
      </c>
      <c r="M119" s="52" t="e">
        <f t="shared" si="4"/>
        <v>#N/A</v>
      </c>
      <c r="N119" s="52">
        <f t="shared" si="5"/>
        <v>1</v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e">
        <f>IF(M120="","",VLOOKUP(M120,MASTER!$B$11:$C$30,2,0))</f>
        <v>#N/A</v>
      </c>
      <c r="H120" s="2" t="s">
        <v>277</v>
      </c>
      <c r="I120" s="2" t="s">
        <v>278</v>
      </c>
      <c r="J120" s="2" t="s">
        <v>3</v>
      </c>
      <c r="K120" s="2">
        <v>1</v>
      </c>
      <c r="L120" s="2" t="s">
        <v>40</v>
      </c>
      <c r="M120" s="52" t="e">
        <f t="shared" si="4"/>
        <v>#N/A</v>
      </c>
      <c r="N120" s="52">
        <f t="shared" si="5"/>
        <v>1</v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e">
        <f>IF(M121="","",VLOOKUP(M121,MASTER!$B$11:$C$30,2,0))</f>
        <v>#N/A</v>
      </c>
      <c r="H121" s="2" t="s">
        <v>279</v>
      </c>
      <c r="I121" s="2" t="s">
        <v>280</v>
      </c>
      <c r="J121" s="2" t="s">
        <v>3</v>
      </c>
      <c r="K121" s="2">
        <v>1</v>
      </c>
      <c r="L121" s="2" t="s">
        <v>40</v>
      </c>
      <c r="M121" s="52" t="e">
        <f t="shared" si="4"/>
        <v>#N/A</v>
      </c>
      <c r="N121" s="52">
        <f t="shared" si="5"/>
        <v>1</v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e">
        <f>IF(M122="","",VLOOKUP(M122,MASTER!$B$11:$C$30,2,0))</f>
        <v>#N/A</v>
      </c>
      <c r="H122" s="2" t="s">
        <v>281</v>
      </c>
      <c r="I122" s="2" t="s">
        <v>282</v>
      </c>
      <c r="J122" s="2" t="s">
        <v>3</v>
      </c>
      <c r="K122" s="2">
        <v>1</v>
      </c>
      <c r="L122" s="2" t="s">
        <v>40</v>
      </c>
      <c r="M122" s="52" t="e">
        <f t="shared" si="4"/>
        <v>#N/A</v>
      </c>
      <c r="N122" s="52">
        <f t="shared" si="5"/>
        <v>1</v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e">
        <f>IF(M123="","",VLOOKUP(M123,MASTER!$B$11:$C$30,2,0))</f>
        <v>#N/A</v>
      </c>
      <c r="H123" s="2" t="s">
        <v>283</v>
      </c>
      <c r="I123" s="2" t="s">
        <v>284</v>
      </c>
      <c r="J123" s="2" t="s">
        <v>3</v>
      </c>
      <c r="K123" s="2">
        <v>1</v>
      </c>
      <c r="L123" s="2" t="s">
        <v>40</v>
      </c>
      <c r="M123" s="52" t="e">
        <f t="shared" si="4"/>
        <v>#N/A</v>
      </c>
      <c r="N123" s="52">
        <f t="shared" si="5"/>
        <v>1</v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e">
        <f>IF(M124="","",VLOOKUP(M124,MASTER!$B$11:$C$30,2,0))</f>
        <v>#N/A</v>
      </c>
      <c r="H124" s="2" t="s">
        <v>285</v>
      </c>
      <c r="I124" s="2" t="s">
        <v>286</v>
      </c>
      <c r="J124" s="2" t="s">
        <v>3</v>
      </c>
      <c r="K124" s="2">
        <v>1</v>
      </c>
      <c r="L124" s="2" t="s">
        <v>40</v>
      </c>
      <c r="M124" s="52" t="e">
        <f t="shared" si="4"/>
        <v>#N/A</v>
      </c>
      <c r="N124" s="52">
        <f t="shared" si="5"/>
        <v>1</v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e">
        <f>IF(M125="","",VLOOKUP(M125,MASTER!$B$11:$C$30,2,0))</f>
        <v>#N/A</v>
      </c>
      <c r="H125" s="2" t="s">
        <v>287</v>
      </c>
      <c r="I125" s="2" t="s">
        <v>288</v>
      </c>
      <c r="J125" s="2" t="s">
        <v>3</v>
      </c>
      <c r="K125" s="2">
        <v>1</v>
      </c>
      <c r="L125" s="2" t="s">
        <v>40</v>
      </c>
      <c r="M125" s="52" t="e">
        <f t="shared" si="4"/>
        <v>#N/A</v>
      </c>
      <c r="N125" s="52">
        <f t="shared" si="5"/>
        <v>1</v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e">
        <f>IF(M126="","",VLOOKUP(M126,MASTER!$B$11:$C$30,2,0))</f>
        <v>#N/A</v>
      </c>
      <c r="H126" s="2" t="s">
        <v>289</v>
      </c>
      <c r="I126" s="2" t="s">
        <v>290</v>
      </c>
      <c r="J126" s="2" t="s">
        <v>3</v>
      </c>
      <c r="K126" s="2">
        <v>1</v>
      </c>
      <c r="L126" s="2" t="s">
        <v>40</v>
      </c>
      <c r="M126" s="52" t="e">
        <f t="shared" si="4"/>
        <v>#N/A</v>
      </c>
      <c r="N126" s="52">
        <f t="shared" si="5"/>
        <v>1</v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e">
        <f>IF(M127="","",VLOOKUP(M127,MASTER!$B$11:$C$30,2,0))</f>
        <v>#N/A</v>
      </c>
      <c r="H127" s="2" t="s">
        <v>291</v>
      </c>
      <c r="I127" s="2" t="s">
        <v>292</v>
      </c>
      <c r="J127" s="2" t="s">
        <v>3</v>
      </c>
      <c r="K127" s="2">
        <v>1</v>
      </c>
      <c r="L127" s="2" t="s">
        <v>40</v>
      </c>
      <c r="M127" s="52" t="e">
        <f t="shared" si="4"/>
        <v>#N/A</v>
      </c>
      <c r="N127" s="52">
        <f t="shared" si="5"/>
        <v>1</v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e">
        <f>IF(M128="","",VLOOKUP(M128,MASTER!$B$11:$C$30,2,0))</f>
        <v>#N/A</v>
      </c>
      <c r="H128" s="2" t="s">
        <v>293</v>
      </c>
      <c r="I128" s="2" t="s">
        <v>294</v>
      </c>
      <c r="J128" s="2" t="s">
        <v>3</v>
      </c>
      <c r="K128" s="2">
        <v>1</v>
      </c>
      <c r="L128" s="2" t="s">
        <v>40</v>
      </c>
      <c r="M128" s="52" t="e">
        <f t="shared" si="4"/>
        <v>#N/A</v>
      </c>
      <c r="N128" s="52">
        <f t="shared" si="5"/>
        <v>1</v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e">
        <f>IF(M129="","",VLOOKUP(M129,MASTER!$B$11:$C$30,2,0))</f>
        <v>#N/A</v>
      </c>
      <c r="H129" s="2" t="s">
        <v>295</v>
      </c>
      <c r="I129" s="2" t="s">
        <v>296</v>
      </c>
      <c r="J129" s="2" t="s">
        <v>3</v>
      </c>
      <c r="K129" s="2">
        <v>1</v>
      </c>
      <c r="L129" s="2" t="s">
        <v>40</v>
      </c>
      <c r="M129" s="52" t="e">
        <f t="shared" si="4"/>
        <v>#N/A</v>
      </c>
      <c r="N129" s="52">
        <f t="shared" si="5"/>
        <v>1</v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e">
        <f>IF(M130="","",VLOOKUP(M130,MASTER!$B$11:$C$30,2,0))</f>
        <v>#N/A</v>
      </c>
      <c r="H130" s="2" t="s">
        <v>297</v>
      </c>
      <c r="I130" s="2" t="s">
        <v>298</v>
      </c>
      <c r="J130" s="2" t="s">
        <v>3</v>
      </c>
      <c r="K130" s="2">
        <v>1</v>
      </c>
      <c r="L130" s="2" t="s">
        <v>40</v>
      </c>
      <c r="M130" s="52" t="e">
        <f t="shared" si="4"/>
        <v>#N/A</v>
      </c>
      <c r="N130" s="52">
        <f t="shared" si="5"/>
        <v>1</v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e">
        <f>IF(M131="","",VLOOKUP(M131,MASTER!$B$11:$C$30,2,0))</f>
        <v>#N/A</v>
      </c>
      <c r="H131" s="2" t="s">
        <v>299</v>
      </c>
      <c r="I131" s="2" t="s">
        <v>300</v>
      </c>
      <c r="J131" s="2" t="s">
        <v>3</v>
      </c>
      <c r="K131" s="2">
        <v>1</v>
      </c>
      <c r="L131" s="2" t="s">
        <v>40</v>
      </c>
      <c r="M131" s="52" t="e">
        <f t="shared" ref="M131:M194" si="6">IF(L131="","",VLOOKUP(L131,$A$10:$B$29,2,0))</f>
        <v>#N/A</v>
      </c>
      <c r="N131" s="52">
        <f t="shared" ref="N131:N194" si="7">IF(K131="","",K131)</f>
        <v>1</v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e">
        <f>IF(M132="","",VLOOKUP(M132,MASTER!$B$11:$C$30,2,0))</f>
        <v>#N/A</v>
      </c>
      <c r="H132" s="2" t="s">
        <v>301</v>
      </c>
      <c r="I132" s="2" t="s">
        <v>302</v>
      </c>
      <c r="J132" s="2" t="s">
        <v>3</v>
      </c>
      <c r="K132" s="2">
        <v>1</v>
      </c>
      <c r="L132" s="2" t="s">
        <v>40</v>
      </c>
      <c r="M132" s="52" t="e">
        <f t="shared" si="6"/>
        <v>#N/A</v>
      </c>
      <c r="N132" s="52">
        <f t="shared" si="7"/>
        <v>1</v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e">
        <f>IF(M133="","",VLOOKUP(M133,MASTER!$B$11:$C$30,2,0))</f>
        <v>#N/A</v>
      </c>
      <c r="H133" s="2" t="s">
        <v>303</v>
      </c>
      <c r="I133" s="2" t="s">
        <v>304</v>
      </c>
      <c r="J133" s="2" t="s">
        <v>3</v>
      </c>
      <c r="K133" s="2">
        <v>1</v>
      </c>
      <c r="L133" s="2" t="s">
        <v>40</v>
      </c>
      <c r="M133" s="52" t="e">
        <f t="shared" si="6"/>
        <v>#N/A</v>
      </c>
      <c r="N133" s="52">
        <f t="shared" si="7"/>
        <v>1</v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e">
        <f>IF(M134="","",VLOOKUP(M134,MASTER!$B$11:$C$30,2,0))</f>
        <v>#N/A</v>
      </c>
      <c r="H134" s="2" t="s">
        <v>305</v>
      </c>
      <c r="I134" s="2" t="s">
        <v>306</v>
      </c>
      <c r="J134" s="2" t="s">
        <v>3</v>
      </c>
      <c r="K134" s="2">
        <v>1</v>
      </c>
      <c r="L134" s="2" t="s">
        <v>40</v>
      </c>
      <c r="M134" s="52" t="e">
        <f t="shared" si="6"/>
        <v>#N/A</v>
      </c>
      <c r="N134" s="52">
        <f t="shared" si="7"/>
        <v>1</v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e">
        <f>IF(M135="","",VLOOKUP(M135,MASTER!$B$11:$C$30,2,0))</f>
        <v>#N/A</v>
      </c>
      <c r="H135" s="2" t="s">
        <v>307</v>
      </c>
      <c r="I135" s="2" t="s">
        <v>308</v>
      </c>
      <c r="J135" s="2" t="s">
        <v>3</v>
      </c>
      <c r="K135" s="2">
        <v>1</v>
      </c>
      <c r="L135" s="2" t="s">
        <v>40</v>
      </c>
      <c r="M135" s="52" t="e">
        <f t="shared" si="6"/>
        <v>#N/A</v>
      </c>
      <c r="N135" s="52">
        <f t="shared" si="7"/>
        <v>1</v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e">
        <f>IF(M136="","",VLOOKUP(M136,MASTER!$B$11:$C$30,2,0))</f>
        <v>#N/A</v>
      </c>
      <c r="H136" s="2" t="s">
        <v>309</v>
      </c>
      <c r="I136" s="2" t="s">
        <v>310</v>
      </c>
      <c r="J136" s="2" t="s">
        <v>3</v>
      </c>
      <c r="K136" s="2">
        <v>1</v>
      </c>
      <c r="L136" s="2" t="s">
        <v>40</v>
      </c>
      <c r="M136" s="52" t="e">
        <f t="shared" si="6"/>
        <v>#N/A</v>
      </c>
      <c r="N136" s="52">
        <f t="shared" si="7"/>
        <v>1</v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e">
        <f>IF(M137="","",VLOOKUP(M137,MASTER!$B$11:$C$30,2,0))</f>
        <v>#N/A</v>
      </c>
      <c r="H137" s="2" t="s">
        <v>311</v>
      </c>
      <c r="I137" s="2" t="s">
        <v>312</v>
      </c>
      <c r="J137" s="2" t="s">
        <v>3</v>
      </c>
      <c r="K137" s="2">
        <v>1</v>
      </c>
      <c r="L137" s="2" t="s">
        <v>40</v>
      </c>
      <c r="M137" s="52" t="e">
        <f t="shared" si="6"/>
        <v>#N/A</v>
      </c>
      <c r="N137" s="52">
        <f t="shared" si="7"/>
        <v>1</v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e">
        <f>IF(M138="","",VLOOKUP(M138,MASTER!$B$11:$C$30,2,0))</f>
        <v>#N/A</v>
      </c>
      <c r="H138" s="2" t="s">
        <v>313</v>
      </c>
      <c r="I138" s="2" t="s">
        <v>314</v>
      </c>
      <c r="J138" s="2" t="s">
        <v>3</v>
      </c>
      <c r="K138" s="2">
        <v>1</v>
      </c>
      <c r="L138" s="2" t="s">
        <v>40</v>
      </c>
      <c r="M138" s="52" t="e">
        <f t="shared" si="6"/>
        <v>#N/A</v>
      </c>
      <c r="N138" s="52">
        <f t="shared" si="7"/>
        <v>1</v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e">
        <f>IF(M139="","",VLOOKUP(M139,MASTER!$B$11:$C$30,2,0))</f>
        <v>#N/A</v>
      </c>
      <c r="H139" s="2" t="s">
        <v>315</v>
      </c>
      <c r="I139" s="2" t="s">
        <v>316</v>
      </c>
      <c r="J139" s="2" t="s">
        <v>3</v>
      </c>
      <c r="K139" s="2">
        <v>1</v>
      </c>
      <c r="L139" s="2" t="s">
        <v>40</v>
      </c>
      <c r="M139" s="52" t="e">
        <f t="shared" si="6"/>
        <v>#N/A</v>
      </c>
      <c r="N139" s="52">
        <f t="shared" si="7"/>
        <v>1</v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e">
        <f>IF(M140="","",VLOOKUP(M140,MASTER!$B$11:$C$30,2,0))</f>
        <v>#N/A</v>
      </c>
      <c r="H140" s="2" t="s">
        <v>317</v>
      </c>
      <c r="I140" s="2" t="s">
        <v>318</v>
      </c>
      <c r="J140" s="2" t="s">
        <v>3</v>
      </c>
      <c r="K140" s="2">
        <v>1</v>
      </c>
      <c r="L140" s="2" t="s">
        <v>40</v>
      </c>
      <c r="M140" s="52" t="e">
        <f t="shared" si="6"/>
        <v>#N/A</v>
      </c>
      <c r="N140" s="52">
        <f t="shared" si="7"/>
        <v>1</v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e">
        <f>IF(M141="","",VLOOKUP(M141,MASTER!$B$11:$C$30,2,0))</f>
        <v>#N/A</v>
      </c>
      <c r="H141" s="2" t="s">
        <v>319</v>
      </c>
      <c r="I141" s="2" t="s">
        <v>320</v>
      </c>
      <c r="J141" s="2" t="s">
        <v>3</v>
      </c>
      <c r="K141" s="2">
        <v>1</v>
      </c>
      <c r="L141" s="2" t="s">
        <v>40</v>
      </c>
      <c r="M141" s="52" t="e">
        <f t="shared" si="6"/>
        <v>#N/A</v>
      </c>
      <c r="N141" s="52">
        <f t="shared" si="7"/>
        <v>1</v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e">
        <f>IF(M142="","",VLOOKUP(M142,MASTER!$B$11:$C$30,2,0))</f>
        <v>#N/A</v>
      </c>
      <c r="H142" s="2" t="s">
        <v>321</v>
      </c>
      <c r="I142" s="2" t="s">
        <v>322</v>
      </c>
      <c r="J142" s="2" t="s">
        <v>3</v>
      </c>
      <c r="K142" s="2">
        <v>1</v>
      </c>
      <c r="L142" s="2" t="s">
        <v>40</v>
      </c>
      <c r="M142" s="52" t="e">
        <f t="shared" si="6"/>
        <v>#N/A</v>
      </c>
      <c r="N142" s="52">
        <f t="shared" si="7"/>
        <v>1</v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e">
        <f>IF(M143="","",VLOOKUP(M143,MASTER!$B$11:$C$30,2,0))</f>
        <v>#N/A</v>
      </c>
      <c r="H143" s="2" t="s">
        <v>323</v>
      </c>
      <c r="I143" s="2" t="s">
        <v>324</v>
      </c>
      <c r="J143" s="2" t="s">
        <v>3</v>
      </c>
      <c r="K143" s="2">
        <v>1</v>
      </c>
      <c r="L143" s="2" t="s">
        <v>40</v>
      </c>
      <c r="M143" s="52" t="e">
        <f t="shared" si="6"/>
        <v>#N/A</v>
      </c>
      <c r="N143" s="52">
        <f t="shared" si="7"/>
        <v>1</v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e">
        <f>IF(M144="","",VLOOKUP(M144,MASTER!$B$11:$C$30,2,0))</f>
        <v>#N/A</v>
      </c>
      <c r="H144" s="2" t="s">
        <v>325</v>
      </c>
      <c r="I144" s="2" t="s">
        <v>326</v>
      </c>
      <c r="J144" s="2" t="s">
        <v>3</v>
      </c>
      <c r="K144" s="2">
        <v>1</v>
      </c>
      <c r="L144" s="2" t="s">
        <v>40</v>
      </c>
      <c r="M144" s="52" t="e">
        <f t="shared" si="6"/>
        <v>#N/A</v>
      </c>
      <c r="N144" s="52">
        <f t="shared" si="7"/>
        <v>1</v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e">
        <f>IF(M145="","",VLOOKUP(M145,MASTER!$B$11:$C$30,2,0))</f>
        <v>#N/A</v>
      </c>
      <c r="H145" s="2" t="s">
        <v>327</v>
      </c>
      <c r="I145" s="2" t="s">
        <v>328</v>
      </c>
      <c r="J145" s="2" t="s">
        <v>3</v>
      </c>
      <c r="K145" s="2">
        <v>1</v>
      </c>
      <c r="L145" s="2" t="s">
        <v>40</v>
      </c>
      <c r="M145" s="52" t="e">
        <f t="shared" si="6"/>
        <v>#N/A</v>
      </c>
      <c r="N145" s="52">
        <f t="shared" si="7"/>
        <v>1</v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e">
        <f>IF(M146="","",VLOOKUP(M146,MASTER!$B$11:$C$30,2,0))</f>
        <v>#N/A</v>
      </c>
      <c r="H146" s="2" t="s">
        <v>329</v>
      </c>
      <c r="I146" s="2" t="s">
        <v>330</v>
      </c>
      <c r="J146" s="2" t="s">
        <v>3</v>
      </c>
      <c r="K146" s="2">
        <v>1</v>
      </c>
      <c r="L146" s="2" t="s">
        <v>40</v>
      </c>
      <c r="M146" s="52" t="e">
        <f t="shared" si="6"/>
        <v>#N/A</v>
      </c>
      <c r="N146" s="52">
        <f t="shared" si="7"/>
        <v>1</v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e">
        <f>IF(M147="","",VLOOKUP(M147,MASTER!$B$11:$C$30,2,0))</f>
        <v>#N/A</v>
      </c>
      <c r="H147" s="2" t="s">
        <v>331</v>
      </c>
      <c r="I147" s="2" t="s">
        <v>332</v>
      </c>
      <c r="J147" s="2" t="s">
        <v>3</v>
      </c>
      <c r="K147" s="2">
        <v>1</v>
      </c>
      <c r="L147" s="2" t="s">
        <v>40</v>
      </c>
      <c r="M147" s="52" t="e">
        <f t="shared" si="6"/>
        <v>#N/A</v>
      </c>
      <c r="N147" s="52">
        <f t="shared" si="7"/>
        <v>1</v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e">
        <f>IF(M148="","",VLOOKUP(M148,MASTER!$B$11:$C$30,2,0))</f>
        <v>#N/A</v>
      </c>
      <c r="H148" s="2" t="s">
        <v>333</v>
      </c>
      <c r="I148" s="2" t="s">
        <v>334</v>
      </c>
      <c r="J148" s="2" t="s">
        <v>3</v>
      </c>
      <c r="K148" s="2">
        <v>1</v>
      </c>
      <c r="L148" s="2" t="s">
        <v>40</v>
      </c>
      <c r="M148" s="52" t="e">
        <f t="shared" si="6"/>
        <v>#N/A</v>
      </c>
      <c r="N148" s="52">
        <f t="shared" si="7"/>
        <v>1</v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e">
        <f>IF(M149="","",VLOOKUP(M149,MASTER!$B$11:$C$30,2,0))</f>
        <v>#N/A</v>
      </c>
      <c r="H149" s="2" t="s">
        <v>335</v>
      </c>
      <c r="I149" s="2" t="s">
        <v>336</v>
      </c>
      <c r="J149" s="2" t="s">
        <v>3</v>
      </c>
      <c r="K149" s="2">
        <v>1</v>
      </c>
      <c r="L149" s="2" t="s">
        <v>40</v>
      </c>
      <c r="M149" s="52" t="e">
        <f t="shared" si="6"/>
        <v>#N/A</v>
      </c>
      <c r="N149" s="52">
        <f t="shared" si="7"/>
        <v>1</v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e">
        <f>IF(M150="","",VLOOKUP(M150,MASTER!$B$11:$C$30,2,0))</f>
        <v>#N/A</v>
      </c>
      <c r="H150" s="2" t="s">
        <v>337</v>
      </c>
      <c r="I150" s="2" t="s">
        <v>338</v>
      </c>
      <c r="J150" s="2" t="s">
        <v>3</v>
      </c>
      <c r="K150" s="2">
        <v>1</v>
      </c>
      <c r="L150" s="2" t="s">
        <v>40</v>
      </c>
      <c r="M150" s="52" t="e">
        <f t="shared" si="6"/>
        <v>#N/A</v>
      </c>
      <c r="N150" s="52">
        <f t="shared" si="7"/>
        <v>1</v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e">
        <f>IF(M151="","",VLOOKUP(M151,MASTER!$B$11:$C$30,2,0))</f>
        <v>#N/A</v>
      </c>
      <c r="H151" s="2" t="s">
        <v>339</v>
      </c>
      <c r="I151" s="2" t="s">
        <v>340</v>
      </c>
      <c r="J151" s="2" t="s">
        <v>3</v>
      </c>
      <c r="K151" s="2">
        <v>1</v>
      </c>
      <c r="L151" s="2" t="s">
        <v>40</v>
      </c>
      <c r="M151" s="52" t="e">
        <f t="shared" si="6"/>
        <v>#N/A</v>
      </c>
      <c r="N151" s="52">
        <f t="shared" si="7"/>
        <v>1</v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e">
        <f>IF(M152="","",VLOOKUP(M152,MASTER!$B$11:$C$30,2,0))</f>
        <v>#N/A</v>
      </c>
      <c r="H152" s="2" t="s">
        <v>341</v>
      </c>
      <c r="I152" s="2" t="s">
        <v>342</v>
      </c>
      <c r="J152" s="2" t="s">
        <v>3</v>
      </c>
      <c r="K152" s="2">
        <v>1</v>
      </c>
      <c r="L152" s="2" t="s">
        <v>40</v>
      </c>
      <c r="M152" s="52" t="e">
        <f t="shared" si="6"/>
        <v>#N/A</v>
      </c>
      <c r="N152" s="52">
        <f t="shared" si="7"/>
        <v>1</v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e">
        <f>IF(M153="","",VLOOKUP(M153,MASTER!$B$11:$C$30,2,0))</f>
        <v>#N/A</v>
      </c>
      <c r="H153" s="2" t="s">
        <v>343</v>
      </c>
      <c r="I153" s="2" t="s">
        <v>344</v>
      </c>
      <c r="J153" s="2" t="s">
        <v>3</v>
      </c>
      <c r="K153" s="2">
        <v>1</v>
      </c>
      <c r="L153" s="2" t="s">
        <v>40</v>
      </c>
      <c r="M153" s="52" t="e">
        <f t="shared" si="6"/>
        <v>#N/A</v>
      </c>
      <c r="N153" s="52">
        <f t="shared" si="7"/>
        <v>1</v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e">
        <f>IF(M154="","",VLOOKUP(M154,MASTER!$B$11:$C$30,2,0))</f>
        <v>#N/A</v>
      </c>
      <c r="H154" s="2" t="s">
        <v>345</v>
      </c>
      <c r="I154" s="2" t="s">
        <v>346</v>
      </c>
      <c r="J154" s="2" t="s">
        <v>3</v>
      </c>
      <c r="K154" s="2">
        <v>1</v>
      </c>
      <c r="L154" s="2" t="s">
        <v>40</v>
      </c>
      <c r="M154" s="52" t="e">
        <f t="shared" si="6"/>
        <v>#N/A</v>
      </c>
      <c r="N154" s="52">
        <f t="shared" si="7"/>
        <v>1</v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e">
        <f>IF(M155="","",VLOOKUP(M155,MASTER!$B$11:$C$30,2,0))</f>
        <v>#N/A</v>
      </c>
      <c r="H155" s="2" t="s">
        <v>347</v>
      </c>
      <c r="I155" s="2" t="s">
        <v>348</v>
      </c>
      <c r="J155" s="2" t="s">
        <v>3</v>
      </c>
      <c r="K155" s="2">
        <v>1</v>
      </c>
      <c r="L155" s="2" t="s">
        <v>40</v>
      </c>
      <c r="M155" s="52" t="e">
        <f t="shared" si="6"/>
        <v>#N/A</v>
      </c>
      <c r="N155" s="52">
        <f t="shared" si="7"/>
        <v>1</v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e">
        <f>IF(M156="","",VLOOKUP(M156,MASTER!$B$11:$C$30,2,0))</f>
        <v>#N/A</v>
      </c>
      <c r="H156" s="2" t="s">
        <v>349</v>
      </c>
      <c r="I156" s="2" t="s">
        <v>350</v>
      </c>
      <c r="J156" s="2" t="s">
        <v>3</v>
      </c>
      <c r="K156" s="2">
        <v>1</v>
      </c>
      <c r="L156" s="2" t="s">
        <v>40</v>
      </c>
      <c r="M156" s="52" t="e">
        <f t="shared" si="6"/>
        <v>#N/A</v>
      </c>
      <c r="N156" s="52">
        <f t="shared" si="7"/>
        <v>1</v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e">
        <f>IF(M157="","",VLOOKUP(M157,MASTER!$B$11:$C$30,2,0))</f>
        <v>#N/A</v>
      </c>
      <c r="H157" s="2" t="s">
        <v>351</v>
      </c>
      <c r="I157" s="2" t="s">
        <v>352</v>
      </c>
      <c r="J157" s="2" t="s">
        <v>3</v>
      </c>
      <c r="K157" s="2">
        <v>1</v>
      </c>
      <c r="L157" s="2" t="s">
        <v>40</v>
      </c>
      <c r="M157" s="52" t="e">
        <f t="shared" si="6"/>
        <v>#N/A</v>
      </c>
      <c r="N157" s="52">
        <f t="shared" si="7"/>
        <v>1</v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e">
        <f>IF(M158="","",VLOOKUP(M158,MASTER!$B$11:$C$30,2,0))</f>
        <v>#N/A</v>
      </c>
      <c r="H158" s="2" t="s">
        <v>353</v>
      </c>
      <c r="I158" s="2" t="s">
        <v>354</v>
      </c>
      <c r="J158" s="2" t="s">
        <v>3</v>
      </c>
      <c r="K158" s="2">
        <v>1</v>
      </c>
      <c r="L158" s="2" t="s">
        <v>40</v>
      </c>
      <c r="M158" s="52" t="e">
        <f t="shared" si="6"/>
        <v>#N/A</v>
      </c>
      <c r="N158" s="52">
        <f t="shared" si="7"/>
        <v>1</v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e">
        <f>IF(M159="","",VLOOKUP(M159,MASTER!$B$11:$C$30,2,0))</f>
        <v>#N/A</v>
      </c>
      <c r="H159" s="2" t="s">
        <v>355</v>
      </c>
      <c r="I159" s="2" t="s">
        <v>356</v>
      </c>
      <c r="J159" s="2" t="s">
        <v>3</v>
      </c>
      <c r="K159" s="2">
        <v>1</v>
      </c>
      <c r="L159" s="2" t="s">
        <v>40</v>
      </c>
      <c r="M159" s="52" t="e">
        <f t="shared" si="6"/>
        <v>#N/A</v>
      </c>
      <c r="N159" s="52">
        <f t="shared" si="7"/>
        <v>1</v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e">
        <f>IF(M160="","",VLOOKUP(M160,MASTER!$B$11:$C$30,2,0))</f>
        <v>#N/A</v>
      </c>
      <c r="H160" s="2" t="s">
        <v>357</v>
      </c>
      <c r="I160" s="2" t="s">
        <v>358</v>
      </c>
      <c r="J160" s="2" t="s">
        <v>3</v>
      </c>
      <c r="K160" s="2">
        <v>1</v>
      </c>
      <c r="L160" s="2" t="s">
        <v>40</v>
      </c>
      <c r="M160" s="52" t="e">
        <f t="shared" si="6"/>
        <v>#N/A</v>
      </c>
      <c r="N160" s="52">
        <f t="shared" si="7"/>
        <v>1</v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e">
        <f>IF(M161="","",VLOOKUP(M161,MASTER!$B$11:$C$30,2,0))</f>
        <v>#N/A</v>
      </c>
      <c r="H161" s="2" t="s">
        <v>359</v>
      </c>
      <c r="I161" s="2" t="s">
        <v>360</v>
      </c>
      <c r="J161" s="2" t="s">
        <v>3</v>
      </c>
      <c r="K161" s="2">
        <v>1</v>
      </c>
      <c r="L161" s="2" t="s">
        <v>40</v>
      </c>
      <c r="M161" s="52" t="e">
        <f t="shared" si="6"/>
        <v>#N/A</v>
      </c>
      <c r="N161" s="52">
        <f t="shared" si="7"/>
        <v>1</v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e">
        <f>IF(M162="","",VLOOKUP(M162,MASTER!$B$11:$C$30,2,0))</f>
        <v>#N/A</v>
      </c>
      <c r="H162" s="2" t="s">
        <v>361</v>
      </c>
      <c r="I162" s="2" t="s">
        <v>362</v>
      </c>
      <c r="J162" s="2" t="s">
        <v>3</v>
      </c>
      <c r="K162" s="2">
        <v>1</v>
      </c>
      <c r="L162" s="2" t="s">
        <v>40</v>
      </c>
      <c r="M162" s="52" t="e">
        <f t="shared" si="6"/>
        <v>#N/A</v>
      </c>
      <c r="N162" s="52">
        <f t="shared" si="7"/>
        <v>1</v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e">
        <f>IF(M163="","",VLOOKUP(M163,MASTER!$B$11:$C$30,2,0))</f>
        <v>#N/A</v>
      </c>
      <c r="H163" s="2" t="s">
        <v>363</v>
      </c>
      <c r="I163" s="2" t="s">
        <v>364</v>
      </c>
      <c r="J163" s="2" t="s">
        <v>3</v>
      </c>
      <c r="K163" s="2">
        <v>1</v>
      </c>
      <c r="L163" s="2" t="s">
        <v>40</v>
      </c>
      <c r="M163" s="52" t="e">
        <f t="shared" si="6"/>
        <v>#N/A</v>
      </c>
      <c r="N163" s="52">
        <f t="shared" si="7"/>
        <v>1</v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e">
        <f>IF(M164="","",VLOOKUP(M164,MASTER!$B$11:$C$30,2,0))</f>
        <v>#N/A</v>
      </c>
      <c r="H164" s="2" t="s">
        <v>365</v>
      </c>
      <c r="I164" s="2" t="s">
        <v>366</v>
      </c>
      <c r="J164" s="2" t="s">
        <v>3</v>
      </c>
      <c r="K164" s="2">
        <v>1</v>
      </c>
      <c r="L164" s="2" t="s">
        <v>40</v>
      </c>
      <c r="M164" s="52" t="e">
        <f t="shared" si="6"/>
        <v>#N/A</v>
      </c>
      <c r="N164" s="52">
        <f t="shared" si="7"/>
        <v>1</v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e">
        <f>IF(M165="","",VLOOKUP(M165,MASTER!$B$11:$C$30,2,0))</f>
        <v>#N/A</v>
      </c>
      <c r="H165" s="2" t="s">
        <v>367</v>
      </c>
      <c r="I165" s="2" t="s">
        <v>368</v>
      </c>
      <c r="J165" s="2" t="s">
        <v>3</v>
      </c>
      <c r="K165" s="2">
        <v>1</v>
      </c>
      <c r="L165" s="2" t="s">
        <v>40</v>
      </c>
      <c r="M165" s="52" t="e">
        <f t="shared" si="6"/>
        <v>#N/A</v>
      </c>
      <c r="N165" s="52">
        <f t="shared" si="7"/>
        <v>1</v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e">
        <f>IF(M166="","",VLOOKUP(M166,MASTER!$B$11:$C$30,2,0))</f>
        <v>#N/A</v>
      </c>
      <c r="H166" s="2" t="s">
        <v>369</v>
      </c>
      <c r="I166" s="2" t="s">
        <v>370</v>
      </c>
      <c r="J166" s="2" t="s">
        <v>3</v>
      </c>
      <c r="K166" s="2">
        <v>1</v>
      </c>
      <c r="L166" s="2" t="s">
        <v>40</v>
      </c>
      <c r="M166" s="52" t="e">
        <f t="shared" si="6"/>
        <v>#N/A</v>
      </c>
      <c r="N166" s="52">
        <f t="shared" si="7"/>
        <v>1</v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e">
        <f>IF(M167="","",VLOOKUP(M167,MASTER!$B$11:$C$30,2,0))</f>
        <v>#N/A</v>
      </c>
      <c r="H167" s="2" t="s">
        <v>371</v>
      </c>
      <c r="I167" s="2" t="s">
        <v>372</v>
      </c>
      <c r="J167" s="2" t="s">
        <v>3</v>
      </c>
      <c r="K167" s="2">
        <v>1</v>
      </c>
      <c r="L167" s="2" t="s">
        <v>40</v>
      </c>
      <c r="M167" s="52" t="e">
        <f t="shared" si="6"/>
        <v>#N/A</v>
      </c>
      <c r="N167" s="52">
        <f t="shared" si="7"/>
        <v>1</v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e">
        <f>IF(M168="","",VLOOKUP(M168,MASTER!$B$11:$C$30,2,0))</f>
        <v>#N/A</v>
      </c>
      <c r="H168" s="2" t="s">
        <v>373</v>
      </c>
      <c r="I168" s="2" t="s">
        <v>374</v>
      </c>
      <c r="J168" s="2" t="s">
        <v>3</v>
      </c>
      <c r="K168" s="2">
        <v>1</v>
      </c>
      <c r="L168" s="2" t="s">
        <v>40</v>
      </c>
      <c r="M168" s="52" t="e">
        <f t="shared" si="6"/>
        <v>#N/A</v>
      </c>
      <c r="N168" s="52">
        <f t="shared" si="7"/>
        <v>1</v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e">
        <f>IF(M169="","",VLOOKUP(M169,MASTER!$B$11:$C$30,2,0))</f>
        <v>#N/A</v>
      </c>
      <c r="H169" s="2" t="s">
        <v>375</v>
      </c>
      <c r="I169" s="2" t="s">
        <v>376</v>
      </c>
      <c r="J169" s="2" t="s">
        <v>3</v>
      </c>
      <c r="K169" s="2">
        <v>1</v>
      </c>
      <c r="L169" s="2" t="s">
        <v>40</v>
      </c>
      <c r="M169" s="52" t="e">
        <f t="shared" si="6"/>
        <v>#N/A</v>
      </c>
      <c r="N169" s="52">
        <f t="shared" si="7"/>
        <v>1</v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e">
        <f>IF(M170="","",VLOOKUP(M170,MASTER!$B$11:$C$30,2,0))</f>
        <v>#N/A</v>
      </c>
      <c r="H170" s="2" t="s">
        <v>377</v>
      </c>
      <c r="I170" s="2" t="s">
        <v>378</v>
      </c>
      <c r="J170" s="2" t="s">
        <v>3</v>
      </c>
      <c r="K170" s="2">
        <v>1</v>
      </c>
      <c r="L170" s="2" t="s">
        <v>40</v>
      </c>
      <c r="M170" s="52" t="e">
        <f t="shared" si="6"/>
        <v>#N/A</v>
      </c>
      <c r="N170" s="52">
        <f t="shared" si="7"/>
        <v>1</v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e">
        <f>IF(M171="","",VLOOKUP(M171,MASTER!$B$11:$C$30,2,0))</f>
        <v>#N/A</v>
      </c>
      <c r="H171" s="2" t="s">
        <v>379</v>
      </c>
      <c r="I171" s="2" t="s">
        <v>380</v>
      </c>
      <c r="J171" s="2" t="s">
        <v>3</v>
      </c>
      <c r="K171" s="2">
        <v>1</v>
      </c>
      <c r="L171" s="2" t="s">
        <v>40</v>
      </c>
      <c r="M171" s="52" t="e">
        <f t="shared" si="6"/>
        <v>#N/A</v>
      </c>
      <c r="N171" s="52">
        <f t="shared" si="7"/>
        <v>1</v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e">
        <f>IF(M172="","",VLOOKUP(M172,MASTER!$B$11:$C$30,2,0))</f>
        <v>#N/A</v>
      </c>
      <c r="H172" s="2" t="s">
        <v>381</v>
      </c>
      <c r="I172" s="2" t="s">
        <v>382</v>
      </c>
      <c r="J172" s="2" t="s">
        <v>3</v>
      </c>
      <c r="K172" s="2">
        <v>1</v>
      </c>
      <c r="L172" s="2" t="s">
        <v>40</v>
      </c>
      <c r="M172" s="52" t="e">
        <f t="shared" si="6"/>
        <v>#N/A</v>
      </c>
      <c r="N172" s="52">
        <f t="shared" si="7"/>
        <v>1</v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e">
        <f>IF(M173="","",VLOOKUP(M173,MASTER!$B$11:$C$30,2,0))</f>
        <v>#N/A</v>
      </c>
      <c r="H173" s="2" t="s">
        <v>383</v>
      </c>
      <c r="I173" s="2" t="s">
        <v>384</v>
      </c>
      <c r="J173" s="2" t="s">
        <v>3</v>
      </c>
      <c r="K173" s="2">
        <v>1</v>
      </c>
      <c r="L173" s="2" t="s">
        <v>40</v>
      </c>
      <c r="M173" s="52" t="e">
        <f t="shared" si="6"/>
        <v>#N/A</v>
      </c>
      <c r="N173" s="52">
        <f t="shared" si="7"/>
        <v>1</v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e">
        <f>IF(M174="","",VLOOKUP(M174,MASTER!$B$11:$C$30,2,0))</f>
        <v>#N/A</v>
      </c>
      <c r="H174" s="2" t="s">
        <v>385</v>
      </c>
      <c r="I174" s="2" t="s">
        <v>386</v>
      </c>
      <c r="J174" s="2" t="s">
        <v>3</v>
      </c>
      <c r="K174" s="2">
        <v>1</v>
      </c>
      <c r="L174" s="2" t="s">
        <v>40</v>
      </c>
      <c r="M174" s="52" t="e">
        <f t="shared" si="6"/>
        <v>#N/A</v>
      </c>
      <c r="N174" s="52">
        <f t="shared" si="7"/>
        <v>1</v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e">
        <f>IF(M175="","",VLOOKUP(M175,MASTER!$B$11:$C$30,2,0))</f>
        <v>#N/A</v>
      </c>
      <c r="H175" s="2" t="s">
        <v>387</v>
      </c>
      <c r="I175" s="2" t="s">
        <v>388</v>
      </c>
      <c r="J175" s="2" t="s">
        <v>3</v>
      </c>
      <c r="K175" s="2">
        <v>1</v>
      </c>
      <c r="L175" s="2" t="s">
        <v>40</v>
      </c>
      <c r="M175" s="52" t="e">
        <f t="shared" si="6"/>
        <v>#N/A</v>
      </c>
      <c r="N175" s="52">
        <f t="shared" si="7"/>
        <v>1</v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e">
        <f>IF(M176="","",VLOOKUP(M176,MASTER!$B$11:$C$30,2,0))</f>
        <v>#N/A</v>
      </c>
      <c r="H176" s="2" t="s">
        <v>389</v>
      </c>
      <c r="I176" s="2" t="s">
        <v>390</v>
      </c>
      <c r="J176" s="2" t="s">
        <v>3</v>
      </c>
      <c r="K176" s="2">
        <v>1</v>
      </c>
      <c r="L176" s="2" t="s">
        <v>40</v>
      </c>
      <c r="M176" s="52" t="e">
        <f t="shared" si="6"/>
        <v>#N/A</v>
      </c>
      <c r="N176" s="52">
        <f t="shared" si="7"/>
        <v>1</v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e">
        <f>IF(M177="","",VLOOKUP(M177,MASTER!$B$11:$C$30,2,0))</f>
        <v>#N/A</v>
      </c>
      <c r="H177" s="2" t="s">
        <v>391</v>
      </c>
      <c r="I177" s="2" t="s">
        <v>392</v>
      </c>
      <c r="J177" s="2" t="s">
        <v>3</v>
      </c>
      <c r="K177" s="2">
        <v>1</v>
      </c>
      <c r="L177" s="2" t="s">
        <v>40</v>
      </c>
      <c r="M177" s="52" t="e">
        <f t="shared" si="6"/>
        <v>#N/A</v>
      </c>
      <c r="N177" s="52">
        <f t="shared" si="7"/>
        <v>1</v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e">
        <f>IF(M178="","",VLOOKUP(M178,MASTER!$B$11:$C$30,2,0))</f>
        <v>#N/A</v>
      </c>
      <c r="H178" s="2" t="s">
        <v>393</v>
      </c>
      <c r="I178" s="2" t="s">
        <v>394</v>
      </c>
      <c r="J178" s="2" t="s">
        <v>3</v>
      </c>
      <c r="K178" s="2">
        <v>1</v>
      </c>
      <c r="L178" s="2" t="s">
        <v>40</v>
      </c>
      <c r="M178" s="52" t="e">
        <f t="shared" si="6"/>
        <v>#N/A</v>
      </c>
      <c r="N178" s="52">
        <f t="shared" si="7"/>
        <v>1</v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e">
        <f>IF(M179="","",VLOOKUP(M179,MASTER!$B$11:$C$30,2,0))</f>
        <v>#N/A</v>
      </c>
      <c r="H179" s="2" t="s">
        <v>395</v>
      </c>
      <c r="I179" s="2" t="s">
        <v>396</v>
      </c>
      <c r="J179" s="2" t="s">
        <v>3</v>
      </c>
      <c r="K179" s="2">
        <v>1</v>
      </c>
      <c r="L179" s="2" t="s">
        <v>40</v>
      </c>
      <c r="M179" s="52" t="e">
        <f t="shared" si="6"/>
        <v>#N/A</v>
      </c>
      <c r="N179" s="52">
        <f t="shared" si="7"/>
        <v>1</v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e">
        <f>IF(M180="","",VLOOKUP(M180,MASTER!$B$11:$C$30,2,0))</f>
        <v>#N/A</v>
      </c>
      <c r="H180" s="2" t="s">
        <v>397</v>
      </c>
      <c r="I180" s="2" t="s">
        <v>398</v>
      </c>
      <c r="J180" s="2" t="s">
        <v>3</v>
      </c>
      <c r="K180" s="2">
        <v>1</v>
      </c>
      <c r="L180" s="2" t="s">
        <v>40</v>
      </c>
      <c r="M180" s="52" t="e">
        <f t="shared" si="6"/>
        <v>#N/A</v>
      </c>
      <c r="N180" s="52">
        <f t="shared" si="7"/>
        <v>1</v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e">
        <f>IF(M181="","",VLOOKUP(M181,MASTER!$B$11:$C$30,2,0))</f>
        <v>#N/A</v>
      </c>
      <c r="H181" s="2" t="s">
        <v>399</v>
      </c>
      <c r="I181" s="2" t="s">
        <v>400</v>
      </c>
      <c r="J181" s="2" t="s">
        <v>3</v>
      </c>
      <c r="K181" s="2">
        <v>1</v>
      </c>
      <c r="L181" s="2" t="s">
        <v>40</v>
      </c>
      <c r="M181" s="52" t="e">
        <f t="shared" si="6"/>
        <v>#N/A</v>
      </c>
      <c r="N181" s="52">
        <f t="shared" si="7"/>
        <v>1</v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e">
        <f>IF(M182="","",VLOOKUP(M182,MASTER!$B$11:$C$30,2,0))</f>
        <v>#N/A</v>
      </c>
      <c r="H182" s="2" t="s">
        <v>401</v>
      </c>
      <c r="I182" s="2" t="s">
        <v>402</v>
      </c>
      <c r="J182" s="2" t="s">
        <v>3</v>
      </c>
      <c r="K182" s="2">
        <v>1</v>
      </c>
      <c r="L182" s="2" t="s">
        <v>40</v>
      </c>
      <c r="M182" s="52" t="e">
        <f t="shared" si="6"/>
        <v>#N/A</v>
      </c>
      <c r="N182" s="52">
        <f t="shared" si="7"/>
        <v>1</v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e">
        <f>IF(M183="","",VLOOKUP(M183,MASTER!$B$11:$C$30,2,0))</f>
        <v>#N/A</v>
      </c>
      <c r="H183" s="2" t="s">
        <v>403</v>
      </c>
      <c r="I183" s="2" t="s">
        <v>404</v>
      </c>
      <c r="J183" s="2" t="s">
        <v>3</v>
      </c>
      <c r="K183" s="2">
        <v>1</v>
      </c>
      <c r="L183" s="2" t="s">
        <v>40</v>
      </c>
      <c r="M183" s="52" t="e">
        <f t="shared" si="6"/>
        <v>#N/A</v>
      </c>
      <c r="N183" s="52">
        <f t="shared" si="7"/>
        <v>1</v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e">
        <f>IF(M184="","",VLOOKUP(M184,MASTER!$B$11:$C$30,2,0))</f>
        <v>#N/A</v>
      </c>
      <c r="H184" s="2" t="s">
        <v>405</v>
      </c>
      <c r="I184" s="2" t="s">
        <v>406</v>
      </c>
      <c r="J184" s="2" t="s">
        <v>3</v>
      </c>
      <c r="K184" s="2">
        <v>1</v>
      </c>
      <c r="L184" s="2" t="s">
        <v>40</v>
      </c>
      <c r="M184" s="52" t="e">
        <f t="shared" si="6"/>
        <v>#N/A</v>
      </c>
      <c r="N184" s="52">
        <f t="shared" si="7"/>
        <v>1</v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e">
        <f>IF(M185="","",VLOOKUP(M185,MASTER!$B$11:$C$30,2,0))</f>
        <v>#N/A</v>
      </c>
      <c r="H185" s="2" t="s">
        <v>407</v>
      </c>
      <c r="I185" s="2" t="s">
        <v>408</v>
      </c>
      <c r="J185" s="2" t="s">
        <v>3</v>
      </c>
      <c r="K185" s="2">
        <v>1</v>
      </c>
      <c r="L185" s="2" t="s">
        <v>40</v>
      </c>
      <c r="M185" s="52" t="e">
        <f t="shared" si="6"/>
        <v>#N/A</v>
      </c>
      <c r="N185" s="52">
        <f t="shared" si="7"/>
        <v>1</v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e">
        <f>IF(M186="","",VLOOKUP(M186,MASTER!$B$11:$C$30,2,0))</f>
        <v>#N/A</v>
      </c>
      <c r="H186" s="2" t="s">
        <v>409</v>
      </c>
      <c r="I186" s="2" t="s">
        <v>410</v>
      </c>
      <c r="J186" s="2" t="s">
        <v>3</v>
      </c>
      <c r="K186" s="2">
        <v>1</v>
      </c>
      <c r="L186" s="2" t="s">
        <v>40</v>
      </c>
      <c r="M186" s="52" t="e">
        <f t="shared" si="6"/>
        <v>#N/A</v>
      </c>
      <c r="N186" s="52">
        <f t="shared" si="7"/>
        <v>1</v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e">
        <f>IF(M187="","",VLOOKUP(M187,MASTER!$B$11:$C$30,2,0))</f>
        <v>#N/A</v>
      </c>
      <c r="H187" s="2" t="s">
        <v>411</v>
      </c>
      <c r="I187" s="2" t="s">
        <v>412</v>
      </c>
      <c r="J187" s="2" t="s">
        <v>3</v>
      </c>
      <c r="K187" s="2">
        <v>1</v>
      </c>
      <c r="L187" s="2" t="s">
        <v>40</v>
      </c>
      <c r="M187" s="52" t="e">
        <f t="shared" si="6"/>
        <v>#N/A</v>
      </c>
      <c r="N187" s="52">
        <f t="shared" si="7"/>
        <v>1</v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e">
        <f>IF(M188="","",VLOOKUP(M188,MASTER!$B$11:$C$30,2,0))</f>
        <v>#N/A</v>
      </c>
      <c r="H188" s="2" t="s">
        <v>413</v>
      </c>
      <c r="I188" s="2" t="s">
        <v>414</v>
      </c>
      <c r="J188" s="2" t="s">
        <v>3</v>
      </c>
      <c r="K188" s="2">
        <v>1</v>
      </c>
      <c r="L188" s="2" t="s">
        <v>40</v>
      </c>
      <c r="M188" s="52" t="e">
        <f t="shared" si="6"/>
        <v>#N/A</v>
      </c>
      <c r="N188" s="52">
        <f t="shared" si="7"/>
        <v>1</v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e">
        <f>IF(M189="","",VLOOKUP(M189,MASTER!$B$11:$C$30,2,0))</f>
        <v>#N/A</v>
      </c>
      <c r="H189" s="2" t="s">
        <v>415</v>
      </c>
      <c r="I189" s="2" t="s">
        <v>416</v>
      </c>
      <c r="J189" s="2" t="s">
        <v>3</v>
      </c>
      <c r="K189" s="2">
        <v>1</v>
      </c>
      <c r="L189" s="2" t="s">
        <v>40</v>
      </c>
      <c r="M189" s="52" t="e">
        <f t="shared" si="6"/>
        <v>#N/A</v>
      </c>
      <c r="N189" s="52">
        <f t="shared" si="7"/>
        <v>1</v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e">
        <f>IF(M190="","",VLOOKUP(M190,MASTER!$B$11:$C$30,2,0))</f>
        <v>#N/A</v>
      </c>
      <c r="H190" s="2" t="s">
        <v>417</v>
      </c>
      <c r="I190" s="2" t="s">
        <v>418</v>
      </c>
      <c r="J190" s="2" t="s">
        <v>3</v>
      </c>
      <c r="K190" s="2">
        <v>1</v>
      </c>
      <c r="L190" s="2" t="s">
        <v>40</v>
      </c>
      <c r="M190" s="52" t="e">
        <f t="shared" si="6"/>
        <v>#N/A</v>
      </c>
      <c r="N190" s="52">
        <f t="shared" si="7"/>
        <v>1</v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e">
        <f>IF(M191="","",VLOOKUP(M191,MASTER!$B$11:$C$30,2,0))</f>
        <v>#N/A</v>
      </c>
      <c r="H191" s="2" t="s">
        <v>419</v>
      </c>
      <c r="I191" s="2" t="s">
        <v>420</v>
      </c>
      <c r="J191" s="2" t="s">
        <v>3</v>
      </c>
      <c r="K191" s="2">
        <v>1</v>
      </c>
      <c r="L191" s="2" t="s">
        <v>40</v>
      </c>
      <c r="M191" s="52" t="e">
        <f t="shared" si="6"/>
        <v>#N/A</v>
      </c>
      <c r="N191" s="52">
        <f t="shared" si="7"/>
        <v>1</v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e">
        <f>IF(M192="","",VLOOKUP(M192,MASTER!$B$11:$C$30,2,0))</f>
        <v>#N/A</v>
      </c>
      <c r="H192" s="2" t="s">
        <v>421</v>
      </c>
      <c r="I192" s="2" t="s">
        <v>422</v>
      </c>
      <c r="J192" s="2" t="s">
        <v>3</v>
      </c>
      <c r="K192" s="2">
        <v>1</v>
      </c>
      <c r="L192" s="2" t="s">
        <v>40</v>
      </c>
      <c r="M192" s="52" t="e">
        <f t="shared" si="6"/>
        <v>#N/A</v>
      </c>
      <c r="N192" s="52">
        <f t="shared" si="7"/>
        <v>1</v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e">
        <f>IF(M193="","",VLOOKUP(M193,MASTER!$B$11:$C$30,2,0))</f>
        <v>#N/A</v>
      </c>
      <c r="H193" s="2" t="s">
        <v>423</v>
      </c>
      <c r="I193" s="2" t="s">
        <v>424</v>
      </c>
      <c r="J193" s="2" t="s">
        <v>3</v>
      </c>
      <c r="K193" s="2">
        <v>1</v>
      </c>
      <c r="L193" s="2" t="s">
        <v>40</v>
      </c>
      <c r="M193" s="52" t="e">
        <f t="shared" si="6"/>
        <v>#N/A</v>
      </c>
      <c r="N193" s="52">
        <f t="shared" si="7"/>
        <v>1</v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e">
        <f>IF(M194="","",VLOOKUP(M194,MASTER!$B$11:$C$30,2,0))</f>
        <v>#N/A</v>
      </c>
      <c r="H194" s="2" t="s">
        <v>425</v>
      </c>
      <c r="I194" s="2" t="s">
        <v>426</v>
      </c>
      <c r="J194" s="2" t="s">
        <v>3</v>
      </c>
      <c r="K194" s="2">
        <v>1</v>
      </c>
      <c r="L194" s="2" t="s">
        <v>40</v>
      </c>
      <c r="M194" s="52" t="e">
        <f t="shared" si="6"/>
        <v>#N/A</v>
      </c>
      <c r="N194" s="52">
        <f t="shared" si="7"/>
        <v>1</v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e">
        <f>IF(M195="","",VLOOKUP(M195,MASTER!$B$11:$C$30,2,0))</f>
        <v>#N/A</v>
      </c>
      <c r="H195" s="2" t="s">
        <v>427</v>
      </c>
      <c r="I195" s="2" t="s">
        <v>428</v>
      </c>
      <c r="J195" s="2" t="s">
        <v>3</v>
      </c>
      <c r="K195" s="2">
        <v>1</v>
      </c>
      <c r="L195" s="2" t="s">
        <v>40</v>
      </c>
      <c r="M195" s="52" t="e">
        <f t="shared" ref="M195:M201" si="8">IF(L195="","",VLOOKUP(L195,$A$10:$B$29,2,0))</f>
        <v>#N/A</v>
      </c>
      <c r="N195" s="52">
        <f t="shared" ref="N195:N201" si="9">IF(K195="","",K195)</f>
        <v>1</v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e">
        <f>IF(M196="","",VLOOKUP(M196,MASTER!$B$11:$C$30,2,0))</f>
        <v>#N/A</v>
      </c>
      <c r="H196" s="2" t="s">
        <v>429</v>
      </c>
      <c r="I196" s="2" t="s">
        <v>430</v>
      </c>
      <c r="J196" s="2" t="s">
        <v>3</v>
      </c>
      <c r="K196" s="2">
        <v>1</v>
      </c>
      <c r="L196" s="2" t="s">
        <v>40</v>
      </c>
      <c r="M196" s="52" t="e">
        <f t="shared" si="8"/>
        <v>#N/A</v>
      </c>
      <c r="N196" s="52">
        <f t="shared" si="9"/>
        <v>1</v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e">
        <f>IF(M197="","",VLOOKUP(M197,MASTER!$B$11:$C$30,2,0))</f>
        <v>#N/A</v>
      </c>
      <c r="H197" s="2" t="s">
        <v>431</v>
      </c>
      <c r="I197" s="2" t="s">
        <v>432</v>
      </c>
      <c r="J197" s="2" t="s">
        <v>3</v>
      </c>
      <c r="K197" s="2">
        <v>1</v>
      </c>
      <c r="L197" s="2" t="s">
        <v>40</v>
      </c>
      <c r="M197" s="52" t="e">
        <f t="shared" si="8"/>
        <v>#N/A</v>
      </c>
      <c r="N197" s="52">
        <f t="shared" si="9"/>
        <v>1</v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e">
        <f>IF(M198="","",VLOOKUP(M198,MASTER!$B$11:$C$30,2,0))</f>
        <v>#N/A</v>
      </c>
      <c r="H198" s="2" t="s">
        <v>433</v>
      </c>
      <c r="I198" s="2" t="s">
        <v>434</v>
      </c>
      <c r="J198" s="2" t="s">
        <v>3</v>
      </c>
      <c r="K198" s="2">
        <v>1</v>
      </c>
      <c r="L198" s="2" t="s">
        <v>40</v>
      </c>
      <c r="M198" s="52" t="e">
        <f t="shared" si="8"/>
        <v>#N/A</v>
      </c>
      <c r="N198" s="52">
        <f t="shared" si="9"/>
        <v>1</v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e">
        <f>IF(M199="","",VLOOKUP(M199,MASTER!$B$11:$C$30,2,0))</f>
        <v>#N/A</v>
      </c>
      <c r="H199" s="2" t="s">
        <v>435</v>
      </c>
      <c r="I199" s="2" t="s">
        <v>436</v>
      </c>
      <c r="J199" s="2" t="s">
        <v>3</v>
      </c>
      <c r="K199" s="2">
        <v>1</v>
      </c>
      <c r="L199" s="2" t="s">
        <v>40</v>
      </c>
      <c r="M199" s="52" t="e">
        <f t="shared" si="8"/>
        <v>#N/A</v>
      </c>
      <c r="N199" s="52">
        <f t="shared" si="9"/>
        <v>1</v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e">
        <f>IF(M200="","",VLOOKUP(M200,MASTER!$B$11:$C$30,2,0))</f>
        <v>#N/A</v>
      </c>
      <c r="H200" s="2" t="s">
        <v>437</v>
      </c>
      <c r="I200" s="2" t="s">
        <v>438</v>
      </c>
      <c r="J200" s="2" t="s">
        <v>3</v>
      </c>
      <c r="K200" s="2">
        <v>1</v>
      </c>
      <c r="L200" s="2" t="s">
        <v>40</v>
      </c>
      <c r="M200" s="52" t="e">
        <f t="shared" si="8"/>
        <v>#N/A</v>
      </c>
      <c r="N200" s="52">
        <f t="shared" si="9"/>
        <v>1</v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e">
        <f>IF(M201="","",VLOOKUP(M201,MASTER!$B$11:$C$30,2,0))</f>
        <v>#N/A</v>
      </c>
      <c r="H201" s="2" t="s">
        <v>439</v>
      </c>
      <c r="I201" s="2" t="s">
        <v>440</v>
      </c>
      <c r="J201" s="2" t="s">
        <v>3</v>
      </c>
      <c r="K201" s="2">
        <v>1</v>
      </c>
      <c r="L201" s="2" t="s">
        <v>40</v>
      </c>
      <c r="M201" s="52" t="e">
        <f t="shared" si="8"/>
        <v>#N/A</v>
      </c>
      <c r="N201" s="52">
        <f t="shared" si="9"/>
        <v>1</v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s="50" t="s">
        <v>16</v>
      </c>
      <c r="I202" s="50" t="s">
        <v>16</v>
      </c>
      <c r="J202" s="50" t="s">
        <v>16</v>
      </c>
      <c r="K202" s="50" t="s">
        <v>16</v>
      </c>
      <c r="L202" s="50" t="s">
        <v>16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</sheetData>
  <sheetProtection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2021-06-23T22:56:47Z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