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unca\Dropbox (Personal)\Duncan\GITHUB_REPOSITORY\VBA\"/>
    </mc:Choice>
  </mc:AlternateContent>
  <xr:revisionPtr revIDLastSave="0" documentId="13_ncr:1_{131AAB72-1B5E-43FF-92E0-741EF0847DFC}" xr6:coauthVersionLast="47" xr6:coauthVersionMax="47" xr10:uidLastSave="{00000000-0000-0000-0000-000000000000}"/>
  <bookViews>
    <workbookView xWindow="-120" yWindow="-120" windowWidth="29040" windowHeight="17640" activeTab="3" xr2:uid="{11946F73-4CED-40EF-860D-94AF687529E5}"/>
  </bookViews>
  <sheets>
    <sheet name="MASTER" sheetId="1" r:id="rId1"/>
    <sheet name="NEW_ACCOUNTS" sheetId="4" r:id="rId2"/>
    <sheet name="USER" sheetId="3" r:id="rId3"/>
    <sheet name="ACCOUNT_DISTRO" sheetId="5" r:id="rId4"/>
  </sheets>
  <definedNames>
    <definedName name="_xlchart.v1.0" hidden="1">ACCOUNT_DISTRO!$J$2:$J$136</definedName>
    <definedName name="_xlchart.v1.1" hidden="1">ACCOUNT_DISTRO!$K$1</definedName>
    <definedName name="_xlchart.v1.2" hidden="1">ACCOUNT_DISTRO!$K$2:$K$136</definedName>
    <definedName name="_xlchart.v1.3" hidden="1">ACCOUNT_DISTRO!$M$2:$M$201</definedName>
    <definedName name="_xlchart.v1.4" hidden="1">ACCOUNT_DISTRO!$N$1</definedName>
    <definedName name="_xlchart.v1.5" hidden="1">ACCOUNT_DISTRO!$N$2:$N$201</definedName>
    <definedName name="ExternalData_1" localSheetId="1" hidden="1">NEW_ACCOUNTS!$A$1:$E$728</definedName>
    <definedName name="ExternalData_1" localSheetId="2" hidden="1">USER!$A$1:$B$6</definedName>
    <definedName name="solver_adj" localSheetId="3" hidden="1">ACCOUNT_DISTRO!$L$1:$L$2</definedName>
    <definedName name="solver_cvg" localSheetId="3" hidden="1">0.0001</definedName>
    <definedName name="solver_drv" localSheetId="3" hidden="1">1</definedName>
    <definedName name="solver_eng" localSheetId="3" hidden="1">3</definedName>
    <definedName name="solver_eng" localSheetId="0" hidden="1">1</definedName>
    <definedName name="solver_est" localSheetId="3" hidden="1">1</definedName>
    <definedName name="solver_itr" localSheetId="3" hidden="1">2147483647</definedName>
    <definedName name="solver_lhs1" localSheetId="3" hidden="1">ACCOUNT_DISTRO!$L$1:$L$2</definedName>
    <definedName name="solver_lhs10" localSheetId="3" hidden="1">ACCOUNT_DISTRO!$L$2:$L$101</definedName>
    <definedName name="solver_lhs11" localSheetId="3" hidden="1">ACCOUNT_DISTRO!$L$2:$L$139</definedName>
    <definedName name="solver_lhs12" localSheetId="3" hidden="1">ACCOUNT_DISTRO!$L$2:$L$139</definedName>
    <definedName name="solver_lhs13" localSheetId="3" hidden="1">ACCOUNT_DISTRO!$L$2:$L$139</definedName>
    <definedName name="solver_lhs14" localSheetId="3" hidden="1">ACCOUNT_DISTRO!$L$2:$L$139</definedName>
    <definedName name="solver_lhs15" localSheetId="3" hidden="1">ACCOUNT_DISTRO!$L$2:$L$139</definedName>
    <definedName name="solver_lhs16" localSheetId="3" hidden="1">ACCOUNT_DISTRO!$L$2:$L$139</definedName>
    <definedName name="solver_lhs17" localSheetId="3" hidden="1">ACCOUNT_DISTRO!$L$2:$L$139</definedName>
    <definedName name="solver_lhs18" localSheetId="3" hidden="1">ACCOUNT_DISTRO!$L$2:$L$139</definedName>
    <definedName name="solver_lhs19" localSheetId="3" hidden="1">ACCOUNT_DISTRO!$D$5</definedName>
    <definedName name="solver_lhs2" localSheetId="3" hidden="1">ACCOUNT_DISTRO!$L$1:$L$2</definedName>
    <definedName name="solver_lhs20" localSheetId="3" hidden="1">ACCOUNT_DISTRO!$D$10:$D$14</definedName>
    <definedName name="solver_lhs21" localSheetId="3" hidden="1">ACCOUNT_DISTRO!$L$2:$L$139</definedName>
    <definedName name="solver_lhs22" localSheetId="3" hidden="1">ACCOUNT_DISTRO!$L$2:$L$139</definedName>
    <definedName name="solver_lhs23" localSheetId="3" hidden="1">ACCOUNT_DISTRO!$L$2:$L$139</definedName>
    <definedName name="solver_lhs24" localSheetId="3" hidden="1">ACCOUNT_DISTRO!$D$5</definedName>
    <definedName name="solver_lhs25" localSheetId="3" hidden="1">ACCOUNT_DISTRO!$D$10:$D$14</definedName>
    <definedName name="solver_lhs3" localSheetId="3" hidden="1">ACCOUNT_DISTRO!$L$1:$L$2</definedName>
    <definedName name="solver_lhs4" localSheetId="3" hidden="1">ACCOUNT_DISTRO!$D$10</definedName>
    <definedName name="solver_lhs5" localSheetId="3" hidden="1">ACCOUNT_DISTRO!$D$10</definedName>
    <definedName name="solver_lhs6" localSheetId="3" hidden="1">ACCOUNT_DISTRO!$D$10:$D$14</definedName>
    <definedName name="solver_lhs7" localSheetId="3" hidden="1">ACCOUNT_DISTRO!$L$2:$L$101</definedName>
    <definedName name="solver_lhs8" localSheetId="3" hidden="1">ACCOUNT_DISTRO!$L$2:$L$101</definedName>
    <definedName name="solver_lhs9" localSheetId="3" hidden="1">ACCOUNT_DISTRO!$L$2:$L$139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eg" localSheetId="0" hidden="1">1</definedName>
    <definedName name="solver_nod" localSheetId="3" hidden="1">2147483647</definedName>
    <definedName name="solver_num" localSheetId="3" hidden="1">5</definedName>
    <definedName name="solver_num" localSheetId="0" hidden="1">0</definedName>
    <definedName name="solver_nwt" localSheetId="3" hidden="1">1</definedName>
    <definedName name="solver_opt" localSheetId="3" hidden="1">ACCOUNT_DISTRO!$B$7</definedName>
    <definedName name="solver_opt" localSheetId="0" hidden="1">MASTER!$D$20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10" localSheetId="3" hidden="1">3</definedName>
    <definedName name="solver_rel11" localSheetId="3" hidden="1">4</definedName>
    <definedName name="solver_rel12" localSheetId="3" hidden="1">4</definedName>
    <definedName name="solver_rel13" localSheetId="3" hidden="1">1</definedName>
    <definedName name="solver_rel14" localSheetId="3" hidden="1">3</definedName>
    <definedName name="solver_rel15" localSheetId="3" hidden="1">3</definedName>
    <definedName name="solver_rel16" localSheetId="3" hidden="1">1</definedName>
    <definedName name="solver_rel17" localSheetId="3" hidden="1">3</definedName>
    <definedName name="solver_rel18" localSheetId="3" hidden="1">4</definedName>
    <definedName name="solver_rel19" localSheetId="3" hidden="1">1</definedName>
    <definedName name="solver_rel2" localSheetId="3" hidden="1">3</definedName>
    <definedName name="solver_rel20" localSheetId="3" hidden="1">3</definedName>
    <definedName name="solver_rel21" localSheetId="3" hidden="1">1</definedName>
    <definedName name="solver_rel22" localSheetId="3" hidden="1">3</definedName>
    <definedName name="solver_rel23" localSheetId="3" hidden="1">4</definedName>
    <definedName name="solver_rel24" localSheetId="3" hidden="1">1</definedName>
    <definedName name="solver_rel25" localSheetId="3" hidden="1">3</definedName>
    <definedName name="solver_rel3" localSheetId="3" hidden="1">4</definedName>
    <definedName name="solver_rel4" localSheetId="3" hidden="1">3</definedName>
    <definedName name="solver_rel5" localSheetId="3" hidden="1">1</definedName>
    <definedName name="solver_rel6" localSheetId="3" hidden="1">3</definedName>
    <definedName name="solver_rel7" localSheetId="3" hidden="1">1</definedName>
    <definedName name="solver_rel8" localSheetId="3" hidden="1">4</definedName>
    <definedName name="solver_rel9" localSheetId="3" hidden="1">1</definedName>
    <definedName name="solver_rhs1" localSheetId="3" hidden="1">1</definedName>
    <definedName name="solver_rhs10" localSheetId="3" hidden="1">1</definedName>
    <definedName name="solver_rhs11" localSheetId="3" hidden="1">integer</definedName>
    <definedName name="solver_rhs12" localSheetId="3" hidden="1">integer</definedName>
    <definedName name="solver_rhs13" localSheetId="3" hidden="1">ACCOUNT_DISTRO!$B$1</definedName>
    <definedName name="solver_rhs14" localSheetId="3" hidden="1">1</definedName>
    <definedName name="solver_rhs15" localSheetId="3" hidden="1">1</definedName>
    <definedName name="solver_rhs16" localSheetId="3" hidden="1">ACCOUNT_DISTRO!$B$1</definedName>
    <definedName name="solver_rhs17" localSheetId="3" hidden="1">1</definedName>
    <definedName name="solver_rhs18" localSheetId="3" hidden="1">integer</definedName>
    <definedName name="solver_rhs19" localSheetId="3" hidden="1">ACCOUNT_DISTRO!$D$5</definedName>
    <definedName name="solver_rhs2" localSheetId="3" hidden="1">1</definedName>
    <definedName name="solver_rhs20" localSheetId="3" hidden="1">ACCOUNT_DISTRO!$C$5</definedName>
    <definedName name="solver_rhs21" localSheetId="3" hidden="1">ACCOUNT_DISTRO!$B$1</definedName>
    <definedName name="solver_rhs22" localSheetId="3" hidden="1">1</definedName>
    <definedName name="solver_rhs23" localSheetId="3" hidden="1">integer</definedName>
    <definedName name="solver_rhs24" localSheetId="3" hidden="1">ACCOUNT_DISTRO!$D$5</definedName>
    <definedName name="solver_rhs25" localSheetId="3" hidden="1">ACCOUNT_DISTRO!$C$5</definedName>
    <definedName name="solver_rhs3" localSheetId="3" hidden="1">"integer"</definedName>
    <definedName name="solver_rhs4" localSheetId="3" hidden="1">-1</definedName>
    <definedName name="solver_rhs5" localSheetId="3" hidden="1">1</definedName>
    <definedName name="solver_rhs6" localSheetId="3" hidden="1">ACCOUNT_DISTRO!$C$5</definedName>
    <definedName name="solver_rhs7" localSheetId="3" hidden="1">ACCOUNT_DISTRO!$B$1</definedName>
    <definedName name="solver_rhs8" localSheetId="3" hidden="1">integer</definedName>
    <definedName name="solver_rhs9" localSheetId="3" hidden="1">ACCOUNT_DISTRO!$B$1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typ" localSheetId="0" hidden="1">1</definedName>
    <definedName name="solver_val" localSheetId="3" hidden="1">0</definedName>
    <definedName name="solver_val" localSheetId="0" hidden="1">0</definedName>
    <definedName name="solver_ver" localSheetId="3" hidden="1">3</definedName>
    <definedName name="solver_ver" localSheetId="0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B2" i="5" l="1"/>
  <c r="E3" i="1" s="1"/>
  <c r="C31" i="1" l="1"/>
  <c r="D15" i="1" l="1"/>
  <c r="D14" i="1"/>
  <c r="N201" i="5" l="1"/>
  <c r="N200" i="5"/>
  <c r="N199" i="5"/>
  <c r="N198" i="5"/>
  <c r="N197" i="5"/>
  <c r="N196" i="5"/>
  <c r="N195" i="5"/>
  <c r="N194" i="5"/>
  <c r="N193" i="5"/>
  <c r="N192" i="5"/>
  <c r="N191" i="5"/>
  <c r="N190" i="5"/>
  <c r="N189" i="5"/>
  <c r="N188" i="5"/>
  <c r="N187" i="5"/>
  <c r="N186" i="5"/>
  <c r="N185" i="5"/>
  <c r="N184" i="5"/>
  <c r="N183" i="5"/>
  <c r="N182" i="5"/>
  <c r="N181" i="5"/>
  <c r="N180" i="5"/>
  <c r="N179" i="5"/>
  <c r="N178" i="5"/>
  <c r="N177" i="5"/>
  <c r="N176" i="5"/>
  <c r="N175" i="5"/>
  <c r="N174" i="5"/>
  <c r="N173" i="5"/>
  <c r="N172" i="5"/>
  <c r="N171" i="5"/>
  <c r="N170" i="5"/>
  <c r="N169" i="5"/>
  <c r="N168" i="5"/>
  <c r="N167" i="5"/>
  <c r="N166" i="5"/>
  <c r="N165" i="5"/>
  <c r="N164" i="5"/>
  <c r="N163" i="5"/>
  <c r="N162" i="5"/>
  <c r="N161" i="5"/>
  <c r="N160" i="5"/>
  <c r="N159" i="5"/>
  <c r="N158" i="5"/>
  <c r="N157" i="5"/>
  <c r="N156" i="5"/>
  <c r="N155" i="5"/>
  <c r="N154" i="5"/>
  <c r="N153" i="5"/>
  <c r="N152" i="5"/>
  <c r="N151" i="5"/>
  <c r="N150" i="5"/>
  <c r="N149" i="5"/>
  <c r="N148" i="5"/>
  <c r="N147" i="5"/>
  <c r="N146" i="5"/>
  <c r="N145" i="5"/>
  <c r="N144" i="5"/>
  <c r="N143" i="5"/>
  <c r="N142" i="5"/>
  <c r="N141" i="5"/>
  <c r="N140" i="5"/>
  <c r="N139" i="5"/>
  <c r="N138" i="5"/>
  <c r="N137" i="5"/>
  <c r="N136" i="5"/>
  <c r="N135" i="5"/>
  <c r="N134" i="5"/>
  <c r="N133" i="5"/>
  <c r="N132" i="5"/>
  <c r="N131" i="5"/>
  <c r="N130" i="5"/>
  <c r="N129" i="5"/>
  <c r="N128" i="5"/>
  <c r="N127" i="5"/>
  <c r="N126" i="5"/>
  <c r="N125" i="5"/>
  <c r="N124" i="5"/>
  <c r="N123" i="5"/>
  <c r="N122" i="5"/>
  <c r="N121" i="5"/>
  <c r="N120" i="5"/>
  <c r="N119" i="5"/>
  <c r="N118" i="5"/>
  <c r="N117" i="5"/>
  <c r="N116" i="5"/>
  <c r="N115" i="5"/>
  <c r="N114" i="5"/>
  <c r="N113" i="5"/>
  <c r="N112" i="5"/>
  <c r="N111" i="5"/>
  <c r="N110" i="5"/>
  <c r="N109" i="5"/>
  <c r="N108" i="5"/>
  <c r="N107" i="5"/>
  <c r="N106" i="5"/>
  <c r="N105" i="5"/>
  <c r="N104" i="5"/>
  <c r="N103" i="5"/>
  <c r="N102" i="5"/>
  <c r="N101" i="5"/>
  <c r="N100" i="5"/>
  <c r="N99" i="5"/>
  <c r="N98" i="5"/>
  <c r="N97" i="5"/>
  <c r="N96" i="5"/>
  <c r="N95" i="5"/>
  <c r="N94" i="5"/>
  <c r="N93" i="5"/>
  <c r="N92" i="5"/>
  <c r="N91" i="5"/>
  <c r="N90" i="5"/>
  <c r="N89" i="5"/>
  <c r="N88" i="5"/>
  <c r="N87" i="5"/>
  <c r="N86" i="5"/>
  <c r="N85" i="5"/>
  <c r="N84" i="5"/>
  <c r="N83" i="5"/>
  <c r="N82" i="5"/>
  <c r="N81" i="5"/>
  <c r="N80" i="5"/>
  <c r="N79" i="5"/>
  <c r="N78" i="5"/>
  <c r="N77" i="5"/>
  <c r="N76" i="5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N2" i="5"/>
  <c r="B6" i="5"/>
  <c r="B10" i="5"/>
  <c r="A10" i="5" s="1"/>
  <c r="B11" i="5"/>
  <c r="A11" i="5" s="1"/>
  <c r="B12" i="5"/>
  <c r="B13" i="5"/>
  <c r="B14" i="5"/>
  <c r="B29" i="5"/>
  <c r="C29" i="5" s="1"/>
  <c r="B28" i="5"/>
  <c r="C28" i="5" s="1"/>
  <c r="B27" i="5"/>
  <c r="D27" i="5" s="1"/>
  <c r="B26" i="5"/>
  <c r="D26" i="5" s="1"/>
  <c r="B25" i="5"/>
  <c r="C25" i="5" s="1"/>
  <c r="B24" i="5"/>
  <c r="C24" i="5" s="1"/>
  <c r="B23" i="5"/>
  <c r="C23" i="5" s="1"/>
  <c r="B22" i="5"/>
  <c r="D22" i="5" s="1"/>
  <c r="B21" i="5"/>
  <c r="D21" i="5" s="1"/>
  <c r="B20" i="5"/>
  <c r="D20" i="5" s="1"/>
  <c r="B19" i="5"/>
  <c r="D19" i="5" s="1"/>
  <c r="B18" i="5"/>
  <c r="A18" i="5" s="1"/>
  <c r="B17" i="5"/>
  <c r="C17" i="5" s="1"/>
  <c r="B16" i="5"/>
  <c r="B15" i="5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1" i="1"/>
  <c r="D12" i="1"/>
  <c r="D13" i="1"/>
  <c r="C11" i="1"/>
  <c r="C12" i="1"/>
  <c r="C13" i="1"/>
  <c r="C14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M101" i="5" l="1"/>
  <c r="G101" i="5" s="1"/>
  <c r="M195" i="5"/>
  <c r="G195" i="5" s="1"/>
  <c r="M95" i="5"/>
  <c r="G95" i="5" s="1"/>
  <c r="M183" i="5"/>
  <c r="G183" i="5" s="1"/>
  <c r="M90" i="5"/>
  <c r="G90" i="5" s="1"/>
  <c r="M161" i="5"/>
  <c r="G161" i="5" s="1"/>
  <c r="M63" i="5"/>
  <c r="G63" i="5" s="1"/>
  <c r="M140" i="5"/>
  <c r="G140" i="5" s="1"/>
  <c r="M60" i="5"/>
  <c r="G60" i="5" s="1"/>
  <c r="M157" i="5"/>
  <c r="G157" i="5" s="1"/>
  <c r="M138" i="5"/>
  <c r="G138" i="5" s="1"/>
  <c r="M51" i="5"/>
  <c r="G51" i="5" s="1"/>
  <c r="M120" i="5"/>
  <c r="G120" i="5" s="1"/>
  <c r="M116" i="5"/>
  <c r="G116" i="5" s="1"/>
  <c r="M114" i="5"/>
  <c r="G114" i="5" s="1"/>
  <c r="M66" i="5"/>
  <c r="G66" i="5" s="1"/>
  <c r="M134" i="5"/>
  <c r="G134" i="5" s="1"/>
  <c r="M115" i="5"/>
  <c r="G115" i="5" s="1"/>
  <c r="M79" i="5"/>
  <c r="G79" i="5" s="1"/>
  <c r="M194" i="5"/>
  <c r="M155" i="5"/>
  <c r="G155" i="5" s="1"/>
  <c r="M191" i="5"/>
  <c r="G191" i="5" s="1"/>
  <c r="M189" i="5"/>
  <c r="G189" i="5" s="1"/>
  <c r="M139" i="5"/>
  <c r="G139" i="5" s="1"/>
  <c r="M109" i="5"/>
  <c r="G109" i="5" s="1"/>
  <c r="M59" i="5"/>
  <c r="G59" i="5" s="1"/>
  <c r="M187" i="5"/>
  <c r="G187" i="5" s="1"/>
  <c r="M185" i="5"/>
  <c r="G185" i="5" s="1"/>
  <c r="M136" i="5"/>
  <c r="G136" i="5" s="1"/>
  <c r="M47" i="5"/>
  <c r="G47" i="5" s="1"/>
  <c r="M125" i="5"/>
  <c r="G125" i="5" s="1"/>
  <c r="M80" i="5"/>
  <c r="G80" i="5" s="1"/>
  <c r="M190" i="5"/>
  <c r="G190" i="5" s="1"/>
  <c r="M94" i="5"/>
  <c r="G94" i="5" s="1"/>
  <c r="M182" i="5"/>
  <c r="G182" i="5" s="1"/>
  <c r="M180" i="5"/>
  <c r="G180" i="5" s="1"/>
  <c r="M123" i="5"/>
  <c r="G123" i="5" s="1"/>
  <c r="M89" i="5"/>
  <c r="G89" i="5" s="1"/>
  <c r="M178" i="5"/>
  <c r="G178" i="5" s="1"/>
  <c r="M121" i="5"/>
  <c r="G121" i="5" s="1"/>
  <c r="M86" i="5"/>
  <c r="G86" i="5" s="1"/>
  <c r="M143" i="5"/>
  <c r="G143" i="5" s="1"/>
  <c r="M113" i="5"/>
  <c r="G113" i="5" s="1"/>
  <c r="D16" i="5"/>
  <c r="E17" i="1" s="1"/>
  <c r="G194" i="5"/>
  <c r="A23" i="5"/>
  <c r="D23" i="5"/>
  <c r="A17" i="5"/>
  <c r="A22" i="5"/>
  <c r="D24" i="5"/>
  <c r="C21" i="5"/>
  <c r="A27" i="5"/>
  <c r="D29" i="5"/>
  <c r="C19" i="5"/>
  <c r="C16" i="5"/>
  <c r="C20" i="5"/>
  <c r="C22" i="5"/>
  <c r="A16" i="5"/>
  <c r="C26" i="5"/>
  <c r="A20" i="5"/>
  <c r="C27" i="5"/>
  <c r="A21" i="5"/>
  <c r="D17" i="5"/>
  <c r="D28" i="5"/>
  <c r="A28" i="5"/>
  <c r="M2" i="5"/>
  <c r="C10" i="5"/>
  <c r="D25" i="5"/>
  <c r="A19" i="5"/>
  <c r="C18" i="5"/>
  <c r="D10" i="5"/>
  <c r="E11" i="1" s="1"/>
  <c r="D18" i="5"/>
  <c r="A24" i="5"/>
  <c r="A25" i="5"/>
  <c r="A29" i="5"/>
  <c r="A26" i="5"/>
  <c r="D11" i="5"/>
  <c r="E12" i="1" s="1"/>
  <c r="C11" i="5"/>
  <c r="A12" i="5"/>
  <c r="A13" i="5"/>
  <c r="C13" i="5" s="1"/>
  <c r="A14" i="5"/>
  <c r="A15" i="5"/>
  <c r="D15" i="5" s="1"/>
  <c r="M18" i="5" l="1"/>
  <c r="G18" i="5" s="1"/>
  <c r="M166" i="5"/>
  <c r="G166" i="5" s="1"/>
  <c r="M154" i="5"/>
  <c r="G154" i="5" s="1"/>
  <c r="M142" i="5"/>
  <c r="G142" i="5" s="1"/>
  <c r="M130" i="5"/>
  <c r="G130" i="5" s="1"/>
  <c r="M118" i="5"/>
  <c r="G118" i="5" s="1"/>
  <c r="M106" i="5"/>
  <c r="G106" i="5" s="1"/>
  <c r="M82" i="5"/>
  <c r="G82" i="5" s="1"/>
  <c r="M70" i="5"/>
  <c r="G70" i="5" s="1"/>
  <c r="M58" i="5"/>
  <c r="G58" i="5" s="1"/>
  <c r="M46" i="5"/>
  <c r="G46" i="5" s="1"/>
  <c r="M45" i="5"/>
  <c r="G45" i="5" s="1"/>
  <c r="M55" i="5"/>
  <c r="G55" i="5" s="1"/>
  <c r="M162" i="5"/>
  <c r="G162" i="5" s="1"/>
  <c r="M119" i="5"/>
  <c r="G119" i="5" s="1"/>
  <c r="M201" i="5"/>
  <c r="G201" i="5" s="1"/>
  <c r="M177" i="5"/>
  <c r="G177" i="5" s="1"/>
  <c r="M165" i="5"/>
  <c r="G165" i="5" s="1"/>
  <c r="M153" i="5"/>
  <c r="G153" i="5" s="1"/>
  <c r="M141" i="5"/>
  <c r="G141" i="5" s="1"/>
  <c r="M129" i="5"/>
  <c r="G129" i="5" s="1"/>
  <c r="M117" i="5"/>
  <c r="G117" i="5" s="1"/>
  <c r="M105" i="5"/>
  <c r="G105" i="5" s="1"/>
  <c r="M93" i="5"/>
  <c r="G93" i="5" s="1"/>
  <c r="M81" i="5"/>
  <c r="G81" i="5" s="1"/>
  <c r="M69" i="5"/>
  <c r="G69" i="5" s="1"/>
  <c r="M57" i="5"/>
  <c r="G57" i="5" s="1"/>
  <c r="M56" i="5"/>
  <c r="G56" i="5" s="1"/>
  <c r="M174" i="5"/>
  <c r="G174" i="5" s="1"/>
  <c r="M126" i="5"/>
  <c r="G126" i="5" s="1"/>
  <c r="M78" i="5"/>
  <c r="G78" i="5" s="1"/>
  <c r="M200" i="5"/>
  <c r="G200" i="5" s="1"/>
  <c r="M188" i="5"/>
  <c r="G188" i="5" s="1"/>
  <c r="M176" i="5"/>
  <c r="G176" i="5" s="1"/>
  <c r="M164" i="5"/>
  <c r="G164" i="5" s="1"/>
  <c r="M152" i="5"/>
  <c r="G152" i="5" s="1"/>
  <c r="M128" i="5"/>
  <c r="G128" i="5" s="1"/>
  <c r="M104" i="5"/>
  <c r="G104" i="5" s="1"/>
  <c r="M92" i="5"/>
  <c r="G92" i="5" s="1"/>
  <c r="M68" i="5"/>
  <c r="G68" i="5" s="1"/>
  <c r="M186" i="5"/>
  <c r="G186" i="5" s="1"/>
  <c r="M54" i="5"/>
  <c r="G54" i="5" s="1"/>
  <c r="M199" i="5"/>
  <c r="G199" i="5" s="1"/>
  <c r="M175" i="5"/>
  <c r="G175" i="5" s="1"/>
  <c r="M163" i="5"/>
  <c r="G163" i="5" s="1"/>
  <c r="M151" i="5"/>
  <c r="G151" i="5" s="1"/>
  <c r="M127" i="5"/>
  <c r="G127" i="5" s="1"/>
  <c r="M103" i="5"/>
  <c r="G103" i="5" s="1"/>
  <c r="M91" i="5"/>
  <c r="G91" i="5" s="1"/>
  <c r="M67" i="5"/>
  <c r="G67" i="5" s="1"/>
  <c r="M150" i="5"/>
  <c r="G150" i="5" s="1"/>
  <c r="M102" i="5"/>
  <c r="G102" i="5" s="1"/>
  <c r="M198" i="5"/>
  <c r="G198" i="5" s="1"/>
  <c r="M197" i="5"/>
  <c r="G197" i="5" s="1"/>
  <c r="M173" i="5"/>
  <c r="G173" i="5" s="1"/>
  <c r="M149" i="5"/>
  <c r="G149" i="5" s="1"/>
  <c r="M137" i="5"/>
  <c r="G137" i="5" s="1"/>
  <c r="M77" i="5"/>
  <c r="G77" i="5" s="1"/>
  <c r="M65" i="5"/>
  <c r="G65" i="5" s="1"/>
  <c r="M53" i="5"/>
  <c r="G53" i="5" s="1"/>
  <c r="M144" i="5"/>
  <c r="G144" i="5" s="1"/>
  <c r="M96" i="5"/>
  <c r="G96" i="5" s="1"/>
  <c r="M48" i="5"/>
  <c r="G48" i="5" s="1"/>
  <c r="M196" i="5"/>
  <c r="G196" i="5" s="1"/>
  <c r="M184" i="5"/>
  <c r="G184" i="5" s="1"/>
  <c r="M172" i="5"/>
  <c r="G172" i="5" s="1"/>
  <c r="M160" i="5"/>
  <c r="G160" i="5" s="1"/>
  <c r="M148" i="5"/>
  <c r="G148" i="5" s="1"/>
  <c r="M124" i="5"/>
  <c r="G124" i="5" s="1"/>
  <c r="M112" i="5"/>
  <c r="G112" i="5" s="1"/>
  <c r="M100" i="5"/>
  <c r="G100" i="5" s="1"/>
  <c r="M88" i="5"/>
  <c r="G88" i="5" s="1"/>
  <c r="M76" i="5"/>
  <c r="G76" i="5" s="1"/>
  <c r="M64" i="5"/>
  <c r="G64" i="5" s="1"/>
  <c r="M52" i="5"/>
  <c r="G52" i="5" s="1"/>
  <c r="M158" i="5"/>
  <c r="G158" i="5" s="1"/>
  <c r="M110" i="5"/>
  <c r="G110" i="5" s="1"/>
  <c r="M74" i="5"/>
  <c r="G74" i="5" s="1"/>
  <c r="M50" i="5"/>
  <c r="G50" i="5" s="1"/>
  <c r="M131" i="5"/>
  <c r="G131" i="5" s="1"/>
  <c r="M71" i="5"/>
  <c r="G71" i="5" s="1"/>
  <c r="M171" i="5"/>
  <c r="G171" i="5" s="1"/>
  <c r="M159" i="5"/>
  <c r="G159" i="5" s="1"/>
  <c r="M147" i="5"/>
  <c r="G147" i="5" s="1"/>
  <c r="M135" i="5"/>
  <c r="G135" i="5" s="1"/>
  <c r="M111" i="5"/>
  <c r="G111" i="5" s="1"/>
  <c r="M99" i="5"/>
  <c r="G99" i="5" s="1"/>
  <c r="M87" i="5"/>
  <c r="G87" i="5" s="1"/>
  <c r="M75" i="5"/>
  <c r="G75" i="5" s="1"/>
  <c r="M146" i="5"/>
  <c r="G146" i="5" s="1"/>
  <c r="M122" i="5"/>
  <c r="G122" i="5" s="1"/>
  <c r="M98" i="5"/>
  <c r="G98" i="5" s="1"/>
  <c r="M62" i="5"/>
  <c r="G62" i="5" s="1"/>
  <c r="M132" i="5"/>
  <c r="G132" i="5" s="1"/>
  <c r="M84" i="5"/>
  <c r="G84" i="5" s="1"/>
  <c r="M179" i="5"/>
  <c r="G179" i="5" s="1"/>
  <c r="M83" i="5"/>
  <c r="G83" i="5" s="1"/>
  <c r="M170" i="5"/>
  <c r="G170" i="5" s="1"/>
  <c r="M193" i="5"/>
  <c r="G193" i="5" s="1"/>
  <c r="M181" i="5"/>
  <c r="G181" i="5" s="1"/>
  <c r="M169" i="5"/>
  <c r="G169" i="5" s="1"/>
  <c r="M145" i="5"/>
  <c r="G145" i="5" s="1"/>
  <c r="M133" i="5"/>
  <c r="G133" i="5" s="1"/>
  <c r="M97" i="5"/>
  <c r="G97" i="5" s="1"/>
  <c r="M85" i="5"/>
  <c r="G85" i="5" s="1"/>
  <c r="M73" i="5"/>
  <c r="G73" i="5" s="1"/>
  <c r="M61" i="5"/>
  <c r="G61" i="5" s="1"/>
  <c r="M49" i="5"/>
  <c r="G49" i="5" s="1"/>
  <c r="M192" i="5"/>
  <c r="G192" i="5" s="1"/>
  <c r="M168" i="5"/>
  <c r="G168" i="5" s="1"/>
  <c r="M156" i="5"/>
  <c r="G156" i="5" s="1"/>
  <c r="M108" i="5"/>
  <c r="G108" i="5" s="1"/>
  <c r="M72" i="5"/>
  <c r="G72" i="5" s="1"/>
  <c r="M167" i="5"/>
  <c r="G167" i="5" s="1"/>
  <c r="M107" i="5"/>
  <c r="G107" i="5" s="1"/>
  <c r="D14" i="5"/>
  <c r="E15" i="1" s="1"/>
  <c r="M44" i="5"/>
  <c r="G44" i="5" s="1"/>
  <c r="M43" i="5"/>
  <c r="G43" i="5" s="1"/>
  <c r="M40" i="5"/>
  <c r="G40" i="5" s="1"/>
  <c r="M41" i="5"/>
  <c r="G41" i="5" s="1"/>
  <c r="M42" i="5"/>
  <c r="G42" i="5" s="1"/>
  <c r="M4" i="5"/>
  <c r="G4" i="5" s="1"/>
  <c r="M26" i="5"/>
  <c r="G26" i="5" s="1"/>
  <c r="M5" i="5"/>
  <c r="G5" i="5" s="1"/>
  <c r="M30" i="5"/>
  <c r="G30" i="5" s="1"/>
  <c r="M33" i="5"/>
  <c r="G33" i="5" s="1"/>
  <c r="M12" i="5"/>
  <c r="G12" i="5" s="1"/>
  <c r="M23" i="5"/>
  <c r="G23" i="5" s="1"/>
  <c r="M34" i="5"/>
  <c r="G34" i="5" s="1"/>
  <c r="M6" i="5"/>
  <c r="G6" i="5" s="1"/>
  <c r="D13" i="5"/>
  <c r="E14" i="1" s="1"/>
  <c r="M37" i="5"/>
  <c r="G37" i="5" s="1"/>
  <c r="C14" i="5"/>
  <c r="M15" i="5"/>
  <c r="G15" i="5" s="1"/>
  <c r="M27" i="5"/>
  <c r="G27" i="5" s="1"/>
  <c r="M24" i="5"/>
  <c r="G24" i="5" s="1"/>
  <c r="M17" i="5"/>
  <c r="G17" i="5" s="1"/>
  <c r="M22" i="5"/>
  <c r="G22" i="5" s="1"/>
  <c r="M21" i="5"/>
  <c r="G21" i="5" s="1"/>
  <c r="M16" i="5"/>
  <c r="G16" i="5" s="1"/>
  <c r="M31" i="5"/>
  <c r="G31" i="5" s="1"/>
  <c r="M35" i="5"/>
  <c r="G35" i="5" s="1"/>
  <c r="M10" i="5"/>
  <c r="G10" i="5" s="1"/>
  <c r="M7" i="5"/>
  <c r="G7" i="5" s="1"/>
  <c r="M39" i="5"/>
  <c r="G39" i="5" s="1"/>
  <c r="M28" i="5"/>
  <c r="G28" i="5" s="1"/>
  <c r="M36" i="5"/>
  <c r="G36" i="5" s="1"/>
  <c r="M14" i="5"/>
  <c r="G14" i="5" s="1"/>
  <c r="M11" i="5"/>
  <c r="G11" i="5" s="1"/>
  <c r="M38" i="5"/>
  <c r="G38" i="5" s="1"/>
  <c r="M32" i="5"/>
  <c r="G32" i="5" s="1"/>
  <c r="M3" i="5"/>
  <c r="G3" i="5" s="1"/>
  <c r="D12" i="5"/>
  <c r="E13" i="1" s="1"/>
  <c r="C12" i="5"/>
  <c r="M19" i="5"/>
  <c r="G19" i="5" s="1"/>
  <c r="M25" i="5"/>
  <c r="G25" i="5" s="1"/>
  <c r="M29" i="5"/>
  <c r="G29" i="5" s="1"/>
  <c r="E16" i="1"/>
  <c r="G2" i="5"/>
  <c r="M20" i="5"/>
  <c r="G20" i="5" s="1"/>
  <c r="M9" i="5"/>
  <c r="G9" i="5" s="1"/>
  <c r="M8" i="5"/>
  <c r="G8" i="5" s="1"/>
  <c r="M13" i="5"/>
  <c r="G13" i="5" s="1"/>
  <c r="C15" i="5"/>
  <c r="B7" i="5" l="1"/>
  <c r="B5" i="5"/>
  <c r="B3" i="5"/>
  <c r="E4" i="1" s="1"/>
  <c r="B1" i="5"/>
  <c r="B4" i="5" l="1"/>
  <c r="E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00B615-FA36-4859-A26E-D73DB1D87B67}" keepAlive="1" name="Query - New Mineral Owner Distribution" description="Connection to the 'New Mineral Owner Distribution' query in the workbook." type="5" refreshedVersion="6" background="1" saveData="1">
    <dbPr connection="Provider=Microsoft.Mashup.OleDb.1;Data Source=$Workbook$;Location=New Mineral Owner Distribution;Extended Properties=&quot;&quot;" command="SELECT * FROM [New Mineral Owner Distribution]"/>
  </connection>
  <connection id="2" xr16:uid="{F4AB2175-780A-4612-B0D3-7EF396A4137E}" keepAlive="1" name="Query - USER ID" description="Connection to the 'USER ID' query in the workbook." type="5" refreshedVersion="6" background="1" saveData="1">
    <dbPr connection="Provider=Microsoft.Mashup.OleDb.1;Data Source=$Workbook$;Location=USER ID;Extended Properties=&quot;&quot;" command="SELECT * FROM [USER ID]"/>
  </connection>
</connections>
</file>

<file path=xl/sharedStrings.xml><?xml version="1.0" encoding="utf-8"?>
<sst xmlns="http://schemas.openxmlformats.org/spreadsheetml/2006/main" count="6600" uniqueCount="2872">
  <si>
    <t>User ID</t>
  </si>
  <si>
    <t># of Accounts</t>
  </si>
  <si>
    <t>Total NRA</t>
  </si>
  <si>
    <t>Duncan Ferguson</t>
  </si>
  <si>
    <t>Hailey McVey</t>
  </si>
  <si>
    <t>Robert Bronstein</t>
  </si>
  <si>
    <t>Ben Gowdey</t>
  </si>
  <si>
    <t>Full Name</t>
  </si>
  <si>
    <t>0051U000002luJ3</t>
  </si>
  <si>
    <t>0051U000002mMcS</t>
  </si>
  <si>
    <t>0051U000002mM44</t>
  </si>
  <si>
    <t>0051U000002mMTi</t>
  </si>
  <si>
    <t>0051U000003Yslu</t>
  </si>
  <si>
    <t>Account Name</t>
  </si>
  <si>
    <t>Account Owner</t>
  </si>
  <si>
    <t>Case Safe Mineral Owner ID</t>
  </si>
  <si>
    <t>x</t>
  </si>
  <si>
    <t>Number of Landmen</t>
  </si>
  <si>
    <t>Landmen</t>
  </si>
  <si>
    <t>Number of Accounts</t>
  </si>
  <si>
    <t>Even Account Split #</t>
  </si>
  <si>
    <t>Account Variation</t>
  </si>
  <si>
    <t>Account Variation:</t>
  </si>
  <si>
    <t>Even Account Split #:</t>
  </si>
  <si>
    <t>Total NRA:</t>
  </si>
  <si>
    <t>Number of Accounts:</t>
  </si>
  <si>
    <t>Number of Landmen:</t>
  </si>
  <si>
    <t>Landmand Code</t>
  </si>
  <si>
    <t>Average Distro NRA</t>
  </si>
  <si>
    <t>STD Acount</t>
  </si>
  <si>
    <t>Owner</t>
  </si>
  <si>
    <t>Owner Id</t>
  </si>
  <si>
    <t>Account NRA</t>
  </si>
  <si>
    <t>Account ID</t>
  </si>
  <si>
    <t>Password:</t>
  </si>
  <si>
    <t>Sometimes you will have to toggle the "Account Variation" in order to get solver to work.</t>
  </si>
  <si>
    <t>You can past custom reports into the "New_Accounts" tab if you don’t want to pull a report from salesforce</t>
  </si>
  <si>
    <t>Make sure to "Clear Distro" &amp; "Clear Accounts" inbetween runs</t>
  </si>
  <si>
    <t>Make sure that you are connected to salesforce to pull the "New Accounts" and "User" Reports.</t>
  </si>
  <si>
    <t>Created Date</t>
  </si>
  <si>
    <t>7/8/2019</t>
  </si>
  <si>
    <t>0011U00000dJyGPQA0</t>
  </si>
  <si>
    <t>Intercoast Pet Corp</t>
  </si>
  <si>
    <t>0011U00000dJyGQQA0</t>
  </si>
  <si>
    <t>Intorcoast Pet. Corp.</t>
  </si>
  <si>
    <t>0011U00000dJyGRQA0</t>
  </si>
  <si>
    <t>Iskandia Energy Operating, Inc.</t>
  </si>
  <si>
    <t>0011U00000dJyGSQA0</t>
  </si>
  <si>
    <t>J A Leonard</t>
  </si>
  <si>
    <t>0011U00000dJyGTQA0</t>
  </si>
  <si>
    <t>J B Walling &amp; Clark Chandler</t>
  </si>
  <si>
    <t>0011U00000dJyJNQA0</t>
  </si>
  <si>
    <t>Sohio Petroleum</t>
  </si>
  <si>
    <t>0011U00000dJyJOQA0</t>
  </si>
  <si>
    <t>Solar Oil</t>
  </si>
  <si>
    <t>0011U00000dJyJPQA0</t>
  </si>
  <si>
    <t>Solaris Water Midstream, Llc</t>
  </si>
  <si>
    <t>0011U00000dJyJQQA0</t>
  </si>
  <si>
    <t>Southern Petr Expl</t>
  </si>
  <si>
    <t>0011U00000dJyJRQA0</t>
  </si>
  <si>
    <t>Spi Operations Llc</t>
  </si>
  <si>
    <t>0011U00000dJyJSQA0</t>
  </si>
  <si>
    <t>Standard Oil Production Co</t>
  </si>
  <si>
    <t>0011U00000dJyJTQA0</t>
  </si>
  <si>
    <t>Stanolind</t>
  </si>
  <si>
    <t>0011U00000dJyJUQA0</t>
  </si>
  <si>
    <t>Stanolind &amp; Phillips</t>
  </si>
  <si>
    <t>0011U00000dJyJVQA0</t>
  </si>
  <si>
    <t>Stateline Water, Llc</t>
  </si>
  <si>
    <t>0011U00000dJyJWQA0</t>
  </si>
  <si>
    <t>Std Of Tex</t>
  </si>
  <si>
    <t>0011U00000dJyJXQA0</t>
  </si>
  <si>
    <t>Stephens And Johnson Op</t>
  </si>
  <si>
    <t>0011U00000dJyJYQA0</t>
  </si>
  <si>
    <t>Street Investment</t>
  </si>
  <si>
    <t>0011U00000dJyJZQA0</t>
  </si>
  <si>
    <t>Sudderth, W. A.</t>
  </si>
  <si>
    <t>0011U00000dJyJaQAK</t>
  </si>
  <si>
    <t>Sun Expl &amp; Production Co.</t>
  </si>
  <si>
    <t>0011U00000dJyJbQAK</t>
  </si>
  <si>
    <t>Sun Expl &amp; Prod Co-Midland</t>
  </si>
  <si>
    <t>0011U00000dJyJcQAK</t>
  </si>
  <si>
    <t>Sun Oil Company</t>
  </si>
  <si>
    <t>0011U00000dJyGUQA0</t>
  </si>
  <si>
    <t>J E Keyser And E R Kennedy</t>
  </si>
  <si>
    <t>0011U00000dJyGVQA0</t>
  </si>
  <si>
    <t>J.F. Whiteside</t>
  </si>
  <si>
    <t>0011U00000dJyGWQA0</t>
  </si>
  <si>
    <t>J F Slack</t>
  </si>
  <si>
    <t>0011U00000dJyGXQA0</t>
  </si>
  <si>
    <t>J.M. C. Ritchie, Et Al</t>
  </si>
  <si>
    <t>0011U00000dJyGYQA0</t>
  </si>
  <si>
    <t>J Roy Mccoy Et Al</t>
  </si>
  <si>
    <t>0011U00000dJyGZQA0</t>
  </si>
  <si>
    <t>J S Grisham Et Al</t>
  </si>
  <si>
    <t>0011U00000dJyGaQAK</t>
  </si>
  <si>
    <t>J &amp; F Oil Company</t>
  </si>
  <si>
    <t>0011U00000dJyGbQAK</t>
  </si>
  <si>
    <t>Jack S Reaves And J M C Ritchie</t>
  </si>
  <si>
    <t>0011U00000dJyGcQAK</t>
  </si>
  <si>
    <t>Jack S Reaves</t>
  </si>
  <si>
    <t>0011U00000dJyGdQAK</t>
  </si>
  <si>
    <t>Jack S. Reeves</t>
  </si>
  <si>
    <t>0011U00000dJyGeQAK</t>
  </si>
  <si>
    <t>Jack S Reaves And Clem E George</t>
  </si>
  <si>
    <t>0011U00000dJyGfQAK</t>
  </si>
  <si>
    <t>Jay H Floyd</t>
  </si>
  <si>
    <t>0011U00000dJyGgQAK</t>
  </si>
  <si>
    <t>Jess Lynch Et Al</t>
  </si>
  <si>
    <t>0011U00000dJyGhQAK</t>
  </si>
  <si>
    <t>Joe N Champlin Etal</t>
  </si>
  <si>
    <t>0011U00000dJyGiQAK</t>
  </si>
  <si>
    <t>Joe Rush Et Al</t>
  </si>
  <si>
    <t>0011U00000dJyGjQAK</t>
  </si>
  <si>
    <t>Johnson &amp; Price</t>
  </si>
  <si>
    <t>0011U00000dJyGkQAK</t>
  </si>
  <si>
    <t>Johnson Drlg</t>
  </si>
  <si>
    <t>0011U00000dJyGlQAK</t>
  </si>
  <si>
    <t>Jones J Vernon Oil Company</t>
  </si>
  <si>
    <t>0011U00000dJyGmQAK</t>
  </si>
  <si>
    <t>J R P Resources Inc</t>
  </si>
  <si>
    <t>0011U00000dJyGnQAK</t>
  </si>
  <si>
    <t>K M Regan Et Al</t>
  </si>
  <si>
    <t>0011U00000dJyGoQAK</t>
  </si>
  <si>
    <t>Kennedy &amp; Faulkner</t>
  </si>
  <si>
    <t>0011U00000dJyGpQAK</t>
  </si>
  <si>
    <t>Kerby Pet</t>
  </si>
  <si>
    <t>0011U00000dJyGqQAK</t>
  </si>
  <si>
    <t>Kewanee Oil Co</t>
  </si>
  <si>
    <t>0011U00000dJyGrQAK</t>
  </si>
  <si>
    <t>Keyser And Kennedy</t>
  </si>
  <si>
    <t>0011U00000dJyGsQAK</t>
  </si>
  <si>
    <t>Knickerbocker Operation Co.</t>
  </si>
  <si>
    <t>0011U00000dJyGtQAK</t>
  </si>
  <si>
    <t>L B Lyons</t>
  </si>
  <si>
    <t>0011U00000dJyGuQAK</t>
  </si>
  <si>
    <t>Occidental Petroleum</t>
  </si>
  <si>
    <t>0011U00000dJyGvQAK</t>
  </si>
  <si>
    <t>Latex Petroleum Corp.</t>
  </si>
  <si>
    <t>0011U00000dJyGwQAK</t>
  </si>
  <si>
    <t>Laughlin-Porter Drlg. Co.</t>
  </si>
  <si>
    <t>0011U00000dJyGxQAK</t>
  </si>
  <si>
    <t>Laughlin-Porter Drlg. Co. &amp; Gulf Oil Corp.</t>
  </si>
  <si>
    <t>0011U00000dJyGyQAK</t>
  </si>
  <si>
    <t>Lawless Drlg Co.</t>
  </si>
  <si>
    <t>0011U00000dJyGzQAK</t>
  </si>
  <si>
    <t>Lawless Drlg Co Inc Et Al</t>
  </si>
  <si>
    <t>0011U00000dJyH0QAK</t>
  </si>
  <si>
    <t>Leblone, Healy &amp; Laughlin &amp; Porter</t>
  </si>
  <si>
    <t>0011U00000dJyH1QAK</t>
  </si>
  <si>
    <t>Legacy Reserves Inc.</t>
  </si>
  <si>
    <t>0011U00000dJyH2QAK</t>
  </si>
  <si>
    <t>Leonard Grice And Helland</t>
  </si>
  <si>
    <t>0011U00000dJyH3QAK</t>
  </si>
  <si>
    <t>Lewis And Slagle</t>
  </si>
  <si>
    <t>0011U00000dJyH4QAK</t>
  </si>
  <si>
    <t>Liedtke 62 Ltd And A G Talbot</t>
  </si>
  <si>
    <t>0011U00000dJyH5QAK</t>
  </si>
  <si>
    <t>Limpia Royalties Inc Et Al</t>
  </si>
  <si>
    <t>0011U00000dJyH6QAK</t>
  </si>
  <si>
    <t>Limpia Royalties</t>
  </si>
  <si>
    <t>0011U00000dJyH7QAK</t>
  </si>
  <si>
    <t>Linehan &amp; Stoltenberg</t>
  </si>
  <si>
    <t>0011U00000dJyH8QAK</t>
  </si>
  <si>
    <t>Lloyd R French Jr</t>
  </si>
  <si>
    <t>0011U00000dJyH9QAK</t>
  </si>
  <si>
    <t>Lockhart Etal</t>
  </si>
  <si>
    <t>0011U00000dJyHAQA0</t>
  </si>
  <si>
    <t>Lockhart</t>
  </si>
  <si>
    <t>0011U00000dJyHBQA0</t>
  </si>
  <si>
    <t>Lockhart Bros</t>
  </si>
  <si>
    <t>0011U00000dJyHCQA0</t>
  </si>
  <si>
    <t>Lockhart &amp;</t>
  </si>
  <si>
    <t>0011U00000dJyHDQA0</t>
  </si>
  <si>
    <t>Lone Star Oil &amp; Gas</t>
  </si>
  <si>
    <t>0011U00000dJyHEQA0</t>
  </si>
  <si>
    <t>Lone Star Production</t>
  </si>
  <si>
    <t>0011U00000dJyHFQA0</t>
  </si>
  <si>
    <t>Louis Crouch</t>
  </si>
  <si>
    <t>0011U00000dJyHGQA0</t>
  </si>
  <si>
    <t>Loving County Oil Co</t>
  </si>
  <si>
    <t>0011U00000dJyHHQA0</t>
  </si>
  <si>
    <t>Lucky Strike Oil Co</t>
  </si>
  <si>
    <t>0011U00000dJyHIQA0</t>
  </si>
  <si>
    <t>Magnolia Petroleum Co</t>
  </si>
  <si>
    <t>0011U00000dJyHJQA0</t>
  </si>
  <si>
    <t>Mangaslag, Inc.</t>
  </si>
  <si>
    <t>0011U00000dJyHKQA0</t>
  </si>
  <si>
    <t>Mansell Brine Sales</t>
  </si>
  <si>
    <t>0011U00000dJyHLQA0</t>
  </si>
  <si>
    <t>Marathon Oil</t>
  </si>
  <si>
    <t>0011U00000dJyHMQA0</t>
  </si>
  <si>
    <t>Martin, Erol M.</t>
  </si>
  <si>
    <t>0011U00000dJyHNQA0</t>
  </si>
  <si>
    <t>Cox, Martin Regan</t>
  </si>
  <si>
    <t>0011U00000dJyHOQA0</t>
  </si>
  <si>
    <t>Martin &amp; Cunningham</t>
  </si>
  <si>
    <t>0011U00000dJyHPQA0</t>
  </si>
  <si>
    <t>Max M Wilson</t>
  </si>
  <si>
    <t>0011U00000dJyHQQA0</t>
  </si>
  <si>
    <t>May &amp; Williams</t>
  </si>
  <si>
    <t>0011U00000dJyHRQA0</t>
  </si>
  <si>
    <t>Mcclure Oil Company, Inc.</t>
  </si>
  <si>
    <t>0011U00000dJyHSQA0</t>
  </si>
  <si>
    <t>Mcalister Fuel Co.</t>
  </si>
  <si>
    <t>0011U00000dJyHTQA0</t>
  </si>
  <si>
    <t>Mcgill Drlg. Co.</t>
  </si>
  <si>
    <t>0011U00000dJyHUQA0</t>
  </si>
  <si>
    <t>Mcgrath &amp; Smith</t>
  </si>
  <si>
    <t>0011U00000dJyHVQA0</t>
  </si>
  <si>
    <t>Mckinney &amp; Leonard &amp; Calco Dlrg. Co.</t>
  </si>
  <si>
    <t>0011U00000dJyHWQA0</t>
  </si>
  <si>
    <t>Mckinney &amp; Leonard &amp; Gulf Oil Corp</t>
  </si>
  <si>
    <t>0011U00000dJyHXQA0</t>
  </si>
  <si>
    <t>Meg Petroleum</t>
  </si>
  <si>
    <t>0011U00000dJyHYQA0</t>
  </si>
  <si>
    <t>Meg Energy Inc</t>
  </si>
  <si>
    <t>0011U00000dJyHZQA0</t>
  </si>
  <si>
    <t>Meridian Oil Co.</t>
  </si>
  <si>
    <t>0011U00000dJyHaQAK</t>
  </si>
  <si>
    <t>Mesquite Swd Inc</t>
  </si>
  <si>
    <t>0011U00000dJyHbQAK</t>
  </si>
  <si>
    <t>Mexco Energy Corporation</t>
  </si>
  <si>
    <t>0011U00000dJyHcQAK</t>
  </si>
  <si>
    <t>M.G.F. Oil Corporation</t>
  </si>
  <si>
    <t>0011U00000dJyHdQAK</t>
  </si>
  <si>
    <t>Michigan Loving County Oil Co</t>
  </si>
  <si>
    <t>0011U00000dJyHeQAK</t>
  </si>
  <si>
    <t>Michigan O And G</t>
  </si>
  <si>
    <t>0011U00000dJyHfQAK</t>
  </si>
  <si>
    <t>Michigan</t>
  </si>
  <si>
    <t>0011U00000dJyHgQAK</t>
  </si>
  <si>
    <t>Miles Kernaghan Jr</t>
  </si>
  <si>
    <t>0011U00000dJyHhQAK</t>
  </si>
  <si>
    <t>Miltex Oil Company</t>
  </si>
  <si>
    <t>0011U00000dJyHiQAK</t>
  </si>
  <si>
    <t>Milviney Street Operating Co,Inc</t>
  </si>
  <si>
    <t>0011U00000dJyHjQAK</t>
  </si>
  <si>
    <t>Monroe Eugene R</t>
  </si>
  <si>
    <t>0011U00000dJyHkQAK</t>
  </si>
  <si>
    <t>Murphy-Dyer Drlg. Co.</t>
  </si>
  <si>
    <t>0011U00000dJyHlQAK</t>
  </si>
  <si>
    <t>Mustang Swd Operating, Llc</t>
  </si>
  <si>
    <t>0011U00000dJyHmQAK</t>
  </si>
  <si>
    <t>Nadel And Gussman</t>
  </si>
  <si>
    <t>0011U00000dJyHnQAK</t>
  </si>
  <si>
    <t>Narbo Farms, Ltd.</t>
  </si>
  <si>
    <t>0011U00000dJyHoQAK</t>
  </si>
  <si>
    <t>Neil S. Salsich #2 Ltd</t>
  </si>
  <si>
    <t>0011U00000dJyHpQAK</t>
  </si>
  <si>
    <t>Neville G Penrose</t>
  </si>
  <si>
    <t>0011U00000dJyHqQAK</t>
  </si>
  <si>
    <t>New Horizon Exploration, Inc.</t>
  </si>
  <si>
    <t>0011U00000dJyHrQAK</t>
  </si>
  <si>
    <t>Ngl Water Solutions Mid-Cont,Llc</t>
  </si>
  <si>
    <t>0011U00000dJyHsQAK</t>
  </si>
  <si>
    <t>Nominator Not Required / Swr 31</t>
  </si>
  <si>
    <t>0011U00000dJyHtQAK</t>
  </si>
  <si>
    <t>Northern Pump</t>
  </si>
  <si>
    <t>0011U00000dJyHuQAK</t>
  </si>
  <si>
    <t>Norwood Drlg Co</t>
  </si>
  <si>
    <t>0011U00000dJyHvQAK</t>
  </si>
  <si>
    <t>Oasis Petroleum</t>
  </si>
  <si>
    <t>0011U00000dJyHwQAK</t>
  </si>
  <si>
    <t>Odessa Expl Inc</t>
  </si>
  <si>
    <t>0011U00000dJyHxQAK</t>
  </si>
  <si>
    <t>Olympic Oil &amp; Gas Co., Inc.</t>
  </si>
  <si>
    <t>0011U00000dJyHyQAK</t>
  </si>
  <si>
    <t>Owen &amp; Sloan</t>
  </si>
  <si>
    <t>0011U00000dJyHzQAK</t>
  </si>
  <si>
    <t>Owl Swd Operating, Llc</t>
  </si>
  <si>
    <t>0011U00000dJyI0QAK</t>
  </si>
  <si>
    <t>P V Pet Co</t>
  </si>
  <si>
    <t>0011U00000dJyI1QAK</t>
  </si>
  <si>
    <t>P4 Operating, Llc</t>
  </si>
  <si>
    <t>0011U00000dJyI2QAK</t>
  </si>
  <si>
    <t>Panther Exploration, Llc</t>
  </si>
  <si>
    <t>0011U00000dJyI3QAK</t>
  </si>
  <si>
    <t>Parker &amp; Parsley Petroleum Co.</t>
  </si>
  <si>
    <t>0011U00000dJyI4QAK</t>
  </si>
  <si>
    <t>Parker &amp; Parsley Devpt L P</t>
  </si>
  <si>
    <t>0011U00000dJyI5QAK</t>
  </si>
  <si>
    <t>Patterson Petroleum Lp</t>
  </si>
  <si>
    <t>0011U00000dJyI6QAK</t>
  </si>
  <si>
    <t>Paul Decleva</t>
  </si>
  <si>
    <t>0011U00000dJyI7QAK</t>
  </si>
  <si>
    <t>Putnam, Paul Oil</t>
  </si>
  <si>
    <t>0011U00000dJyI8QAK</t>
  </si>
  <si>
    <t>Pennzoil Company</t>
  </si>
  <si>
    <t>0011U00000dJyI9QAK</t>
  </si>
  <si>
    <t>Pennzoil United</t>
  </si>
  <si>
    <t>0011U00000dJyIAQA0</t>
  </si>
  <si>
    <t>Permian Brine Sales</t>
  </si>
  <si>
    <t>0011U00000dJyIBQA0</t>
  </si>
  <si>
    <t>Permian Dev Inc</t>
  </si>
  <si>
    <t>0011U00000dJyICQA0</t>
  </si>
  <si>
    <t>Pete Lomax</t>
  </si>
  <si>
    <t>0011U00000dJyIDQA0</t>
  </si>
  <si>
    <t>Petex</t>
  </si>
  <si>
    <t>0011U00000dJyIEQA0</t>
  </si>
  <si>
    <t>Petroleum Corp Of Delaware The</t>
  </si>
  <si>
    <t>0011U00000dJyIFQA0</t>
  </si>
  <si>
    <t>Petroleum Corporation Of Texas</t>
  </si>
  <si>
    <t>0011U00000dJyIGQA0</t>
  </si>
  <si>
    <t>Petro Technical Services</t>
  </si>
  <si>
    <t>0011U00000dJyIHQA0</t>
  </si>
  <si>
    <t>Phoenix Minerals Inc</t>
  </si>
  <si>
    <t>0011U00000dJyIIQA0</t>
  </si>
  <si>
    <t>Pinal Dome</t>
  </si>
  <si>
    <t>0011U00000dJyIJQA0</t>
  </si>
  <si>
    <t>Pioneer Natural Resources</t>
  </si>
  <si>
    <t>0011U00000dJyIKQA0</t>
  </si>
  <si>
    <t>Pitts Energy Co.</t>
  </si>
  <si>
    <t>0011U00000dJyILQA0</t>
  </si>
  <si>
    <t>Plains Pipeline L.P.</t>
  </si>
  <si>
    <t>0011U00000dJyIMQA0</t>
  </si>
  <si>
    <t>P-M Drlg,Co.</t>
  </si>
  <si>
    <t>0011U00000dJyINQA0</t>
  </si>
  <si>
    <t>Pxp Gulf Coast Inc</t>
  </si>
  <si>
    <t>0011U00000dJyIOQA0</t>
  </si>
  <si>
    <t>Priest Petroleum Corporation</t>
  </si>
  <si>
    <t>0011U00000dJyIPQA0</t>
  </si>
  <si>
    <t>Propel Energy Co</t>
  </si>
  <si>
    <t>0011U00000dJyIQQA0</t>
  </si>
  <si>
    <t>Qp, Inc.</t>
  </si>
  <si>
    <t>0011U00000dJyIRQA0</t>
  </si>
  <si>
    <t>Quantum Resources Mgmt, Llc</t>
  </si>
  <si>
    <t>0011U00000dJyISQA0</t>
  </si>
  <si>
    <t>Cuatro Oil &amp; Gas Corp</t>
  </si>
  <si>
    <t>0011U00000dJyITQA0</t>
  </si>
  <si>
    <t>Quinn And Adams</t>
  </si>
  <si>
    <t>0011U00000dJyIUQA0</t>
  </si>
  <si>
    <t>R. E. Sutton-Gulf Oil Corp.</t>
  </si>
  <si>
    <t>0011U00000dJyIVQA0</t>
  </si>
  <si>
    <t>R.E. Sutton &amp; Gulf Oil Corp</t>
  </si>
  <si>
    <t>0011U00000dJyIWQA0</t>
  </si>
  <si>
    <t>R.L. Henderson</t>
  </si>
  <si>
    <t>0011U00000dJyIXQA0</t>
  </si>
  <si>
    <t>Ralph Pembrook</t>
  </si>
  <si>
    <t>0011U00000dJyIYQA0</t>
  </si>
  <si>
    <t>Ranger 40 Petroleum, Llc</t>
  </si>
  <si>
    <t>0011U00000dJyIZQA0</t>
  </si>
  <si>
    <t>Ray Morris Drgl Co</t>
  </si>
  <si>
    <t>0011U00000dJyIaQAK</t>
  </si>
  <si>
    <t>Ray Smith Drlg</t>
  </si>
  <si>
    <t>0011U00000dJyIbQAK</t>
  </si>
  <si>
    <t>Reading &amp; Bates Offshore Drlg</t>
  </si>
  <si>
    <t>0011U00000dJyIcQAK</t>
  </si>
  <si>
    <t>Redfern &amp; Herd</t>
  </si>
  <si>
    <t>0011U00000dJyIdQAK</t>
  </si>
  <si>
    <t>Reef Exploration, Inc.</t>
  </si>
  <si>
    <t>0011U00000dJyIeQAK</t>
  </si>
  <si>
    <t>Remuda Operating Co Llc</t>
  </si>
  <si>
    <t>0011U00000dJyIfQAK</t>
  </si>
  <si>
    <t>Renaud Oil Corp</t>
  </si>
  <si>
    <t>0011U00000dJyIgQAK</t>
  </si>
  <si>
    <t>Resolute Energy Corp</t>
  </si>
  <si>
    <t>0011U00000dJyIhQAK</t>
  </si>
  <si>
    <t>Richardson &amp; Bass</t>
  </si>
  <si>
    <t>0011U00000dJyIiQAK</t>
  </si>
  <si>
    <t>Richmond Drilling Company, Inc.</t>
  </si>
  <si>
    <t>0011U00000dJyIjQAK</t>
  </si>
  <si>
    <t>Richmond Petroleum Inc.</t>
  </si>
  <si>
    <t>0011U00000dJyIkQAK</t>
  </si>
  <si>
    <t>Robert B Holt</t>
  </si>
  <si>
    <t>0011U00000dJyIlQAK</t>
  </si>
  <si>
    <t>Roberts Cahoon &amp; Adobe Oil Co.</t>
  </si>
  <si>
    <t>0011U00000dJyImQAK</t>
  </si>
  <si>
    <t>Robertson Resources, Inc.</t>
  </si>
  <si>
    <t>0011U00000dJyInQAK</t>
  </si>
  <si>
    <t>Roden Oil Co</t>
  </si>
  <si>
    <t>0011U00000dJyIoQAK</t>
  </si>
  <si>
    <t>Rodman Moel And Black</t>
  </si>
  <si>
    <t>0011U00000dJyIpQAK</t>
  </si>
  <si>
    <t>Rodman, Noel &amp; Black</t>
  </si>
  <si>
    <t>0011U00000dJyIqQAK</t>
  </si>
  <si>
    <t>Rosehill Operating Company, Llc</t>
  </si>
  <si>
    <t>0011U00000dJyIrQAK</t>
  </si>
  <si>
    <t>Rosewood Resources</t>
  </si>
  <si>
    <t>0011U00000dJyIsQAK</t>
  </si>
  <si>
    <t>Rover Operating Llc</t>
  </si>
  <si>
    <t>0011U00000dJyItQAK</t>
  </si>
  <si>
    <t>Roy A Westbrook Jr</t>
  </si>
  <si>
    <t>0011U00000dJyIuQAK</t>
  </si>
  <si>
    <t>Rpl Oil Co</t>
  </si>
  <si>
    <t>0011U00000dJyIvQAK</t>
  </si>
  <si>
    <t>Rust Oil Corp.</t>
  </si>
  <si>
    <t>0011U00000dJyIwQAK</t>
  </si>
  <si>
    <t>Sabre Drlg.</t>
  </si>
  <si>
    <t>0011U00000dJyIxQAK</t>
  </si>
  <si>
    <t>Sahara Operating Company</t>
  </si>
  <si>
    <t>0011U00000dJyIyQAK</t>
  </si>
  <si>
    <t>Sak Company</t>
  </si>
  <si>
    <t>0011U00000dJyIzQAK</t>
  </si>
  <si>
    <t>Samson Lone Star, Llc</t>
  </si>
  <si>
    <t>0011U00000dJyJ0QAK</t>
  </si>
  <si>
    <t>Sanders Oil &amp; Gas Co</t>
  </si>
  <si>
    <t>0011U00000dJyJ1QAK</t>
  </si>
  <si>
    <t>Sandridge Energy</t>
  </si>
  <si>
    <t>0011U00000dJyJ2QAK</t>
  </si>
  <si>
    <t>Santana Pet Corp</t>
  </si>
  <si>
    <t>0011U00000dJyJ3QAK</t>
  </si>
  <si>
    <t>Saxet Oil Corporation</t>
  </si>
  <si>
    <t>0011U00000dJyJ4QAK</t>
  </si>
  <si>
    <t>Schlachter David A</t>
  </si>
  <si>
    <t>0011U00000dJyJ5QAK</t>
  </si>
  <si>
    <t>Schlachter Operating Corporation</t>
  </si>
  <si>
    <t>0011U00000dJyJ6QAK</t>
  </si>
  <si>
    <t>Schutten H W</t>
  </si>
  <si>
    <t>0011U00000dJyJ7QAK</t>
  </si>
  <si>
    <t>Security Underground Storage</t>
  </si>
  <si>
    <t>0011U00000dJyJ8QAK</t>
  </si>
  <si>
    <t>Sharon Resources</t>
  </si>
  <si>
    <t>0011U00000dJyJ9QAK</t>
  </si>
  <si>
    <t>Sheets &amp; Walton Drlg Co</t>
  </si>
  <si>
    <t>0011U00000dJyJAQA0</t>
  </si>
  <si>
    <t>Shell</t>
  </si>
  <si>
    <t>0011U00000dJyJBQA0</t>
  </si>
  <si>
    <t>Canyon Exploration Co.</t>
  </si>
  <si>
    <t>0011U00000dJyJCQA0</t>
  </si>
  <si>
    <t>Sheridan Production Company Llc</t>
  </si>
  <si>
    <t>0011U00000dJyJDQA0</t>
  </si>
  <si>
    <t>Sm Energy</t>
  </si>
  <si>
    <t>0011U00000dJyJEQA0</t>
  </si>
  <si>
    <t>Simon, W. D. Oil Co.</t>
  </si>
  <si>
    <t>0011U00000dJyJFQA0</t>
  </si>
  <si>
    <t>Sinclair O&amp;G</t>
  </si>
  <si>
    <t>0011U00000dJyJGQA0</t>
  </si>
  <si>
    <t>Sinclair Prairie</t>
  </si>
  <si>
    <t>0011U00000dJyJHQA0</t>
  </si>
  <si>
    <t>Jones, Skeet Lee</t>
  </si>
  <si>
    <t>0011U00000dJyJIQA0</t>
  </si>
  <si>
    <t>Skelly</t>
  </si>
  <si>
    <t>0011U00000dJyJJQA0</t>
  </si>
  <si>
    <t>Sloan &amp; Zook</t>
  </si>
  <si>
    <t>0011U00000dJyJKQA0</t>
  </si>
  <si>
    <t>Smith Bros Casing Pullers Inc</t>
  </si>
  <si>
    <t>0011U00000dJyJLQA0</t>
  </si>
  <si>
    <t>Smith Ricky &amp; Mayo Marrs</t>
  </si>
  <si>
    <t>0011U00000dJyJMQA0</t>
  </si>
  <si>
    <t>Snow Oil &amp; Gas Inc.</t>
  </si>
  <si>
    <t>7/22/2019</t>
  </si>
  <si>
    <t>FRANCES L NOLDE TRUST</t>
  </si>
  <si>
    <t>0011U00000hXoxeQAC</t>
  </si>
  <si>
    <t>0011U00000dJyK2QAK</t>
  </si>
  <si>
    <t>Tom E. Johnson Exploration Llc</t>
  </si>
  <si>
    <t>0011U00000dJyK3QAK</t>
  </si>
  <si>
    <t>Trail Mountain, Inc.</t>
  </si>
  <si>
    <t>0011U00000dJyK4QAK</t>
  </si>
  <si>
    <t>Trico Exploration Co</t>
  </si>
  <si>
    <t>0011U00000dJyK5QAK</t>
  </si>
  <si>
    <t>Trinity Enviro Swd I, L.L.C.</t>
  </si>
  <si>
    <t>0011U00000dJyK6QAK</t>
  </si>
  <si>
    <t>Trinity Environmental Swd,L.L.C</t>
  </si>
  <si>
    <t>0011U00000dJyK7QAK</t>
  </si>
  <si>
    <t>Triple "N" Services Inc</t>
  </si>
  <si>
    <t>0011U00000dJyK8QAK</t>
  </si>
  <si>
    <t>Union Oil Co Of Calif</t>
  </si>
  <si>
    <t>0011U00000dJyK9QAK</t>
  </si>
  <si>
    <t>Union Royalty Inc</t>
  </si>
  <si>
    <t>0011U00000dJyKAQA0</t>
  </si>
  <si>
    <t>Williams Companies</t>
  </si>
  <si>
    <t>0011U00000dJyKBQA0</t>
  </si>
  <si>
    <t>Vanguard Natural Resources Llc</t>
  </si>
  <si>
    <t>0011U00000dJyKCQA0</t>
  </si>
  <si>
    <t>Velocity Water Solutions</t>
  </si>
  <si>
    <t>0011U00000dJyKDQA0</t>
  </si>
  <si>
    <t>Vincent &amp; Welch, Inc.</t>
  </si>
  <si>
    <t>0011U00000dJyKEQA0</t>
  </si>
  <si>
    <t>W A Hover</t>
  </si>
  <si>
    <t>0011U00000dJyKFQA0</t>
  </si>
  <si>
    <t>W B Collins</t>
  </si>
  <si>
    <t>0011U00000dJyKGQA0</t>
  </si>
  <si>
    <t>W.L. Mcculloch</t>
  </si>
  <si>
    <t>0011U00000dJyKHQA0</t>
  </si>
  <si>
    <t>Wm &amp; Ap Fuller</t>
  </si>
  <si>
    <t>0011U00000dJyKIQA0</t>
  </si>
  <si>
    <t>Walsh &amp; Watts, Inc.</t>
  </si>
  <si>
    <t>0011U00000dJyKJQA0</t>
  </si>
  <si>
    <t>War-Mac Oil Co</t>
  </si>
  <si>
    <t>0011U00000dJyKKQA0</t>
  </si>
  <si>
    <t>Warren Earl T</t>
  </si>
  <si>
    <t>0011U00000dJyKLQA0</t>
  </si>
  <si>
    <t>Hc Water Solutions, Llc</t>
  </si>
  <si>
    <t>0011U00000dJyKMQA0</t>
  </si>
  <si>
    <t>West Texas Operators Inc</t>
  </si>
  <si>
    <t>0011U00000dJyKNQA0</t>
  </si>
  <si>
    <t>Western Global Oil, Inc</t>
  </si>
  <si>
    <t>0011U00000dJyKOQA0</t>
  </si>
  <si>
    <t>Western Reserves Oil Company Inc</t>
  </si>
  <si>
    <t>0011U00000dJyKPQA0</t>
  </si>
  <si>
    <t>Westland Oil Development Corp.</t>
  </si>
  <si>
    <t>0011U00000dJyKQQA0</t>
  </si>
  <si>
    <t>Wheeler Energy Llc</t>
  </si>
  <si>
    <t>0011U00000dJyKRQA0</t>
  </si>
  <si>
    <t>Whiting Petroleum</t>
  </si>
  <si>
    <t>0011U00000dJyKSQA0</t>
  </si>
  <si>
    <t>Wilbanks &amp; Rasmussen</t>
  </si>
  <si>
    <t>0011U00000dJyKTQA0</t>
  </si>
  <si>
    <t>Wilson William B</t>
  </si>
  <si>
    <t>0011U00000dJyKUQA0</t>
  </si>
  <si>
    <t>William D.Mcbee,Jr.</t>
  </si>
  <si>
    <t>0011U00000dJyKVQA0</t>
  </si>
  <si>
    <t>William F Grauten</t>
  </si>
  <si>
    <t>0011U00000dJyKWQA0</t>
  </si>
  <si>
    <t>William F Grauten And Gmh Oil Co</t>
  </si>
  <si>
    <t>0011U00000dJyKXQA0</t>
  </si>
  <si>
    <t>Wilson Exploration Co.</t>
  </si>
  <si>
    <t>0011U00000dJyKYQA0</t>
  </si>
  <si>
    <t>Wilson Germany Paul Page</t>
  </si>
  <si>
    <t>0011U00000dJyKZQA0</t>
  </si>
  <si>
    <t>Wilson Germany Paul Page &amp; Gulf Oil Corp</t>
  </si>
  <si>
    <t>0011U00000dJyKaQAK</t>
  </si>
  <si>
    <t>Hendon Wm E. Jr. Rev Lvng Trust</t>
  </si>
  <si>
    <t>0011U00000dJyKbQAK</t>
  </si>
  <si>
    <t>Wolf Energy, Inc.</t>
  </si>
  <si>
    <t>0011U00000dJyKcQAK</t>
  </si>
  <si>
    <t>Wooldridge Frank</t>
  </si>
  <si>
    <t>0011U00000dJyKdQAK</t>
  </si>
  <si>
    <t>Xeric Oil &amp; Gas Corp.</t>
  </si>
  <si>
    <t>0011U00000dJy9OQAS</t>
  </si>
  <si>
    <t>Sundown Petroleum Inc</t>
  </si>
  <si>
    <t>0011U00000dJy9PQAS</t>
  </si>
  <si>
    <t>Sunergon Oil Operating, Llc</t>
  </si>
  <si>
    <t>0011U00000dJy9QQAS</t>
  </si>
  <si>
    <t>Penn Virginia</t>
  </si>
  <si>
    <t>0011U00000dJy9RQAS</t>
  </si>
  <si>
    <t>Hillin, T. A.</t>
  </si>
  <si>
    <t>0011U00000dJyJdQAK</t>
  </si>
  <si>
    <t>T. F. Hodge</t>
  </si>
  <si>
    <t>0011U00000dJyJeQAK</t>
  </si>
  <si>
    <t>T H Mcelvain</t>
  </si>
  <si>
    <t>0011U00000dJyJfQAK</t>
  </si>
  <si>
    <t>T.M. Evans &amp; Gulf Oil Corp</t>
  </si>
  <si>
    <t>0011U00000dJyJgQAK</t>
  </si>
  <si>
    <t>Tag Operating Co., Inc.</t>
  </si>
  <si>
    <t>0011U00000dJyJhQAK</t>
  </si>
  <si>
    <t>Tall City Brine Llc</t>
  </si>
  <si>
    <t>0011U00000dJyJiQAK</t>
  </si>
  <si>
    <t>Tamarack Petroleum Co., Inc.</t>
  </si>
  <si>
    <t>0011U00000dJyJjQAK</t>
  </si>
  <si>
    <t>Gbk Corporation</t>
  </si>
  <si>
    <t>0011U00000dJyJkQAK</t>
  </si>
  <si>
    <t>Tenneco Oil Co.</t>
  </si>
  <si>
    <t>0011U00000dJyJlQAK</t>
  </si>
  <si>
    <t>Texas Bend Oil Co.</t>
  </si>
  <si>
    <t>0011U00000dJyJmQAK</t>
  </si>
  <si>
    <t>Texas Consolidated Pet. Corp.</t>
  </si>
  <si>
    <t>0011U00000dJyJnQAK</t>
  </si>
  <si>
    <t>Texas-New Mexico Dev Co</t>
  </si>
  <si>
    <t>0011U00000dJyJoQAK</t>
  </si>
  <si>
    <t>Texfel Petr</t>
  </si>
  <si>
    <t>0011U00000dJyJpQAK</t>
  </si>
  <si>
    <t>The Ibex Co</t>
  </si>
  <si>
    <t>0011U00000dJyJqQAK</t>
  </si>
  <si>
    <t>The Ohio Oil Co</t>
  </si>
  <si>
    <t>0011U00000dJyJrQAK</t>
  </si>
  <si>
    <t>The Ohio Co</t>
  </si>
  <si>
    <t>0011U00000dJyJsQAK</t>
  </si>
  <si>
    <t>The Theiss Drlg Co</t>
  </si>
  <si>
    <t>0011U00000dJyJtQAK</t>
  </si>
  <si>
    <t>The Txl Oil</t>
  </si>
  <si>
    <t>0011U00000dJyJuQAK</t>
  </si>
  <si>
    <t>Three-B Oil Company, The</t>
  </si>
  <si>
    <t>0011U00000dJyJvQAK</t>
  </si>
  <si>
    <t>Tidewater Oil Co</t>
  </si>
  <si>
    <t>0011U00000dJyJwQAK</t>
  </si>
  <si>
    <t>Titan Resources I Inc</t>
  </si>
  <si>
    <t>0011U00000dJyJxQAK</t>
  </si>
  <si>
    <t>Tiza Energy, Inc.</t>
  </si>
  <si>
    <t>0011U00000dJyJyQAK</t>
  </si>
  <si>
    <t>T M B R/Sharp Drlg Inc</t>
  </si>
  <si>
    <t>0011U00000dJyJzQAK</t>
  </si>
  <si>
    <t>T-N-T Engineering, Inc.</t>
  </si>
  <si>
    <t>0011U00000dJyK0QAK</t>
  </si>
  <si>
    <t>Tom Brown Drlg Co Etal</t>
  </si>
  <si>
    <t>0011U00000dJyK1QAK</t>
  </si>
  <si>
    <t>Johnson Tom E</t>
  </si>
  <si>
    <t>0011U00000dJyB4QAK</t>
  </si>
  <si>
    <t>20TH CENTURY PIPE &amp; EQUIPCOINC</t>
  </si>
  <si>
    <t>0011U00000dJyB5QAK</t>
  </si>
  <si>
    <t>7S OIL &amp; GAS, LLC</t>
  </si>
  <si>
    <t>0011U00000dJyB6QAK</t>
  </si>
  <si>
    <t>A A CAMERON</t>
  </si>
  <si>
    <t>0011U00000dJyB7QAK</t>
  </si>
  <si>
    <t>A A CAMERON ET AL</t>
  </si>
  <si>
    <t>0011U00000dJyB8QAK</t>
  </si>
  <si>
    <t>A&amp;H INVESTMENT CO,</t>
  </si>
  <si>
    <t>0011U00000dJyB9QAK</t>
  </si>
  <si>
    <t>AGHORN OPERATING, INC.</t>
  </si>
  <si>
    <t>0011U00000dJyBAQA0</t>
  </si>
  <si>
    <t>AMBASSADOR OIL</t>
  </si>
  <si>
    <t>0011U00000dJyBBQA0</t>
  </si>
  <si>
    <t>UNIT</t>
  </si>
  <si>
    <t>0011U00000dJyBCQA0</t>
  </si>
  <si>
    <t>AMEREDEV LLC</t>
  </si>
  <si>
    <t>0011U00000dJyBDQA0</t>
  </si>
  <si>
    <t>BAYOU RESOURCES, LLC</t>
  </si>
  <si>
    <t>0011U00000dJyBEQA0</t>
  </si>
  <si>
    <t>AMERICAN PETROFINA, INC.</t>
  </si>
  <si>
    <t>0011U00000dJyBFQA0</t>
  </si>
  <si>
    <t>AMERICAN QUASAR PETR. CO.</t>
  </si>
  <si>
    <t>0011U00000dJyBGQA0</t>
  </si>
  <si>
    <t>AMERICAN QUASAR</t>
  </si>
  <si>
    <t>0011U00000dJyBHQA0</t>
  </si>
  <si>
    <t>AMERICAN TRADING &amp; PROD CORP</t>
  </si>
  <si>
    <t>0011U00000dJyBIQA0</t>
  </si>
  <si>
    <t>AMOCO PROD. CO.</t>
  </si>
  <si>
    <t>0011U00000dJyBJQA0</t>
  </si>
  <si>
    <t>ANADARKO PETROLEUM</t>
  </si>
  <si>
    <t>0011U00000dJyBKQA0</t>
  </si>
  <si>
    <t>ARCH OIL &amp; GAS LLC</t>
  </si>
  <si>
    <t>0011U00000dJyBLQA0</t>
  </si>
  <si>
    <t>BP</t>
  </si>
  <si>
    <t>0011U00000dJyBMQA0</t>
  </si>
  <si>
    <t>ARCO OIL</t>
  </si>
  <si>
    <t>0011U00000dJyBNQA0</t>
  </si>
  <si>
    <t>ARD DRLG CO</t>
  </si>
  <si>
    <t>0011U00000dJyBOQA0</t>
  </si>
  <si>
    <t>ARGO OIL CORPORATION</t>
  </si>
  <si>
    <t>0011U00000dJyBPQA0</t>
  </si>
  <si>
    <t>ARROYO DRILLING &amp; EXPLOR., INC.</t>
  </si>
  <si>
    <t>0011U00000dJyBQQA0</t>
  </si>
  <si>
    <t>ARTHUR W HENDEN AND GULF OIL CORP</t>
  </si>
  <si>
    <t>0011U00000dJyBRQA0</t>
  </si>
  <si>
    <t>ATAPCO</t>
  </si>
  <si>
    <t>0011U00000dJyBSQA0</t>
  </si>
  <si>
    <t>ATLANTIC RESOURCES COMPANY, LLC</t>
  </si>
  <si>
    <t>0011U00000dJyBTQA0</t>
  </si>
  <si>
    <t>ATLANTIC OPERATING INC</t>
  </si>
  <si>
    <t>0011U00000dJyBUQA0</t>
  </si>
  <si>
    <t>ATLAS OPERATING LLC</t>
  </si>
  <si>
    <t>0011U00000dJyBVQA0</t>
  </si>
  <si>
    <t>AVAD OPERATING, LLC</t>
  </si>
  <si>
    <t>0011U00000dJyBWQA0</t>
  </si>
  <si>
    <t>BC OPERATING INC</t>
  </si>
  <si>
    <t>0011U00000dJyBXQA0</t>
  </si>
  <si>
    <t>B&amp;H WELL SERVICE</t>
  </si>
  <si>
    <t>0011U00000dJyBYQA0</t>
  </si>
  <si>
    <t>BARNETT PET</t>
  </si>
  <si>
    <t>0011U00000dJyBZQA0</t>
  </si>
  <si>
    <t>BARNEY COCKBURN</t>
  </si>
  <si>
    <t>0011U00000dJyBaQAK</t>
  </si>
  <si>
    <t>BASIC ENERGY SERVICES</t>
  </si>
  <si>
    <t>0011U00000dJyBbQAK</t>
  </si>
  <si>
    <t>EXXON MOBIL</t>
  </si>
  <si>
    <t>0011U00000dJyBcQAK</t>
  </si>
  <si>
    <t>BAY-TECH</t>
  </si>
  <si>
    <t>0011U00000dJyBdQAK</t>
  </si>
  <si>
    <t>BEACH OIL &amp; GAS, INC.</t>
  </si>
  <si>
    <t>0011U00000dJyBeQAK</t>
  </si>
  <si>
    <t>BEEKMAN ENTERPRISES, INC.</t>
  </si>
  <si>
    <t>0011U00000dJyBfQAK</t>
  </si>
  <si>
    <t>BELCO OIL CO</t>
  </si>
  <si>
    <t>0011U00000dJyBgQAK</t>
  </si>
  <si>
    <t>BELL LILLIAN ESTATE</t>
  </si>
  <si>
    <t>0011U00000dJyBhQAK</t>
  </si>
  <si>
    <t>BENGAL OIL &amp; GAS, INC.</t>
  </si>
  <si>
    <t>0011U00000dJyBiQAK</t>
  </si>
  <si>
    <t>BLACK MOUNTAIN OPERATING LLC</t>
  </si>
  <si>
    <t>0011U00000hWmlJQAS</t>
  </si>
  <si>
    <t>Nimrod Properties Llc</t>
  </si>
  <si>
    <t>7/17/2019</t>
  </si>
  <si>
    <t>0011U00000hWmlKQAS</t>
  </si>
  <si>
    <t>Noack Gabie</t>
  </si>
  <si>
    <t>0011U00000hWmlLQAS</t>
  </si>
  <si>
    <t>Old Lipan Limited</t>
  </si>
  <si>
    <t>0011U00000hWmlMQAS</t>
  </si>
  <si>
    <t>Olive G Twyman Revocable Living Trust</t>
  </si>
  <si>
    <t>0011U00000hWmlNQAS</t>
  </si>
  <si>
    <t>Ondansen Limited</t>
  </si>
  <si>
    <t>0011U00000hWmlOQAS</t>
  </si>
  <si>
    <t>Owen Montgomery Barnhill</t>
  </si>
  <si>
    <t>0011U00000hWmlPQAS</t>
  </si>
  <si>
    <t>Pam Humphreys</t>
  </si>
  <si>
    <t>0011U00000hWmlQQAS</t>
  </si>
  <si>
    <t>Paralee M Hays</t>
  </si>
  <si>
    <t>0011U00000hWmlRQAS</t>
  </si>
  <si>
    <t>Parkcrest Minerals Llc</t>
  </si>
  <si>
    <t>0011U00000hWmlSQAS</t>
  </si>
  <si>
    <t>Pat Garet Harkins</t>
  </si>
  <si>
    <t>0011U00000hWmlTQAS</t>
  </si>
  <si>
    <t>Patricia A Bateman</t>
  </si>
  <si>
    <t>0011U00000hWmlUQAS</t>
  </si>
  <si>
    <t>Patricia Beateman</t>
  </si>
  <si>
    <t>0011U00000hWmlVQAS</t>
  </si>
  <si>
    <t>Patty J Woolums</t>
  </si>
  <si>
    <t>0011U00000hWmlWQAS</t>
  </si>
  <si>
    <t>Pauline Henderson Wolf</t>
  </si>
  <si>
    <t>0011U00000hWmlXQAS</t>
  </si>
  <si>
    <t>Pauline Wolf</t>
  </si>
  <si>
    <t>0011U00000hWmlYQAS</t>
  </si>
  <si>
    <t>Pearlene Welch</t>
  </si>
  <si>
    <t>0011U00000hWmlZQAS</t>
  </si>
  <si>
    <t>Peggy Denise Beckham Hanna</t>
  </si>
  <si>
    <t>0011U00000hWmlaQAC</t>
  </si>
  <si>
    <t>Perrine-Sweet Royalty Trust</t>
  </si>
  <si>
    <t>0011U00000hWmlbQAC</t>
  </si>
  <si>
    <t>Peter Kelly</t>
  </si>
  <si>
    <t>0011U00000hWmbrQAC</t>
  </si>
  <si>
    <t>Ernest Avery Young</t>
  </si>
  <si>
    <t>0011U00000hWmbsQAC</t>
  </si>
  <si>
    <t>Ernest Young</t>
  </si>
  <si>
    <t>0011U00000hWmbtQAC</t>
  </si>
  <si>
    <t>Estate Of Billie W Statton</t>
  </si>
  <si>
    <t>0011U00000hWmbuQAC</t>
  </si>
  <si>
    <t>Estate Of Charlotte M Lincoln</t>
  </si>
  <si>
    <t>0011U00000hWmbvQAC</t>
  </si>
  <si>
    <t>Estate Of Helen Julia Johnston</t>
  </si>
  <si>
    <t>0011U00000hWmbwQAC</t>
  </si>
  <si>
    <t>Estate Of Marvin L Welch</t>
  </si>
  <si>
    <t>0011U00000hWmbxQAC</t>
  </si>
  <si>
    <t>Estate Of Sidney Haley Dunkey</t>
  </si>
  <si>
    <t>0011U00000hWmbyQAC</t>
  </si>
  <si>
    <t>Evelyn H Bitting</t>
  </si>
  <si>
    <t>0011U00000hWmbzQAC</t>
  </si>
  <si>
    <t>Evelyn Holm</t>
  </si>
  <si>
    <t>0011U00000hWmc0QAC</t>
  </si>
  <si>
    <t>F Kirk Johnson Iv</t>
  </si>
  <si>
    <t>0011U00000hWmc1QAC</t>
  </si>
  <si>
    <t>Frances G Molumphy</t>
  </si>
  <si>
    <t>0011U00000hWmc2QAC</t>
  </si>
  <si>
    <t>Frances Kaye Sinclair</t>
  </si>
  <si>
    <t>0011U00000hWmc3QAC</t>
  </si>
  <si>
    <t>Frances M Hampton</t>
  </si>
  <si>
    <t>0011U00000hWmc4QAC</t>
  </si>
  <si>
    <t>Frank Jefferson Haley</t>
  </si>
  <si>
    <t>0011U00000hWmlcQAC</t>
  </si>
  <si>
    <t>Peter Lombardo</t>
  </si>
  <si>
    <t>0011U00000hWmldQAC</t>
  </si>
  <si>
    <t>Phyllis M Parks</t>
  </si>
  <si>
    <t>0011U00000hWmleQAC</t>
  </si>
  <si>
    <t>Polly V Madden</t>
  </si>
  <si>
    <t>0011U00000hWmlfQAC</t>
  </si>
  <si>
    <t>Producers &amp; Refiners Corporation</t>
  </si>
  <si>
    <t>0011U00000hWmlgQAC</t>
  </si>
  <si>
    <t>R Scott Jameson</t>
  </si>
  <si>
    <t>0011U00000hWmlhQAC</t>
  </si>
  <si>
    <t>R.M.A. Enterprises</t>
  </si>
  <si>
    <t>0011U00000hWmliQAC</t>
  </si>
  <si>
    <t>Ralph T Asbury</t>
  </si>
  <si>
    <t>0011U00000hWmljQAC</t>
  </si>
  <si>
    <t>Ray Properties</t>
  </si>
  <si>
    <t>0011U00000hWmlkQAC</t>
  </si>
  <si>
    <t>Raymond Scott Jameson</t>
  </si>
  <si>
    <t>0011U00000hWmllQAC</t>
  </si>
  <si>
    <t>Rebecca Sue Loyd</t>
  </si>
  <si>
    <t>0011U00000hWmlmQAC</t>
  </si>
  <si>
    <t>Reynolds 2314 Partnership</t>
  </si>
  <si>
    <t>0011U00000hWmlnQAC</t>
  </si>
  <si>
    <t>Richard D Lincoln</t>
  </si>
  <si>
    <t>0011U00000hWmloQAC</t>
  </si>
  <si>
    <t>Richard R Koch</t>
  </si>
  <si>
    <t>0011U00000hWmlpQAC</t>
  </si>
  <si>
    <t>Richard Robert Statton</t>
  </si>
  <si>
    <t>0011U00000hWmlqQAC</t>
  </si>
  <si>
    <t>Rma Enterprises</t>
  </si>
  <si>
    <t>0011U00000hWmlrQAC</t>
  </si>
  <si>
    <t>Robert A Hall</t>
  </si>
  <si>
    <t>0011U00000hWmlsQAC</t>
  </si>
  <si>
    <t>Robert Adrian Aycock</t>
  </si>
  <si>
    <t>0011U00000hWmltQAC</t>
  </si>
  <si>
    <t>Robert D Whitten Gst Exemption Residuary Trust</t>
  </si>
  <si>
    <t>0011U00000hWmluQAC</t>
  </si>
  <si>
    <t>Robert E Pucket Jr</t>
  </si>
  <si>
    <t>0011U00000hWmlvQAC</t>
  </si>
  <si>
    <t>Robert E Puckett Jr</t>
  </si>
  <si>
    <t>0011U00000hWmlwQAC</t>
  </si>
  <si>
    <t>Robert Freeman</t>
  </si>
  <si>
    <t>0011U00000hWmlxQAC</t>
  </si>
  <si>
    <t>Robert G Freeman</t>
  </si>
  <si>
    <t>0011U00000hWmlyQAC</t>
  </si>
  <si>
    <t>Robert G Hicks</t>
  </si>
  <si>
    <t>0011U00000hWmlzQAC</t>
  </si>
  <si>
    <t>Robert L Gardner</t>
  </si>
  <si>
    <t>0011U00000hWmm0QAC</t>
  </si>
  <si>
    <t>Robert Lee Parks</t>
  </si>
  <si>
    <t>0011U00000hWmm1QAC</t>
  </si>
  <si>
    <t>Robert Lynn Gardner</t>
  </si>
  <si>
    <t>0011U00000hWmm2QAC</t>
  </si>
  <si>
    <t>Robert M Thomas</t>
  </si>
  <si>
    <t>0011U00000hWmm3QAC</t>
  </si>
  <si>
    <t>Roberta Williams</t>
  </si>
  <si>
    <t>0011U00000hWmm4QAC</t>
  </si>
  <si>
    <t>Robin K Charlson</t>
  </si>
  <si>
    <t>0011U00000hWmm5QAC</t>
  </si>
  <si>
    <t>Ronald Tipton Asbury</t>
  </si>
  <si>
    <t>0011U00000hWmm6QAC</t>
  </si>
  <si>
    <t>Rosewood Trust Company Executor</t>
  </si>
  <si>
    <t>0011U00000hWmm7QAC</t>
  </si>
  <si>
    <t>Ruth Freeman</t>
  </si>
  <si>
    <t>0011U00000hWmm8QAC</t>
  </si>
  <si>
    <t>Rvs Minerals Llc</t>
  </si>
  <si>
    <t>0011U00000hWmm9QAC</t>
  </si>
  <si>
    <t>Samuel P Bowyer</t>
  </si>
  <si>
    <t>0011U00000hWmmAQAS</t>
  </si>
  <si>
    <t>Sanvin Inc</t>
  </si>
  <si>
    <t>0011U00000hWmmBQAS</t>
  </si>
  <si>
    <t>Sara Alexander Gleb</t>
  </si>
  <si>
    <t>0011U00000hWmmCQAS</t>
  </si>
  <si>
    <t>Sara Gieb</t>
  </si>
  <si>
    <t>0011U00000hWmmDQAS</t>
  </si>
  <si>
    <t>Saving Inc</t>
  </si>
  <si>
    <t>0011U00000hWmmEQAS</t>
  </si>
  <si>
    <t>Sharon Johnson</t>
  </si>
  <si>
    <t>0011U00000hWmmFQAS</t>
  </si>
  <si>
    <t>Staci Gleason Behpour</t>
  </si>
  <si>
    <t>0011U00000hWmmGQAS</t>
  </si>
  <si>
    <t>Stacy Lee Russell</t>
  </si>
  <si>
    <t>0011U00000hWmmHQAS</t>
  </si>
  <si>
    <t>Stephen H Sands</t>
  </si>
  <si>
    <t>0011U00000hWmmIQAS</t>
  </si>
  <si>
    <t>Strata Minerals Inc</t>
  </si>
  <si>
    <t>0011U00000hWmmJQAS</t>
  </si>
  <si>
    <t>Susan Pope</t>
  </si>
  <si>
    <t>0011U00000hWmmKQAS</t>
  </si>
  <si>
    <t>Tammy Bell</t>
  </si>
  <si>
    <t>0011U00000hWmmLQAS</t>
  </si>
  <si>
    <t>Tammy Hinson</t>
  </si>
  <si>
    <t>0011U00000hWmmMQAS</t>
  </si>
  <si>
    <t>The Tucker Revocable Trust</t>
  </si>
  <si>
    <t>0011U00000hWmmNQAS</t>
  </si>
  <si>
    <t>Theresa D Kaspar</t>
  </si>
  <si>
    <t>0011U00000hWmmOQAS</t>
  </si>
  <si>
    <t>Thomas Anderson Beckham</t>
  </si>
  <si>
    <t>0011U00000hWmmPQAS</t>
  </si>
  <si>
    <t>Thomas Mike Mckenzie</t>
  </si>
  <si>
    <t>0011U00000hWmmQQAS</t>
  </si>
  <si>
    <t>Ti Cor Properties</t>
  </si>
  <si>
    <t>0011U00000hWmmRQAS</t>
  </si>
  <si>
    <t>Tiffany Austin Wagstaff</t>
  </si>
  <si>
    <t>0011U00000hWmmSQAS</t>
  </si>
  <si>
    <t>Tiffany Wagstaff</t>
  </si>
  <si>
    <t>0011U00000hWmmTQAS</t>
  </si>
  <si>
    <t>Tina Watson</t>
  </si>
  <si>
    <t>0011U00000hWmmUQAS</t>
  </si>
  <si>
    <t>Tracy Hahn</t>
  </si>
  <si>
    <t>0011U00000hWmmVQAS</t>
  </si>
  <si>
    <t>Vaierle Wilkins</t>
  </si>
  <si>
    <t>0011U00000hWmjZQAS</t>
  </si>
  <si>
    <t>Joe Bill Little</t>
  </si>
  <si>
    <t>0011U00000hWmjaQAC</t>
  </si>
  <si>
    <t>Joe Buie Brown Exemption Equivalent Trust</t>
  </si>
  <si>
    <t>0011U00000hWmjbQAC</t>
  </si>
  <si>
    <t>Joe Ed Little</t>
  </si>
  <si>
    <t>0011U00000hWmjcQAC</t>
  </si>
  <si>
    <t>John A Connell</t>
  </si>
  <si>
    <t>0011U00000hWmjdQAC</t>
  </si>
  <si>
    <t>John And Joann Brown Belveal Joint Living Trust</t>
  </si>
  <si>
    <t>0011U00000hWmjeQAC</t>
  </si>
  <si>
    <t>John F Gorath</t>
  </si>
  <si>
    <t>0011U00000hWmjfQAC</t>
  </si>
  <si>
    <t>John Haley</t>
  </si>
  <si>
    <t>0011U00000hWmjgQAC</t>
  </si>
  <si>
    <t>John Mark Mcclean</t>
  </si>
  <si>
    <t>0011U00000hWmjhQAC</t>
  </si>
  <si>
    <t>John Miller</t>
  </si>
  <si>
    <t>0011U00000hWmjiQAC</t>
  </si>
  <si>
    <t>John Rufus Wallingford</t>
  </si>
  <si>
    <t>0011U00000hWmjjQAC</t>
  </si>
  <si>
    <t>John T Belveal Living Trust And The Joann Brown Belveal Living Trust</t>
  </si>
  <si>
    <t>0011U00000hWmjkQAC</t>
  </si>
  <si>
    <t>John Temple Belveal</t>
  </si>
  <si>
    <t>0011U00000hWmjlQAC</t>
  </si>
  <si>
    <t>Johnston 1988 Trust</t>
  </si>
  <si>
    <t>0011U00000hWmjmQAC</t>
  </si>
  <si>
    <t>Jon M Morgan</t>
  </si>
  <si>
    <t>0011U00000hWmjnQAC</t>
  </si>
  <si>
    <t>Jon Mare Howell</t>
  </si>
  <si>
    <t>0011U00000hWmjoQAC</t>
  </si>
  <si>
    <t>Jordan Hall</t>
  </si>
  <si>
    <t>0011U00000hWmjpQAC</t>
  </si>
  <si>
    <t>Joseph K Morgan</t>
  </si>
  <si>
    <t>0011U00000hWmjqQAC</t>
  </si>
  <si>
    <t>Joseph L Lew Meibergen Trust</t>
  </si>
  <si>
    <t>0011U00000hWmjrQAC</t>
  </si>
  <si>
    <t>Joseph Lew Meibergen Trust</t>
  </si>
  <si>
    <t>0011U00000hWmjsQAC</t>
  </si>
  <si>
    <t>Jpb Energy Resources Inc</t>
  </si>
  <si>
    <t>0011U00000hWmcsQAC</t>
  </si>
  <si>
    <t>Janice M Eberlene</t>
  </si>
  <si>
    <t>0011U00000hWmctQAC</t>
  </si>
  <si>
    <t>Jaqueline M Godin-Gomez</t>
  </si>
  <si>
    <t>0011U00000hWmcuQAC</t>
  </si>
  <si>
    <t>Jared W Bowyer</t>
  </si>
  <si>
    <t>0011U00000hWmcvQAC</t>
  </si>
  <si>
    <t>Jean Burgess Fraley</t>
  </si>
  <si>
    <t>0011U00000hWmcwQAC</t>
  </si>
  <si>
    <t>Jean M Good</t>
  </si>
  <si>
    <t>0011U00000hWmcxQAC</t>
  </si>
  <si>
    <t>Jean Marie Llc</t>
  </si>
  <si>
    <t>0011U00000hWmcyQAC</t>
  </si>
  <si>
    <t>Jeanette Adam</t>
  </si>
  <si>
    <t>0011U00000hWmczQAC</t>
  </si>
  <si>
    <t>Jeanneane M Hall</t>
  </si>
  <si>
    <t>0011U00000hWmmWQAS</t>
  </si>
  <si>
    <t>Valerie D Wilkins</t>
  </si>
  <si>
    <t>0011U00000hWmmXQAS</t>
  </si>
  <si>
    <t>Valerie Wilkins</t>
  </si>
  <si>
    <t>0011U00000hWmmYQAS</t>
  </si>
  <si>
    <t>Velda Baker Watkins</t>
  </si>
  <si>
    <t>0011U00000hWmmZQAS</t>
  </si>
  <si>
    <t>Vermon Leroy Goltry Jr</t>
  </si>
  <si>
    <t>0011U00000hWmmaQAC</t>
  </si>
  <si>
    <t>Vernon Leroy Goltry Jr</t>
  </si>
  <si>
    <t>0011U00000hWmmbQAC</t>
  </si>
  <si>
    <t>Vicki Lou Austin Davis</t>
  </si>
  <si>
    <t>0011U00000hWmmcQAC</t>
  </si>
  <si>
    <t>Vickie Mccumber</t>
  </si>
  <si>
    <t>0011U00000hWmmdQAC</t>
  </si>
  <si>
    <t>Virginia Hladik</t>
  </si>
  <si>
    <t>0011U00000hWmmeQAC</t>
  </si>
  <si>
    <t>Virginia Simmons Phillips</t>
  </si>
  <si>
    <t>0011U00000hWmmfQAC</t>
  </si>
  <si>
    <t>W B Robbins III</t>
  </si>
  <si>
    <t>0011U00000hWmaBQAS</t>
  </si>
  <si>
    <t>Abedour Street Trust</t>
  </si>
  <si>
    <t>0011U00000hWmaCQAS</t>
  </si>
  <si>
    <t>Adrian And Jane Adams 1996 Family Trust</t>
  </si>
  <si>
    <t>0011U00000hWmaDQAS</t>
  </si>
  <si>
    <t>Adrian W Adams</t>
  </si>
  <si>
    <t>0011U00000hWmaEQAS</t>
  </si>
  <si>
    <t>Albert R Lincoln</t>
  </si>
  <si>
    <t>0011U00000hWmaFQAS</t>
  </si>
  <si>
    <t>Alexander G Kaspar</t>
  </si>
  <si>
    <t>0011U00000hWmaGQAS</t>
  </si>
  <si>
    <t>Alice P Johnson Insurance Trust</t>
  </si>
  <si>
    <t>0011U00000hWmaHQAS</t>
  </si>
  <si>
    <t>Alice Rice</t>
  </si>
  <si>
    <t>0011U00000hWmaIQAS</t>
  </si>
  <si>
    <t>Alinda H Wikert</t>
  </si>
  <si>
    <t>0011U00000hWmaJQAS</t>
  </si>
  <si>
    <t>Allen C Lee</t>
  </si>
  <si>
    <t>0011U00000hWmaKQAS</t>
  </si>
  <si>
    <t>Allene E Stiff Lamp</t>
  </si>
  <si>
    <t>0011U00000hWmaLQAS</t>
  </si>
  <si>
    <t>Amanda Gray</t>
  </si>
  <si>
    <t>0011U00000hWmaMQAS</t>
  </si>
  <si>
    <t>Amigos Image Trust</t>
  </si>
  <si>
    <t>0011U00000hWmaNQAS</t>
  </si>
  <si>
    <t>Angela G Glossop</t>
  </si>
  <si>
    <t>0011U00000hWmaOQAS</t>
  </si>
  <si>
    <t>Ann Cameron Jackson</t>
  </si>
  <si>
    <t>0011U00000hWmaPQAS</t>
  </si>
  <si>
    <t>Ann Gray</t>
  </si>
  <si>
    <t>0011U00000hWmaQQAS</t>
  </si>
  <si>
    <t>Ann Welch Gray</t>
  </si>
  <si>
    <t>0011U00000hWmaRQAS</t>
  </si>
  <si>
    <t>Ann Welch Gray Life Insurance Trust</t>
  </si>
  <si>
    <t>0011U00000hWmaSQAS</t>
  </si>
  <si>
    <t>Arden Elizabeth Jones</t>
  </si>
  <si>
    <t>0011U00000hWmaTQAS</t>
  </si>
  <si>
    <t>Asbury Family Trust</t>
  </si>
  <si>
    <t>0011U00000hWmaUQAS</t>
  </si>
  <si>
    <t>Asis Llc</t>
  </si>
  <si>
    <t>0011U00000hWmmwQAC</t>
  </si>
  <si>
    <t>W Bradley Johnston</t>
  </si>
  <si>
    <t>0011U00000hWmmxQAC</t>
  </si>
  <si>
    <t>Wall Martin</t>
  </si>
  <si>
    <t>0011U00000hWmmyQAC</t>
  </si>
  <si>
    <t>Wallingford Interests Llc</t>
  </si>
  <si>
    <t>0011U00000hWmmzQAC</t>
  </si>
  <si>
    <t>Walter M Kilgo</t>
  </si>
  <si>
    <t>0011U00000hWmn0QAC</t>
  </si>
  <si>
    <t>Wayne R Lundquist</t>
  </si>
  <si>
    <t>0011U00000hWmn1QAC</t>
  </si>
  <si>
    <t>Wendy Puckett Mooney</t>
  </si>
  <si>
    <t>0011U00000hWmn2QAC</t>
  </si>
  <si>
    <t>Weststar Ranch Petroleum Ltd</t>
  </si>
  <si>
    <t>0011U00000hWmn3QAC</t>
  </si>
  <si>
    <t>White Family Trust</t>
  </si>
  <si>
    <t>0011U00000hWmn4QAC</t>
  </si>
  <si>
    <t>William Atlee Phillips</t>
  </si>
  <si>
    <t>0011U00000hWmn5QAC</t>
  </si>
  <si>
    <t>William Dee Carr Jr</t>
  </si>
  <si>
    <t>0011U00000hWmn6QAC</t>
  </si>
  <si>
    <t>William F Scarborough</t>
  </si>
  <si>
    <t>0011U00000hWmn7QAC</t>
  </si>
  <si>
    <t>William H Hicks</t>
  </si>
  <si>
    <t>0011U00000hWmn8QAC</t>
  </si>
  <si>
    <t>William T Statton</t>
  </si>
  <si>
    <t>0011U00000hWmn9QAC</t>
  </si>
  <si>
    <t>Yost B Beverly</t>
  </si>
  <si>
    <t>0011U00000hWmnAQAS</t>
  </si>
  <si>
    <t>Yvonne E And J B Little Trust</t>
  </si>
  <si>
    <t>0011U00000hWmd0QAC</t>
  </si>
  <si>
    <t>Jeannette C Adams Testamentary Trust</t>
  </si>
  <si>
    <t>0011U00000hWmd1QAC</t>
  </si>
  <si>
    <t>Jeffreys &amp; Powell Llc</t>
  </si>
  <si>
    <t>0011U00000hWmd2QAC</t>
  </si>
  <si>
    <t>Jeffreys Royalty Company Llc</t>
  </si>
  <si>
    <t>0011U00000hWmd3QAC</t>
  </si>
  <si>
    <t>Jerry Fambrough</t>
  </si>
  <si>
    <t>0011U00000hWmd4QAC</t>
  </si>
  <si>
    <t>Jim E Burleson</t>
  </si>
  <si>
    <t>0011U00000hWmd5QAC</t>
  </si>
  <si>
    <t>Jimmy O Connell</t>
  </si>
  <si>
    <t>0011U00000hWmd6QAC</t>
  </si>
  <si>
    <t>Jimmy O Connell Co Trustee</t>
  </si>
  <si>
    <t>0011U00000hWmd7QAC</t>
  </si>
  <si>
    <t>JK Wallingford Trust</t>
  </si>
  <si>
    <t>0011U00000hWmd8QAC</t>
  </si>
  <si>
    <t>Jlh Minroy Trust</t>
  </si>
  <si>
    <t>0011U00000hWmd9QAC</t>
  </si>
  <si>
    <t>Jo Wanda Richards</t>
  </si>
  <si>
    <t>0011U00000hWmdAQAS</t>
  </si>
  <si>
    <t>Joan Athey</t>
  </si>
  <si>
    <t>0011U00000hWmdBQAS</t>
  </si>
  <si>
    <t>Joan Mario Barnhill Vaughn</t>
  </si>
  <si>
    <t>0011U00000hWmdCQAS</t>
  </si>
  <si>
    <t>Joan Mario Vaughn</t>
  </si>
  <si>
    <t>0011U00000hWmdDQAS</t>
  </si>
  <si>
    <t>Joan Scarborough Woods</t>
  </si>
  <si>
    <t>0011U00000hWmdEQAS</t>
  </si>
  <si>
    <t>Joann Brown Belveal Living Trust</t>
  </si>
  <si>
    <t>0011U00000hWmjtQAC</t>
  </si>
  <si>
    <t>Judy Ann Carr Stephens Brown Pentecost</t>
  </si>
  <si>
    <t>0011U00000hWmjuQAC</t>
  </si>
  <si>
    <t>Judy Burleson Brewer</t>
  </si>
  <si>
    <t>0011U00000hWmjvQAC</t>
  </si>
  <si>
    <t>Judy Imogene Roberts Trust</t>
  </si>
  <si>
    <t>0011U00000hWmjwQAC</t>
  </si>
  <si>
    <t>Julia Cecil Robertson</t>
  </si>
  <si>
    <t>0011U00000hWmjxQAC</t>
  </si>
  <si>
    <t>Julia Evetts Elam</t>
  </si>
  <si>
    <t>0011U00000hWmjyQAC</t>
  </si>
  <si>
    <t>Julia Evetts Elam Management Trust</t>
  </si>
  <si>
    <t>0011U00000hWmjzQAC</t>
  </si>
  <si>
    <t>Kalvitz Mary Phillips</t>
  </si>
  <si>
    <t>0011U00000hWmk0QAC</t>
  </si>
  <si>
    <t>Kara Scarborough</t>
  </si>
  <si>
    <t>0011U00000hWmk1QAC</t>
  </si>
  <si>
    <t>Karen Keith Tindell</t>
  </si>
  <si>
    <t>0011U00000hWmk2QAC</t>
  </si>
  <si>
    <t>Katheryn Allgood</t>
  </si>
  <si>
    <t>0011U00000hWmk3QAC</t>
  </si>
  <si>
    <t>Kathleen Heimbach</t>
  </si>
  <si>
    <t>0011U00000hWmk4QAC</t>
  </si>
  <si>
    <t>Kay M Lee</t>
  </si>
  <si>
    <t>0011U00000hWmk5QAC</t>
  </si>
  <si>
    <t>Kaylyn Richelle Smith</t>
  </si>
  <si>
    <t>0011U00000hWmk6QAC</t>
  </si>
  <si>
    <t>Kelley Ann Bowyer</t>
  </si>
  <si>
    <t>0011U00000hWmk7QAC</t>
  </si>
  <si>
    <t>Kelly Brothers</t>
  </si>
  <si>
    <t>0011U00000hWmk8QAC</t>
  </si>
  <si>
    <t>Ken Dawson Little</t>
  </si>
  <si>
    <t>0011U00000hWmk9QAC</t>
  </si>
  <si>
    <t>Kenneth Dawson Little</t>
  </si>
  <si>
    <t>0011U00000hWmkAQAS</t>
  </si>
  <si>
    <t>Kenneth E Williams</t>
  </si>
  <si>
    <t>0011U00000hWmkBQAS</t>
  </si>
  <si>
    <t>Kirstin Farris</t>
  </si>
  <si>
    <t>0011U00000hWmkCQAS</t>
  </si>
  <si>
    <t>Klt Energy Llc</t>
  </si>
  <si>
    <t>0011U00000hWmkDQAS</t>
  </si>
  <si>
    <t>Knackwurst Properties Llc</t>
  </si>
  <si>
    <t>0011U00000hWmkEQAS</t>
  </si>
  <si>
    <t>Koch Family Lp</t>
  </si>
  <si>
    <t>0011U00000hWmkFQAS</t>
  </si>
  <si>
    <t>Lana Elizabeth Russell</t>
  </si>
  <si>
    <t>0011U00000hWmc5QAC</t>
  </si>
  <si>
    <t>G W Athey Investments</t>
  </si>
  <si>
    <t>0011U00000hWmc6QAC</t>
  </si>
  <si>
    <t>Gaffney Royalty Trust</t>
  </si>
  <si>
    <t>0011U00000hWmc7QAC</t>
  </si>
  <si>
    <t>Gail Francls Helton</t>
  </si>
  <si>
    <t>0011U00000hWmc8QAC</t>
  </si>
  <si>
    <t>Gail Lusk</t>
  </si>
  <si>
    <t>0011U00000hWmc9QAC</t>
  </si>
  <si>
    <t>Garrett Dean Yocum</t>
  </si>
  <si>
    <t>0011U00000hWmcAQAS</t>
  </si>
  <si>
    <t>Gary Elzie Burleson</t>
  </si>
  <si>
    <t>0011U00000hWmcBQAS</t>
  </si>
  <si>
    <t>Gary L Wilson</t>
  </si>
  <si>
    <t>0011U00000hWmcCQAS</t>
  </si>
  <si>
    <t>Gayle A Gardner</t>
  </si>
  <si>
    <t>0011U00000hWmcDQAS</t>
  </si>
  <si>
    <t>General Royalty Corp</t>
  </si>
  <si>
    <t>0011U00000hWmcEQAS</t>
  </si>
  <si>
    <t>Geodyne Resources Inc</t>
  </si>
  <si>
    <t>0011U00000hWmcFQAS</t>
  </si>
  <si>
    <t>George William Athey</t>
  </si>
  <si>
    <t>0011U00000hWmcGQAS</t>
  </si>
  <si>
    <t>Gloria A Puckett Life Estate</t>
  </si>
  <si>
    <t>0011U00000hWmcHQAS</t>
  </si>
  <si>
    <t>Grace Ann Mckinney</t>
  </si>
  <si>
    <t>0011U00000hWmcIQAS</t>
  </si>
  <si>
    <t>Grady E Gardner</t>
  </si>
  <si>
    <t>0011U00000hWmcJQAS</t>
  </si>
  <si>
    <t>Grady Eugene Gardner</t>
  </si>
  <si>
    <t>0011U00000hWmcKQAS</t>
  </si>
  <si>
    <t>Gray Ann Welch Life Insurance Trust</t>
  </si>
  <si>
    <t>0011U00000hWmcLQAS</t>
  </si>
  <si>
    <t>Grotzinger Living Trust</t>
  </si>
  <si>
    <t>0011U00000hWmkGQAS</t>
  </si>
  <si>
    <t>Lavelle Behrman</t>
  </si>
  <si>
    <t>0011U00000hWmkHQAS</t>
  </si>
  <si>
    <t>Lee Aycock</t>
  </si>
  <si>
    <t>0011U00000hWmkIQAS</t>
  </si>
  <si>
    <t>Lee J Rosselot</t>
  </si>
  <si>
    <t>0011U00000hWmkJQAS</t>
  </si>
  <si>
    <t>Leroy Vernon Goltry</t>
  </si>
  <si>
    <t>0011U00000hWmkKQAS</t>
  </si>
  <si>
    <t>Leslie A Lee</t>
  </si>
  <si>
    <t>0011U00000hWmkLQAS</t>
  </si>
  <si>
    <t>Leslie Allspaugh Lee</t>
  </si>
  <si>
    <t>0011U00000hWmkMQAS</t>
  </si>
  <si>
    <t>Leslie N Scott III</t>
  </si>
  <si>
    <t>0011U00000hWmkNQAS</t>
  </si>
  <si>
    <t>Letty Louisa Goltry Barnes</t>
  </si>
  <si>
    <t>0011U00000hWmkOQAS</t>
  </si>
  <si>
    <t>Lew Meibierges Trust</t>
  </si>
  <si>
    <t>0011U00000hWmkPQAS</t>
  </si>
  <si>
    <t>Lew Melbergen</t>
  </si>
  <si>
    <t>0011U00000hWmkQQAS</t>
  </si>
  <si>
    <t>Lewis Dot Madden</t>
  </si>
  <si>
    <t>0011U00000hWmkRQAS</t>
  </si>
  <si>
    <t>Liam Pritchard Phillips</t>
  </si>
  <si>
    <t>0011U00000hWmkSQAS</t>
  </si>
  <si>
    <t>Lida Lee Woodul</t>
  </si>
  <si>
    <t>0011U00000hWmkTQAS</t>
  </si>
  <si>
    <t>Lincoln Family Properties Llc</t>
  </si>
  <si>
    <t>0011U00000hWmkUQAS</t>
  </si>
  <si>
    <t>Linda Gotlieb II</t>
  </si>
  <si>
    <t>0011U00000hWmkVQAS</t>
  </si>
  <si>
    <t>Linda H Gottleb</t>
  </si>
  <si>
    <t>0011U00000hWmkWQAS</t>
  </si>
  <si>
    <t>Linda Susan Miller</t>
  </si>
  <si>
    <t>0011U00000hWmkXQAS</t>
  </si>
  <si>
    <t>Littleco Llc</t>
  </si>
  <si>
    <t>0011U00000hWmkYQAS</t>
  </si>
  <si>
    <t>Lochbuie Llc</t>
  </si>
  <si>
    <t>0011U00000hWmaVQAS</t>
  </si>
  <si>
    <t>Atlee Marie Phillips</t>
  </si>
  <si>
    <t>0011U00000hWmaWQAS</t>
  </si>
  <si>
    <t>Atropos Exploration Company</t>
  </si>
  <si>
    <t>0011U00000hWmaXQAS</t>
  </si>
  <si>
    <t>Audrey Phyllis Hennessee</t>
  </si>
  <si>
    <t>0011U00000hWmaYQAS</t>
  </si>
  <si>
    <t>Barbara F Meracle</t>
  </si>
  <si>
    <t>0011U00000hWmaZQAS</t>
  </si>
  <si>
    <t>Barbara R Bracken</t>
  </si>
  <si>
    <t>0011U00000hWmaaQAC</t>
  </si>
  <si>
    <t>Barbara Zan Aycock</t>
  </si>
  <si>
    <t>0011U00000hWmcMQAS</t>
  </si>
  <si>
    <t>Hannah Elizabeth Aycock</t>
  </si>
  <si>
    <t>0011U00000hWmcNQAS</t>
  </si>
  <si>
    <t>Hay Family Trust</t>
  </si>
  <si>
    <t>0011U00000hWmcOQAS</t>
  </si>
  <si>
    <t>Hays Family Trust</t>
  </si>
  <si>
    <t>0011U00000hWmcPQAS</t>
  </si>
  <si>
    <t>Helen Julia Johnston Estate Of Deceased</t>
  </si>
  <si>
    <t>0011U00000hWmcQQAS</t>
  </si>
  <si>
    <t>Henry D Molumphy</t>
  </si>
  <si>
    <t>0011U00000hWmcRQAS</t>
  </si>
  <si>
    <t>Hopson Demar Johnson</t>
  </si>
  <si>
    <t>0011U00000hWmcSQAS</t>
  </si>
  <si>
    <t>Hrh Properties Ltd</t>
  </si>
  <si>
    <t>0011U00000hWmcTQAS</t>
  </si>
  <si>
    <t>Hugh Jordan Allspaugh</t>
  </si>
  <si>
    <t>0011U00000hWmcUQAS</t>
  </si>
  <si>
    <t>Hunter Ricks</t>
  </si>
  <si>
    <t>0011U00000hWmcVQAS</t>
  </si>
  <si>
    <t>Im Tubb Memorial Lp</t>
  </si>
  <si>
    <t>0011U00000hWmcWQAS</t>
  </si>
  <si>
    <t>J Evetts Haley</t>
  </si>
  <si>
    <t>0011U00000hWmcXQAS</t>
  </si>
  <si>
    <t>J Evetts Haley III</t>
  </si>
  <si>
    <t>0011U00000hWmcYQAS</t>
  </si>
  <si>
    <t>J Evetts Haley III Trust</t>
  </si>
  <si>
    <t>0011U00000hWmcZQAS</t>
  </si>
  <si>
    <t>J Evetts Haley Jr</t>
  </si>
  <si>
    <t>0011U00000hWmcaQAC</t>
  </si>
  <si>
    <t>J K Wallingford</t>
  </si>
  <si>
    <t>0011U00000hWmcbQAC</t>
  </si>
  <si>
    <t>J Roger Allspaugh</t>
  </si>
  <si>
    <t>0011U00000hWmccQAC</t>
  </si>
  <si>
    <t>J T Philp Company</t>
  </si>
  <si>
    <t>0011U00000hWmcdQAC</t>
  </si>
  <si>
    <t>Jack Ward Benson</t>
  </si>
  <si>
    <t>0011U00000hWmceQAC</t>
  </si>
  <si>
    <t>Jacqueline Godin</t>
  </si>
  <si>
    <t>0011U00000hWmcfQAC</t>
  </si>
  <si>
    <t>Jam Investments</t>
  </si>
  <si>
    <t>0011U00000hWmcgQAC</t>
  </si>
  <si>
    <t>James A Desmond</t>
  </si>
  <si>
    <t>0011U00000hWmchQAC</t>
  </si>
  <si>
    <t>James A Walton Oil &amp; Gas Lp</t>
  </si>
  <si>
    <t>0011U00000hWmciQAC</t>
  </si>
  <si>
    <t>James C Parks</t>
  </si>
  <si>
    <t>0011U00000hWmcjQAC</t>
  </si>
  <si>
    <t>James D Jackson</t>
  </si>
  <si>
    <t>0011U00000hWmckQAC</t>
  </si>
  <si>
    <t>James Desmond</t>
  </si>
  <si>
    <t>0011U00000hWmclQAC</t>
  </si>
  <si>
    <t>James G Kincaid</t>
  </si>
  <si>
    <t>0011U00000hWmcmQAC</t>
  </si>
  <si>
    <t>James Matthew St Clair</t>
  </si>
  <si>
    <t>0011U00000hWmcnQAC</t>
  </si>
  <si>
    <t>James Mayfield</t>
  </si>
  <si>
    <t>0011U00000hWmcoQAC</t>
  </si>
  <si>
    <t>Jane G Adams</t>
  </si>
  <si>
    <t>0011U00000hWmcpQAC</t>
  </si>
  <si>
    <t>Jane Rhodes Butt</t>
  </si>
  <si>
    <t>0011U00000hWmcqQAC</t>
  </si>
  <si>
    <t>Jane Woodhouse Trust</t>
  </si>
  <si>
    <t>0011U00000hWmcrQAC</t>
  </si>
  <si>
    <t>Janet Walton</t>
  </si>
  <si>
    <t>0011U00000hWmabQAC</t>
  </si>
  <si>
    <t>Barron Properties Ltd</t>
  </si>
  <si>
    <t>0011U00000hWmacQAC</t>
  </si>
  <si>
    <t>Bernice K Belveal</t>
  </si>
  <si>
    <t>0011U00000hWmadQAC</t>
  </si>
  <si>
    <t>Bette Burgess Thompson</t>
  </si>
  <si>
    <t>0011U00000hWmaeQAC</t>
  </si>
  <si>
    <t>Bette Thompson</t>
  </si>
  <si>
    <t>0011U00000hWmafQAC</t>
  </si>
  <si>
    <t>Bill Aycock</t>
  </si>
  <si>
    <t>0011U00000hWmagQAC</t>
  </si>
  <si>
    <t>Bill Tennille Aycock</t>
  </si>
  <si>
    <t>0011U00000hWmahQAC</t>
  </si>
  <si>
    <t>Billy Beckham</t>
  </si>
  <si>
    <t>0011U00000hWmaiQAC</t>
  </si>
  <si>
    <t>Bob L Johnson</t>
  </si>
  <si>
    <t>0011U00000hWmajQAC</t>
  </si>
  <si>
    <t>Bonnie Engdahl</t>
  </si>
  <si>
    <t>0011U00000hWmakQAC</t>
  </si>
  <si>
    <t>Brad Johnston</t>
  </si>
  <si>
    <t>0011U00000hWmalQAC</t>
  </si>
  <si>
    <t>Brit Purifoy</t>
  </si>
  <si>
    <t>0011U00000hWmamQAC</t>
  </si>
  <si>
    <t>Burkhart Investments Limited Partnership</t>
  </si>
  <si>
    <t>0011U00000hWmanQAC</t>
  </si>
  <si>
    <t>Camilla Ann Gaston Hart</t>
  </si>
  <si>
    <t>0011U00000hWmaoQAC</t>
  </si>
  <si>
    <t>Candice L Phelan</t>
  </si>
  <si>
    <t>0011U00000hWmapQAC</t>
  </si>
  <si>
    <t>Cara Lee Dunn Revocable Trust</t>
  </si>
  <si>
    <t>0011U00000hWmaqQAC</t>
  </si>
  <si>
    <t>Carl R Tiemann</t>
  </si>
  <si>
    <t>0011U00000hWmarQAC</t>
  </si>
  <si>
    <t>Carole H Jones</t>
  </si>
  <si>
    <t>0011U00000hWmasQAC</t>
  </si>
  <si>
    <t>Carolyn Michelle Beckham</t>
  </si>
  <si>
    <t>0011U00000hWmatQAC</t>
  </si>
  <si>
    <t>Cary R Cottle</t>
  </si>
  <si>
    <t>0011U00000hWmkZQAS</t>
  </si>
  <si>
    <t>Lorraine S Black Trust Agreement Dated 12 10 1984 Et Al</t>
  </si>
  <si>
    <t>0011U00000hWmkaQAC</t>
  </si>
  <si>
    <t>Lynne Puckett Garcia</t>
  </si>
  <si>
    <t>0011U00000hWmkbQAC</t>
  </si>
  <si>
    <t>M Robert Blakeney</t>
  </si>
  <si>
    <t>0011U00000hWmkcQAC</t>
  </si>
  <si>
    <t>Marcheta Walker</t>
  </si>
  <si>
    <t>0011U00000hWmkdQAC</t>
  </si>
  <si>
    <t>Marcie Brook Howell</t>
  </si>
  <si>
    <t>0011U00000hWmkeQAC</t>
  </si>
  <si>
    <t>Marcla Brooks Howell</t>
  </si>
  <si>
    <t>0011U00000hWmkfQAC</t>
  </si>
  <si>
    <t>Margaret A Nielsen</t>
  </si>
  <si>
    <t>0011U00000hWmkgQAC</t>
  </si>
  <si>
    <t>Margaret Desmond</t>
  </si>
  <si>
    <t>0011U00000hWmkhQAC</t>
  </si>
  <si>
    <t>Margaret Hunt Hill Michael Bush Wisenbaker Jr Trust</t>
  </si>
  <si>
    <t>0011U00000hWmauQAC</t>
  </si>
  <si>
    <t>Cathryn I Tiemann</t>
  </si>
  <si>
    <t>0011U00000hWmavQAC</t>
  </si>
  <si>
    <t>Cathy J Anderson</t>
  </si>
  <si>
    <t>0011U00000hWmawQAC</t>
  </si>
  <si>
    <t>Cathy J Yarbrough Trust</t>
  </si>
  <si>
    <t>0011U00000hWmaxQAC</t>
  </si>
  <si>
    <t>Cathy Truelove</t>
  </si>
  <si>
    <t>0011U00000hWmayQAC</t>
  </si>
  <si>
    <t>Cgi Technologies &amp; Solutions Inc Agent</t>
  </si>
  <si>
    <t>0011U00000hWmazQAC</t>
  </si>
  <si>
    <t>Charlene Lincoln Johnson</t>
  </si>
  <si>
    <t>0011U00000hWmb0QAC</t>
  </si>
  <si>
    <t>Charles Doomboa</t>
  </si>
  <si>
    <t>0011U00000hWmb1QAC</t>
  </si>
  <si>
    <t>Charles F Doombos Revocable Trust</t>
  </si>
  <si>
    <t>0011U00000hWmb2QAC</t>
  </si>
  <si>
    <t>Charles K Tiemann</t>
  </si>
  <si>
    <t>0011U00000hWmb3QAC</t>
  </si>
  <si>
    <t>Charles Kim Mcclean</t>
  </si>
  <si>
    <t>0011U00000hWmb4QAC</t>
  </si>
  <si>
    <t>Cheryl Adams Monarch</t>
  </si>
  <si>
    <t>0011U00000hWmb5QAC</t>
  </si>
  <si>
    <t>Chester J Donnally Jr Trustee</t>
  </si>
  <si>
    <t>0011U00000hWmb6QAC</t>
  </si>
  <si>
    <t>Christine Watson</t>
  </si>
  <si>
    <t>0011U00000hWmb7QAC</t>
  </si>
  <si>
    <t>Christopher P Renaud</t>
  </si>
  <si>
    <t>0011U00000hWmb8QAC</t>
  </si>
  <si>
    <t>Continental Land Resources Llc</t>
  </si>
  <si>
    <t>0011U00000hWmb9QAC</t>
  </si>
  <si>
    <t>Craig And Marilyn Adams Family Trust</t>
  </si>
  <si>
    <t>0011U00000hWmbAQAS</t>
  </si>
  <si>
    <t>Craig W Adams</t>
  </si>
  <si>
    <t>0011U00000hWmbBQAS</t>
  </si>
  <si>
    <t>Crochia Baker Belt</t>
  </si>
  <si>
    <t>0011U00000hWmbCQAS</t>
  </si>
  <si>
    <t>Curtis C Johnston</t>
  </si>
  <si>
    <t>0011U00000hWmkiQAC</t>
  </si>
  <si>
    <t>Margaret P Bird</t>
  </si>
  <si>
    <t>0011U00000hWmkjQAC</t>
  </si>
  <si>
    <t>Marilyn R Adams</t>
  </si>
  <si>
    <t>0011U00000hWmkkQAC</t>
  </si>
  <si>
    <t>Marion E Fumento</t>
  </si>
  <si>
    <t>0011U00000hWmklQAC</t>
  </si>
  <si>
    <t>Mark Wesley Little</t>
  </si>
  <si>
    <t>0011U00000hWmkmQAC</t>
  </si>
  <si>
    <t>Marrs And Smith Ltd</t>
  </si>
  <si>
    <t>0011U00000hWmknQAC</t>
  </si>
  <si>
    <t>Marsha Deal</t>
  </si>
  <si>
    <t>0011U00000hWmkoQAC</t>
  </si>
  <si>
    <t>Marsland E Johnson</t>
  </si>
  <si>
    <t>0011U00000hWmkpQAC</t>
  </si>
  <si>
    <t>Martha West</t>
  </si>
  <si>
    <t>0011U00000hWmkqQAC</t>
  </si>
  <si>
    <t>Martin E Well</t>
  </si>
  <si>
    <t>0011U00000hWmkrQAC</t>
  </si>
  <si>
    <t>Marvia L Welch</t>
  </si>
  <si>
    <t>0011U00000hWmksQAC</t>
  </si>
  <si>
    <t>Marvin Eugene Cowden</t>
  </si>
  <si>
    <t>0011U00000hWmktQAC</t>
  </si>
  <si>
    <t>Marvin Leon Welch</t>
  </si>
  <si>
    <t>0011U00000hWmkuQAC</t>
  </si>
  <si>
    <t>Mary Long Phillips</t>
  </si>
  <si>
    <t>0011U00000hWmkvQAC</t>
  </si>
  <si>
    <t>Mary Nell Haley</t>
  </si>
  <si>
    <t>0011U00000hWmkwQAC</t>
  </si>
  <si>
    <t>Mary R Rombokas</t>
  </si>
  <si>
    <t>0011U00000hWmkxQAC</t>
  </si>
  <si>
    <t>Mary Waye</t>
  </si>
  <si>
    <t>0011U00000hWmkyQAC</t>
  </si>
  <si>
    <t>Mbjw Limited Partnership</t>
  </si>
  <si>
    <t>0011U00000hWmkzQAC</t>
  </si>
  <si>
    <t>Meibergen Family</t>
  </si>
  <si>
    <t>0011U00000hWmbDQAS</t>
  </si>
  <si>
    <t>Curtis Johnston</t>
  </si>
  <si>
    <t>0011U00000hWmbEQAS</t>
  </si>
  <si>
    <t>Cynthia A Belveal</t>
  </si>
  <si>
    <t>0011U00000hWmbFQAS</t>
  </si>
  <si>
    <t>Cynthia Ann Mitsch Bearden</t>
  </si>
  <si>
    <t>0011U00000hWmbGQAS</t>
  </si>
  <si>
    <t>Cynthia Buie</t>
  </si>
  <si>
    <t>0011U00000hWmbHQAS</t>
  </si>
  <si>
    <t>Cynthia Puckett</t>
  </si>
  <si>
    <t>0011U00000hWmbIQAS</t>
  </si>
  <si>
    <t>Dale H Johnson</t>
  </si>
  <si>
    <t>0011U00000hWmbJQAS</t>
  </si>
  <si>
    <t>Dale Hoyt Johnston Trust</t>
  </si>
  <si>
    <t>0011U00000hWmbKQAS</t>
  </si>
  <si>
    <t>Dana Richards Bisbee</t>
  </si>
  <si>
    <t>0011U00000hWmbLQAS</t>
  </si>
  <si>
    <t>Daun Hartrim</t>
  </si>
  <si>
    <t>0011U00000hWmbMQAS</t>
  </si>
  <si>
    <t>David A Cameron</t>
  </si>
  <si>
    <t>0011U00000hWmbNQAS</t>
  </si>
  <si>
    <t>David A Whitten Trust</t>
  </si>
  <si>
    <t>0011U00000hWmbOQAS</t>
  </si>
  <si>
    <t>David B. Trammell Trust</t>
  </si>
  <si>
    <t>0011U00000hWmbPQAS</t>
  </si>
  <si>
    <t>David Earle Young</t>
  </si>
  <si>
    <t>0011U00000hWmbQQAS</t>
  </si>
  <si>
    <t>Davis A Kimbrough</t>
  </si>
  <si>
    <t>0011U00000hWmbRQAS</t>
  </si>
  <si>
    <t>Deborah Jackson Revocable Trust</t>
  </si>
  <si>
    <t>0011U00000hWmbSQAS</t>
  </si>
  <si>
    <t>Debra Johnson Head</t>
  </si>
  <si>
    <t>0011U00000hWmbTQAS</t>
  </si>
  <si>
    <t>Debra Marie Gotovac</t>
  </si>
  <si>
    <t>0011U00000hWmbUQAS</t>
  </si>
  <si>
    <t>Dewane Fambrough</t>
  </si>
  <si>
    <t>0011U00000hWmbVQAS</t>
  </si>
  <si>
    <t>Diane Elizabeth Athey</t>
  </si>
  <si>
    <t>0011U00000hWmbWQAS</t>
  </si>
  <si>
    <t>Don A Whitten</t>
  </si>
  <si>
    <t>0011U00000hWml0QAC</t>
  </si>
  <si>
    <t>Melanie J Kaspar</t>
  </si>
  <si>
    <t>0011U00000hWml1QAC</t>
  </si>
  <si>
    <t>Melanie Jane Kaspar</t>
  </si>
  <si>
    <t>0011U00000hWml2QAC</t>
  </si>
  <si>
    <t>Mesa Croft Llc</t>
  </si>
  <si>
    <t>0011U00000hWml3QAC</t>
  </si>
  <si>
    <t>Michael A Gibson</t>
  </si>
  <si>
    <t>0011U00000hWml4QAC</t>
  </si>
  <si>
    <t>Michael A Harrison</t>
  </si>
  <si>
    <t>0011U00000hWml5QAC</t>
  </si>
  <si>
    <t>Michael B Athey</t>
  </si>
  <si>
    <t>0011U00000hWml6QAC</t>
  </si>
  <si>
    <t>Michael Collier</t>
  </si>
  <si>
    <t>0011U00000hWml7QAC</t>
  </si>
  <si>
    <t>Michael Dale Johnston</t>
  </si>
  <si>
    <t>0011U00000hWml8QAC</t>
  </si>
  <si>
    <t>Michael H Harrison</t>
  </si>
  <si>
    <t>0011U00000hWml9QAC</t>
  </si>
  <si>
    <t>Michael Harrison</t>
  </si>
  <si>
    <t>0011U00000hWmlAQAS</t>
  </si>
  <si>
    <t>Michael Warren Asbury</t>
  </si>
  <si>
    <t>0011U00000hWmlBQAS</t>
  </si>
  <si>
    <t>Michelle Sandoval</t>
  </si>
  <si>
    <t>0011U00000hWmlCQAS</t>
  </si>
  <si>
    <t>Mike Mckenzie</t>
  </si>
  <si>
    <t>0011U00000hWmlDQAS</t>
  </si>
  <si>
    <t>Mildred M Trammell</t>
  </si>
  <si>
    <t>0011U00000hWmlEQAS</t>
  </si>
  <si>
    <t>Mitchell Roy</t>
  </si>
  <si>
    <t>0011U00000hWmlFQAS</t>
  </si>
  <si>
    <t>Mitsch William Ehrhart</t>
  </si>
  <si>
    <t>0011U00000hWmlGQAS</t>
  </si>
  <si>
    <t>Mjp Investments Inc</t>
  </si>
  <si>
    <t>0011U00000hWmlHQAS</t>
  </si>
  <si>
    <t>N.R. Rousselot &amp; Sons</t>
  </si>
  <si>
    <t>0011U00000hWmlIQAS</t>
  </si>
  <si>
    <t>Nihla Lincoln Mccabe</t>
  </si>
  <si>
    <t>0011U00000hWmbXQAS</t>
  </si>
  <si>
    <t>Don F Cameron</t>
  </si>
  <si>
    <t>0011U00000hWmbYQAS</t>
  </si>
  <si>
    <t>Donald Stanley</t>
  </si>
  <si>
    <t>0011U00000hWmbZQAS</t>
  </si>
  <si>
    <t>Dorcas Molumphy Douthit</t>
  </si>
  <si>
    <t>0011U00000hWmbaQAC</t>
  </si>
  <si>
    <t>Dorothy Nell Nix</t>
  </si>
  <si>
    <t>0011U00000hWmbbQAC</t>
  </si>
  <si>
    <t>Dustin Price Belveal</t>
  </si>
  <si>
    <t>0011U00000hWmbcQAC</t>
  </si>
  <si>
    <t>E Don Poage</t>
  </si>
  <si>
    <t>0011U00000hWmbdQAC</t>
  </si>
  <si>
    <t>Earnell Beckham Young</t>
  </si>
  <si>
    <t>0011U00000hWmbeQAC</t>
  </si>
  <si>
    <t>Edith G Congleton</t>
  </si>
  <si>
    <t>0011U00000hWmbfQAC</t>
  </si>
  <si>
    <t>Edward H Little Jr</t>
  </si>
  <si>
    <t>0011U00000hWmbgQAC</t>
  </si>
  <si>
    <t>Effie Doris Burleson</t>
  </si>
  <si>
    <t>0011U00000hWmbhQAC</t>
  </si>
  <si>
    <t>Eidth G. Congleton</t>
  </si>
  <si>
    <t>0011U00000hWmbiQAC</t>
  </si>
  <si>
    <t>Elaine Griffith</t>
  </si>
  <si>
    <t>0011U00000hWmbjQAC</t>
  </si>
  <si>
    <t>Eldabel Wyler Mckenzie</t>
  </si>
  <si>
    <t>0011U00000hWmbkQAC</t>
  </si>
  <si>
    <t>Elizabeth Hannah</t>
  </si>
  <si>
    <t>0011U00000hWmblQAC</t>
  </si>
  <si>
    <t>Elizabeth Hicks Diaz</t>
  </si>
  <si>
    <t>0011U00000hWmbmQAC</t>
  </si>
  <si>
    <t>Elizabeth Phillips Engelhardt</t>
  </si>
  <si>
    <t>0011U00000hWmbnQAC</t>
  </si>
  <si>
    <t>Ellen Roberts</t>
  </si>
  <si>
    <t>0011U00000hWmboQAC</t>
  </si>
  <si>
    <t>Elwyn Ward White</t>
  </si>
  <si>
    <t>0011U00000hWmbpQAC</t>
  </si>
  <si>
    <t>Elzie Burleson Jr</t>
  </si>
  <si>
    <t>0011U00000hWmbqQAC</t>
  </si>
  <si>
    <t>Ernest Angelo Jr</t>
  </si>
  <si>
    <t>Adam Woolley</t>
  </si>
  <si>
    <t>9/16/2019</t>
  </si>
  <si>
    <t>9/17/2019</t>
  </si>
  <si>
    <t>Katherine Gowdey</t>
  </si>
  <si>
    <t>7/31/2019</t>
  </si>
  <si>
    <t>0011U00000ha0zdQAA</t>
  </si>
  <si>
    <t>WILSON W CROOK III</t>
  </si>
  <si>
    <t>0011U00000ha0xQQAQ</t>
  </si>
  <si>
    <t>JOHN W PALMORE ESTATE</t>
  </si>
  <si>
    <t>0011U00000ha0ruQAA</t>
  </si>
  <si>
    <t>HANCOCK MAN O WAR LP</t>
  </si>
  <si>
    <t>0011U00000ha0tQQAQ</t>
  </si>
  <si>
    <t>IVAN RAYMOND FERRER</t>
  </si>
  <si>
    <t>0011U00000ha0reQAA</t>
  </si>
  <si>
    <t>FRANCIS CALDWELL ELKIN TRUST</t>
  </si>
  <si>
    <t>4/10/2019</t>
  </si>
  <si>
    <t>1/29/2019</t>
  </si>
  <si>
    <t>0011U00000rljvHQAQ</t>
  </si>
  <si>
    <t>LYNN MOORE</t>
  </si>
  <si>
    <t>0011U00000rljvgQAA</t>
  </si>
  <si>
    <t>RUSSELL SMITH</t>
  </si>
  <si>
    <t>0011U00000rljudQAA</t>
  </si>
  <si>
    <t>CAROLYN DUDLEY</t>
  </si>
  <si>
    <t>0011U00000rljuhQAA</t>
  </si>
  <si>
    <t>DE VIDRIO ACEITE</t>
  </si>
  <si>
    <t>0011U00000ha19jQAA</t>
  </si>
  <si>
    <t>JAMES KELLY MEEK</t>
  </si>
  <si>
    <t>0011U00000ha0MYQAY</t>
  </si>
  <si>
    <t>DANNY ALDRIDGE</t>
  </si>
  <si>
    <t>0011U00000ha171QAA</t>
  </si>
  <si>
    <t>S E ADAMS FAMILY TRUST</t>
  </si>
  <si>
    <t>0011U00000hZyV7QAK</t>
  </si>
  <si>
    <t>GOLDEN RULE TRUST</t>
  </si>
  <si>
    <t>0011U00000ha18PQAQ</t>
  </si>
  <si>
    <t>VELINDA KOONCE</t>
  </si>
  <si>
    <t>0011U00000rlzRFQAY</t>
  </si>
  <si>
    <t>MAR-KEA LLC</t>
  </si>
  <si>
    <t>0011U00000rlzRJQAY</t>
  </si>
  <si>
    <t>MARTHANN NOBLES</t>
  </si>
  <si>
    <t>0011U00000rlzPnQAI</t>
  </si>
  <si>
    <t>GEORGEANN HERZOG WALTON</t>
  </si>
  <si>
    <t>0011U00000rlzQFQAY</t>
  </si>
  <si>
    <t>JEAN SCHWARTZ CATALDO</t>
  </si>
  <si>
    <t>0011U00000hZzZaQAK</t>
  </si>
  <si>
    <t>LEWIS BURLESON PROPERTIES LP</t>
  </si>
  <si>
    <t>0011U00000hZz0IQAS</t>
  </si>
  <si>
    <t>WILLIAM D RAMAN</t>
  </si>
  <si>
    <t>0011U00000ha2WvQAI</t>
  </si>
  <si>
    <t>CHADYIENNE D ANDERSON</t>
  </si>
  <si>
    <t>0011U00000hZztWQAS</t>
  </si>
  <si>
    <t>S E S INVESTMENTS LTD</t>
  </si>
  <si>
    <t>0011U00000hZzsmQAC</t>
  </si>
  <si>
    <t>CARROL YATER TRUST</t>
  </si>
  <si>
    <t>0011U00000rlzTKQAY</t>
  </si>
  <si>
    <t>RALPH RANDOLPH LEA JR</t>
  </si>
  <si>
    <t>0011U00000rlzT0QAI</t>
  </si>
  <si>
    <t>MP EXPLORATION</t>
  </si>
  <si>
    <t>0011U00000ha1NXQAY</t>
  </si>
  <si>
    <t>JAMES R HILL FAMILY LTD PTRSP</t>
  </si>
  <si>
    <t>0011U00000ha1OEQAY</t>
  </si>
  <si>
    <t>ELISABETH C SINAK</t>
  </si>
  <si>
    <t>5/9/2019</t>
  </si>
  <si>
    <t>0011U00000hZzQWQA0</t>
  </si>
  <si>
    <t>RESERVOIR ROYALTIES</t>
  </si>
  <si>
    <t>0011U00000ha2GkQAI</t>
  </si>
  <si>
    <t>MORRIS JEROME STIMSON</t>
  </si>
  <si>
    <t>0011U00000hZzSbQAK</t>
  </si>
  <si>
    <t>LINDA SUE BARNETT</t>
  </si>
  <si>
    <t>0011U00000ha2v5QAA</t>
  </si>
  <si>
    <t>PATRICK W KELLY</t>
  </si>
  <si>
    <t>0011U00000AjOUmQAN</t>
  </si>
  <si>
    <t>John H Lanahan Jr</t>
  </si>
  <si>
    <t>1/30/2019</t>
  </si>
  <si>
    <t>0011U00000AjOU9QAN</t>
  </si>
  <si>
    <t>LER RESOURCES LTD</t>
  </si>
  <si>
    <t>0011U00000AjOb5QAF</t>
  </si>
  <si>
    <t>THOMAS SANDERSON SALE III</t>
  </si>
  <si>
    <t>0011U00000AjObIQAV</t>
  </si>
  <si>
    <t>KARS O&amp;G LLC</t>
  </si>
  <si>
    <t>0011U00000Ep6THQAZ</t>
  </si>
  <si>
    <t>SPB Properties, LTD</t>
  </si>
  <si>
    <t>2/28/2019</t>
  </si>
  <si>
    <t>0011U00000AjOd3QAF</t>
  </si>
  <si>
    <t>Scott W King</t>
  </si>
  <si>
    <t>0011U00000AjOdPQAV</t>
  </si>
  <si>
    <t>DONNA K LEONARD</t>
  </si>
  <si>
    <t>0011U00000NC9WyQAL</t>
  </si>
  <si>
    <t>Carjac Trust</t>
  </si>
  <si>
    <t>4/4/2019</t>
  </si>
  <si>
    <t>0011U00000NC9WzQAL</t>
  </si>
  <si>
    <t>Carlsbad Irrigation District</t>
  </si>
  <si>
    <t>0011U00000NC9X0QAL</t>
  </si>
  <si>
    <t>Cassidy Enterprises A Trust</t>
  </si>
  <si>
    <t>0011U00000NC9XAQA1</t>
  </si>
  <si>
    <t>David Ross Johnson</t>
  </si>
  <si>
    <t>0011U00000NC9XBQA1</t>
  </si>
  <si>
    <t>Deana Hughes</t>
  </si>
  <si>
    <t>0011U00000NC9XFQA1</t>
  </si>
  <si>
    <t>Diann Hosford</t>
  </si>
  <si>
    <t>0011U00000NC9WVQA1</t>
  </si>
  <si>
    <t>Alton Allison Eldon</t>
  </si>
  <si>
    <t>0011U00000NC9WjQAL</t>
  </si>
  <si>
    <t>Atenna King</t>
  </si>
  <si>
    <t>0011U00000NC9WvQAL</t>
  </si>
  <si>
    <t>Brian Small</t>
  </si>
  <si>
    <t>0011U00000NC9XkQAL</t>
  </si>
  <si>
    <t>Guitar Holding Company Lp</t>
  </si>
  <si>
    <t>0011U00000NC9XnQAL</t>
  </si>
  <si>
    <t>Honeys Heritage, Lp</t>
  </si>
  <si>
    <t>0011U00000NC9XtQAL</t>
  </si>
  <si>
    <t>James Edward Brown</t>
  </si>
  <si>
    <t>0011U00000NC9XxQAL</t>
  </si>
  <si>
    <t>JD Farrel</t>
  </si>
  <si>
    <t>0011U00000NC9Y1QAL</t>
  </si>
  <si>
    <t>Jerry Lackey</t>
  </si>
  <si>
    <t>0011U00000NC9YSQA1</t>
  </si>
  <si>
    <t>Laura Cahenzli</t>
  </si>
  <si>
    <t>0011U00000NC9YaQAL</t>
  </si>
  <si>
    <t>Leila Margaret Williams</t>
  </si>
  <si>
    <t>0011U00000NC9YbQAL</t>
  </si>
  <si>
    <t>Lesli Guitar Nichols</t>
  </si>
  <si>
    <t>0011U00000NC9YdQAL</t>
  </si>
  <si>
    <t>Linda Craft Ahrens</t>
  </si>
  <si>
    <t>0011U00000NC9YgQAL</t>
  </si>
  <si>
    <t>Linda Gail Small</t>
  </si>
  <si>
    <t>0011U00000NC9Z5QAL</t>
  </si>
  <si>
    <t>Melvin Rex Baird</t>
  </si>
  <si>
    <t>0011U00000NC9Z6QAL</t>
  </si>
  <si>
    <t>Merlin Stacy Keller Revocable Trust</t>
  </si>
  <si>
    <t>0011U00000NC9Z9QAL</t>
  </si>
  <si>
    <t>Mildred M Mccall</t>
  </si>
  <si>
    <t>0011U00000NC9ZAQA1</t>
  </si>
  <si>
    <t>Mitchell A Cappadonna</t>
  </si>
  <si>
    <t>0011U00000NC9ZEQA1</t>
  </si>
  <si>
    <t>Nuevo Seis, LP</t>
  </si>
  <si>
    <t>0011U00000NC9ZFQA1</t>
  </si>
  <si>
    <t>Page Stephanie Baird</t>
  </si>
  <si>
    <t>0011U00000NC9ZhQAL</t>
  </si>
  <si>
    <t>Ronald O Logsdon Jr Famley Trust</t>
  </si>
  <si>
    <t>0011U00000NC9XIQA1</t>
  </si>
  <si>
    <t>Donald W Amerine</t>
  </si>
  <si>
    <t>0011U00000NC9XKQA1</t>
  </si>
  <si>
    <t>Dorothea J Witt</t>
  </si>
  <si>
    <t>0011U00000NC9XOQA1</t>
  </si>
  <si>
    <t>Earl Don Ramsey</t>
  </si>
  <si>
    <t>0011U00000NC9XVQA1</t>
  </si>
  <si>
    <t>Franklin C Owen</t>
  </si>
  <si>
    <t>0011U00000NC9XYQA1</t>
  </si>
  <si>
    <t>Garion King</t>
  </si>
  <si>
    <t>0011U00000NC9XaQAL</t>
  </si>
  <si>
    <t>Gayle N Nicolay</t>
  </si>
  <si>
    <t>0011U00000NC9XeQAL</t>
  </si>
  <si>
    <t>George Lakey</t>
  </si>
  <si>
    <t>0011U00000NC9Y6QAL</t>
  </si>
  <si>
    <t>John Scott Fausett</t>
  </si>
  <si>
    <t>0011U00000NC9YDQA1</t>
  </si>
  <si>
    <t>Joseph N Scott</t>
  </si>
  <si>
    <t>0011U00000NC9YEQA1</t>
  </si>
  <si>
    <t>Jtv Partnership</t>
  </si>
  <si>
    <t>0011U00000NC9YhQAL</t>
  </si>
  <si>
    <t>Lisa Loving Thompson</t>
  </si>
  <si>
    <t>0011U00000NC9YkQAL</t>
  </si>
  <si>
    <t>Louis Naranjo</t>
  </si>
  <si>
    <t>0011U00000NC9YnQAL</t>
  </si>
  <si>
    <t>Mae Jones Jackson</t>
  </si>
  <si>
    <t>0011U00000NC9YxQAL</t>
  </si>
  <si>
    <t>Mary Linda Gober</t>
  </si>
  <si>
    <t>0011U00000NC9ZKQA1</t>
  </si>
  <si>
    <t>Patrick Amerine</t>
  </si>
  <si>
    <t>0011U00000NC9ZMQA1</t>
  </si>
  <si>
    <t>Paula K Lewis</t>
  </si>
  <si>
    <t>0011U00000NC9ZNQA1</t>
  </si>
  <si>
    <t>Paula Katheryn Warren</t>
  </si>
  <si>
    <t>0011U00000NC9ZPQA1</t>
  </si>
  <si>
    <t>Peter R Carter</t>
  </si>
  <si>
    <t>0011U00000NC9ZQQA1</t>
  </si>
  <si>
    <t>Pic Limited Partnership</t>
  </si>
  <si>
    <t>0011U00000NC9ZSQA1</t>
  </si>
  <si>
    <t>Randall Amerine</t>
  </si>
  <si>
    <t>0011U00000A7rtMQAR</t>
  </si>
  <si>
    <t>ENSORPRENEUR LLC</t>
  </si>
  <si>
    <t>1/24/2019</t>
  </si>
  <si>
    <t>0011U00000NBAXTQA5</t>
  </si>
  <si>
    <t>Lee Christy Bellinghausen</t>
  </si>
  <si>
    <t>4/1/2019</t>
  </si>
  <si>
    <t>0011U00000NDle6QAD</t>
  </si>
  <si>
    <t>DWW Minerals Ltd</t>
  </si>
  <si>
    <t>0011U00000NDleAQAT</t>
  </si>
  <si>
    <t>Edgar Allen Phillips</t>
  </si>
  <si>
    <t>0011U00000NDleDQAT</t>
  </si>
  <si>
    <t>Eflow Llc</t>
  </si>
  <si>
    <t>0011U00000Mn8cPQAR</t>
  </si>
  <si>
    <t>Jack Turner</t>
  </si>
  <si>
    <t>3/27/2019</t>
  </si>
  <si>
    <t>0011U00000Mn8cQQAR</t>
  </si>
  <si>
    <t>Dane Widner</t>
  </si>
  <si>
    <t>0011U00000Mn8cVQAR</t>
  </si>
  <si>
    <t>Richard Houston</t>
  </si>
  <si>
    <t>0011U00000Mn8cYQAR</t>
  </si>
  <si>
    <t>Linda Mills Wofford</t>
  </si>
  <si>
    <t>0011U00000NDlemQAD</t>
  </si>
  <si>
    <t>Gda Investments Inc</t>
  </si>
  <si>
    <t>0011U00000Mn8ciQAB</t>
  </si>
  <si>
    <t>Tim Henson</t>
  </si>
  <si>
    <t>0011U00000Mn8cmQAB</t>
  </si>
  <si>
    <t>HAYMAKER MINERALS &amp; ROYALTIES LLC</t>
  </si>
  <si>
    <t>0011U00000Mn8coQAB</t>
  </si>
  <si>
    <t>Elizabeth F Peterson</t>
  </si>
  <si>
    <t>0011U00000Mn8cuQAB</t>
  </si>
  <si>
    <t>Kristi Dorene Huffman Turner</t>
  </si>
  <si>
    <t>0011U00000Mn8cwQAB</t>
  </si>
  <si>
    <t>John Willard Turner</t>
  </si>
  <si>
    <t>0011U00000NDlexQAD</t>
  </si>
  <si>
    <t>Gilliams Aghorn Energy Inc</t>
  </si>
  <si>
    <t>0011U00000NDlf1QAD</t>
  </si>
  <si>
    <t>Gmg Energy Corp</t>
  </si>
  <si>
    <t>0011U00000Mn8cxQAB</t>
  </si>
  <si>
    <t>June G Houston</t>
  </si>
  <si>
    <t>0011U00000Mn8d2QAB</t>
  </si>
  <si>
    <t>Lula Mae Craft</t>
  </si>
  <si>
    <t>0011U00000Mn8d4QAB</t>
  </si>
  <si>
    <t>P L Childress JR</t>
  </si>
  <si>
    <t>0011U00000QCkIpQAL</t>
  </si>
  <si>
    <t>SOUTHWEST MEDICAL FDN 13553 10</t>
  </si>
  <si>
    <t>4/24/2019</t>
  </si>
  <si>
    <t>0011U00000QCkJ5QAL</t>
  </si>
  <si>
    <t>CARTER PATTERSON SMITH</t>
  </si>
  <si>
    <t>0011U00000QCkKCQA1</t>
  </si>
  <si>
    <t>R J WILLIAMS</t>
  </si>
  <si>
    <t>0011U00000NDldnQAD</t>
  </si>
  <si>
    <t>Davis &amp; Harris Enterprises Llc</t>
  </si>
  <si>
    <t>0011U00000dGXurQAG</t>
  </si>
  <si>
    <t>Gayle Gorsich Linn</t>
  </si>
  <si>
    <t>6/24/2019</t>
  </si>
  <si>
    <t>0011U00000dGXvRQAW</t>
  </si>
  <si>
    <t>Ware Energy Llc</t>
  </si>
  <si>
    <t>0011U00000dGXvUQAW</t>
  </si>
  <si>
    <t>Kelly Stephen Hodge Trust</t>
  </si>
  <si>
    <t>0011U00000dGXteQAG</t>
  </si>
  <si>
    <t>Norma Hodge Springer</t>
  </si>
  <si>
    <t>0011U00000dGXtqQAG</t>
  </si>
  <si>
    <t>Lisa Lynnette Hodge</t>
  </si>
  <si>
    <t>0011U00000dGXtvQAG</t>
  </si>
  <si>
    <t>Jones N Haynes</t>
  </si>
  <si>
    <t>0011U00000dGXuGQAW</t>
  </si>
  <si>
    <t>Emmerson Family Llc</t>
  </si>
  <si>
    <t>0011U00000dGXuhQAG</t>
  </si>
  <si>
    <t>Florence H Cummings</t>
  </si>
  <si>
    <t>0011U00000dGXw8QAG</t>
  </si>
  <si>
    <t>Lindsay Production &amp; Royalties</t>
  </si>
  <si>
    <t>0011U00000Wj12KQAR</t>
  </si>
  <si>
    <t>Estate Of Josephine Wofford Moore</t>
  </si>
  <si>
    <t>6/12/2019</t>
  </si>
  <si>
    <t>0011U00000Wj12NQAR</t>
  </si>
  <si>
    <t>Alison Vareika</t>
  </si>
  <si>
    <t>0011U00000Wj12QQAR</t>
  </si>
  <si>
    <t>Captain John D Luke</t>
  </si>
  <si>
    <t>0011U00000Wj12TQAR</t>
  </si>
  <si>
    <t>Pm Oil &amp; Gas LLC</t>
  </si>
  <si>
    <t>0011U00000Wj13DQAR</t>
  </si>
  <si>
    <t>Jane Williamson</t>
  </si>
  <si>
    <t>0011U00000Wj12bQAB</t>
  </si>
  <si>
    <t>Kelly And Mary Miles Pigg Family Trust</t>
  </si>
  <si>
    <t>0011U00000Wj12hQAB</t>
  </si>
  <si>
    <t>Crane County Development Company</t>
  </si>
  <si>
    <t>0011U00000Wj12kQAB</t>
  </si>
  <si>
    <t>Frances Patricia Matthewa Deanda</t>
  </si>
  <si>
    <t>0011U00000Wj13TQAR</t>
  </si>
  <si>
    <t>Daniel Douglas Morrow</t>
  </si>
  <si>
    <t>0011U00000Wj13WQAR</t>
  </si>
  <si>
    <t>Robert Strader III</t>
  </si>
  <si>
    <t>0011U00000Wj13XQAR</t>
  </si>
  <si>
    <t>Carol Hopewell Blackwood Lenore</t>
  </si>
  <si>
    <t>0011U00000Wj13hQAB</t>
  </si>
  <si>
    <t>Steven W Spohn</t>
  </si>
  <si>
    <t>0011U00000Wj12oQAB</t>
  </si>
  <si>
    <t>Louise Degeorge</t>
  </si>
  <si>
    <t>0011U00000Wj12pQAB</t>
  </si>
  <si>
    <t>Sandra Wisecup</t>
  </si>
  <si>
    <t>0011U00000Wj12rQAB</t>
  </si>
  <si>
    <t>James Bryan Billings</t>
  </si>
  <si>
    <t>0011U00000Wj12sQAB</t>
  </si>
  <si>
    <t>Magdalena G Spohn</t>
  </si>
  <si>
    <t>0011U00000Wj12vQAB</t>
  </si>
  <si>
    <t>Harmon D Greene</t>
  </si>
  <si>
    <t>0011U00000Wj13sQAB</t>
  </si>
  <si>
    <t>Susan R Vinovrski</t>
  </si>
  <si>
    <t>0011U00000Wj141QAB</t>
  </si>
  <si>
    <t>Prize Energy Resources Inc.</t>
  </si>
  <si>
    <t>0011U00000Wj142QAB</t>
  </si>
  <si>
    <t>Summerville Interests LP</t>
  </si>
  <si>
    <t>0011U00000Wj14HQAR</t>
  </si>
  <si>
    <t>Kenneth H Wiese</t>
  </si>
  <si>
    <t>0011U00000Wj14LQAR</t>
  </si>
  <si>
    <t>Jan Porter</t>
  </si>
  <si>
    <t>0011U00000Wj14OQAR</t>
  </si>
  <si>
    <t>Susannah P Chamberlin</t>
  </si>
  <si>
    <t>0011U00000Wj14RQAR</t>
  </si>
  <si>
    <t>Dragonsage LLC</t>
  </si>
  <si>
    <t>0011U00000Wj14SQAR</t>
  </si>
  <si>
    <t>Peter D Johnson</t>
  </si>
  <si>
    <t>0011U00000Wj14fQAB</t>
  </si>
  <si>
    <t>Todd Lynda Gray</t>
  </si>
  <si>
    <t>0011U00000Wj14gQAB</t>
  </si>
  <si>
    <t>Frost Diane Woodward</t>
  </si>
  <si>
    <t>0011U00000Wj14hQAB</t>
  </si>
  <si>
    <t>Rkc Inc</t>
  </si>
  <si>
    <t>0011U00000Wj14lQAB</t>
  </si>
  <si>
    <t>Mary Sarah Gifford Robb</t>
  </si>
  <si>
    <t>0011U00000Wj14pQAB</t>
  </si>
  <si>
    <t>John Cornwall</t>
  </si>
  <si>
    <t>0011U00000Wj14rQAB</t>
  </si>
  <si>
    <t>Eugene Charles Flaute Jr</t>
  </si>
  <si>
    <t>0011U00000Wj14uQAB</t>
  </si>
  <si>
    <t>Karen L Keresey</t>
  </si>
  <si>
    <t>0011U00000Wj14vQAB</t>
  </si>
  <si>
    <t>Doane K Magee</t>
  </si>
  <si>
    <t>0011U00000Wj11uQAB</t>
  </si>
  <si>
    <t>Adeline Miller</t>
  </si>
  <si>
    <t>0011U00000Wj122QAB</t>
  </si>
  <si>
    <t>Fitz Gerald Erin Trustee</t>
  </si>
  <si>
    <t>0011U00000Wj129QAB</t>
  </si>
  <si>
    <t>Elisabeth Everts Carter</t>
  </si>
  <si>
    <t>0011U00000Wj12BQAR</t>
  </si>
  <si>
    <t>Karen A Moulder</t>
  </si>
  <si>
    <t>0011U00000KO2MUQA1</t>
  </si>
  <si>
    <t>Eusebia S Stonestreet Trust</t>
  </si>
  <si>
    <t>3/12/2019</t>
  </si>
  <si>
    <t>0011U00000KO2McQAL</t>
  </si>
  <si>
    <t>Barbara E. Fuller</t>
  </si>
  <si>
    <t>0011U00000KO2MgQAL</t>
  </si>
  <si>
    <t>M H Trust #3</t>
  </si>
  <si>
    <t>0011U00000KO2MiQAL</t>
  </si>
  <si>
    <t>Nantucket Resources Group Lc</t>
  </si>
  <si>
    <t>0011U00000KO2MmQAL</t>
  </si>
  <si>
    <t>Donald R Piper</t>
  </si>
  <si>
    <t>0011U00000KO2MpQAL</t>
  </si>
  <si>
    <t>Robert O Canon</t>
  </si>
  <si>
    <t>0011U00000KO2MvQAL</t>
  </si>
  <si>
    <t>Charles Burnet Rogers, Jr.</t>
  </si>
  <si>
    <t>0011U00000KO2MwQAL</t>
  </si>
  <si>
    <t>Chester P Sappington</t>
  </si>
  <si>
    <t>0011U00000KO2MxQAL</t>
  </si>
  <si>
    <t>David P. Vinson</t>
  </si>
  <si>
    <t>0011U00000KO2MyQAL</t>
  </si>
  <si>
    <t>Dean Leslie Margaret</t>
  </si>
  <si>
    <t>0011U00000KO2N3QAL</t>
  </si>
  <si>
    <t>Jean Taylor Gustafson</t>
  </si>
  <si>
    <t>0011U00000KO2L1QAL</t>
  </si>
  <si>
    <t>Margaret Lindley</t>
  </si>
  <si>
    <t>0011U00000KO2LEQA1</t>
  </si>
  <si>
    <t>Laura Bell Allen Quisenberry</t>
  </si>
  <si>
    <t>0011U00000KO2LKQA1</t>
  </si>
  <si>
    <t>0011U00000KO2LNQA1</t>
  </si>
  <si>
    <t>Harold D Hammett</t>
  </si>
  <si>
    <t>0011U00000KO2LWQA1</t>
  </si>
  <si>
    <t>Standard Royalty Corporation</t>
  </si>
  <si>
    <t>0011U00000KO2LpQAL</t>
  </si>
  <si>
    <t>Elizabeth Lucille Rectenwald</t>
  </si>
  <si>
    <t>0011U00000KO2LtQAL</t>
  </si>
  <si>
    <t>Mary Ann Barbier</t>
  </si>
  <si>
    <t>0011U00000KO2LxQAL</t>
  </si>
  <si>
    <t>Fay Smith Sheehan</t>
  </si>
  <si>
    <t>0011U00000KO2LyQAL</t>
  </si>
  <si>
    <t>Mary Ann B Smith</t>
  </si>
  <si>
    <t>0011U00000KO2M2QAL</t>
  </si>
  <si>
    <t>Emil Mosbacher Oil &amp; Gas LLC</t>
  </si>
  <si>
    <t>0011U00000KO2MAQA1</t>
  </si>
  <si>
    <t>Janie Beatrice Nichols - Deceased</t>
  </si>
  <si>
    <t>0011U00000KO2MBQA1</t>
  </si>
  <si>
    <t>Lisa C Nichols</t>
  </si>
  <si>
    <t>0011U00000KO2MCQA1</t>
  </si>
  <si>
    <t>John Taylor Hufnal</t>
  </si>
  <si>
    <t>0011U00000KO2MHQA1</t>
  </si>
  <si>
    <t>Birdie Rell Slack</t>
  </si>
  <si>
    <t>0011U00000MCOyeQAH</t>
  </si>
  <si>
    <t>RPR I LLC</t>
  </si>
  <si>
    <t>3/25/2019</t>
  </si>
  <si>
    <t>0011U00000MCOykQAH</t>
  </si>
  <si>
    <t>FS MINERALS LLC</t>
  </si>
  <si>
    <t>0011U00000MCOylQAH</t>
  </si>
  <si>
    <t>ZJH FAMILY LP</t>
  </si>
  <si>
    <t>0011U00000MCOyoQAH</t>
  </si>
  <si>
    <t>GLASSCOCK LEASES LLC</t>
  </si>
  <si>
    <t>0011U00000MCOywQAH</t>
  </si>
  <si>
    <t>CCM INTERESTS LLC</t>
  </si>
  <si>
    <t>0011U00000MCOzDQAX</t>
  </si>
  <si>
    <t>BLACK LAKES ROYALTIES LLC</t>
  </si>
  <si>
    <t>0011U00000MCOzHQAX</t>
  </si>
  <si>
    <t>DILEO LISA MEADOWS SSP</t>
  </si>
  <si>
    <t>0011U00000Wj0q9QAB</t>
  </si>
  <si>
    <t>George L Ryan</t>
  </si>
  <si>
    <t>0011U00000Wj0qDQAR</t>
  </si>
  <si>
    <t>Hurley G William</t>
  </si>
  <si>
    <t>0011U00000Wj0qEQAR</t>
  </si>
  <si>
    <t>James J Dewitt</t>
  </si>
  <si>
    <t>0011U00000Wj0qFQAR</t>
  </si>
  <si>
    <t>Jane B. Ramsland Oil &amp; Gas Partnership Et Al</t>
  </si>
  <si>
    <t>0011U00000Wj0qJQAR</t>
  </si>
  <si>
    <t>Joan Hugill</t>
  </si>
  <si>
    <t>0011U00000Wj0qOQAR</t>
  </si>
  <si>
    <t>Johneen Carole Morrow-Mcandrews</t>
  </si>
  <si>
    <t>0011U00000Wj0prQAB</t>
  </si>
  <si>
    <t>Beth Jackson Tucker</t>
  </si>
  <si>
    <t>0011U00000Wj0pvQAB</t>
  </si>
  <si>
    <t>C H Duncan</t>
  </si>
  <si>
    <t>0011U00000Wj0pzQAB</t>
  </si>
  <si>
    <t>Clarke III LLC</t>
  </si>
  <si>
    <t>0011U00000Wj0q3QAB</t>
  </si>
  <si>
    <t>Csrc Family Trust II</t>
  </si>
  <si>
    <t>0011U00000Wj0q7QAB</t>
  </si>
  <si>
    <t>Estate Of Betty Bruce Cook Deceased</t>
  </si>
  <si>
    <t>0011U00000Wj0qSQAR</t>
  </si>
  <si>
    <t>Leigh Corson</t>
  </si>
  <si>
    <t>0011U00000Wj0qWQAR</t>
  </si>
  <si>
    <t>Maralo LLC</t>
  </si>
  <si>
    <t>0011U00000Wj0qaQAB</t>
  </si>
  <si>
    <t>Morgan Layne</t>
  </si>
  <si>
    <t>0011U00000Wj0qeQAB</t>
  </si>
  <si>
    <t>Nancy Pritchard Johnson</t>
  </si>
  <si>
    <t>0011U00000Wj0qiQAB</t>
  </si>
  <si>
    <t>Payne Operating Company LLC</t>
  </si>
  <si>
    <t>0011U00000Wj0qmQAB</t>
  </si>
  <si>
    <t>Roland C Nickerson</t>
  </si>
  <si>
    <t>0011U00000Wj0qqQAB</t>
  </si>
  <si>
    <t>Ruth Woodward Winde</t>
  </si>
  <si>
    <t>0011U00000Wj0quQAB</t>
  </si>
  <si>
    <t>Sherry Day Foster</t>
  </si>
  <si>
    <t>0011U00000Wj0qyQAB</t>
  </si>
  <si>
    <t>Suzy Coulter</t>
  </si>
  <si>
    <t>0011U00000Wj0r2QAB</t>
  </si>
  <si>
    <t>Tom G Dewitt</t>
  </si>
  <si>
    <t>0011U00000Wj0r6QAB</t>
  </si>
  <si>
    <t>Zjh Management LLC</t>
  </si>
  <si>
    <t>0011U00000Wj0rXQAR</t>
  </si>
  <si>
    <t>John Hall Brooks</t>
  </si>
  <si>
    <t>0011U00000Wj0rbQAB</t>
  </si>
  <si>
    <t>Michael Valdee Frost</t>
  </si>
  <si>
    <t>0011U00000Wj0rfQAB</t>
  </si>
  <si>
    <t>Lucy Hopewell Greenwood</t>
  </si>
  <si>
    <t>0011U00000Wj0rjQAB</t>
  </si>
  <si>
    <t>James R Sharp</t>
  </si>
  <si>
    <t>0011U00000QCywHQAT</t>
  </si>
  <si>
    <t>John Samuel Hopkins and Ada Lou Hopkins</t>
  </si>
  <si>
    <t>4/25/2019</t>
  </si>
  <si>
    <t>0011U00000Bjgt3QAB</t>
  </si>
  <si>
    <t>Ellen Boone Schwethelm</t>
  </si>
  <si>
    <t>2/4/2019</t>
  </si>
  <si>
    <t>0011U00000BjgtGQAR</t>
  </si>
  <si>
    <t>James G Horst</t>
  </si>
  <si>
    <t>0011U00000RGggLQAT</t>
  </si>
  <si>
    <t>Dwight C Russell</t>
  </si>
  <si>
    <t>0011U00000RGgiVQAT</t>
  </si>
  <si>
    <t>Garver Mineral Ltd</t>
  </si>
  <si>
    <t>0011U00000RGgrzQAD</t>
  </si>
  <si>
    <t>Jason Allen Davidson-Sealy</t>
  </si>
  <si>
    <t>0011U00000RGhHXQA1</t>
  </si>
  <si>
    <t>Monger Management LLC Dba</t>
  </si>
  <si>
    <t>0011U00000RGhHmQAL</t>
  </si>
  <si>
    <t>N R L L Inc</t>
  </si>
  <si>
    <t>0011U00000RGhHtQAL</t>
  </si>
  <si>
    <t>Nancy G Upton</t>
  </si>
  <si>
    <t>0011U00000RGhb5QAD</t>
  </si>
  <si>
    <t>William Vincent Stauder Estate</t>
  </si>
  <si>
    <t>0011U00000RGhb8QAD</t>
  </si>
  <si>
    <t>Wilmoth Interests Inc</t>
  </si>
  <si>
    <t>0011U00000RGgp3QAD</t>
  </si>
  <si>
    <t>Gas Masters Inc</t>
  </si>
  <si>
    <t>0011U00000RGgp9QAD</t>
  </si>
  <si>
    <t>George Le Kledzik</t>
  </si>
  <si>
    <t>0011U00000RGhYgQAL</t>
  </si>
  <si>
    <t>Thomas Carroll</t>
  </si>
  <si>
    <t>0011U00000RGhIoQAL</t>
  </si>
  <si>
    <t>Patricia Ann Gillingham</t>
  </si>
  <si>
    <t>0011U00000RGhFpQAL</t>
  </si>
  <si>
    <t>Mary Atkinson Daggett</t>
  </si>
  <si>
    <t>0011U00000RGhFtQAL</t>
  </si>
  <si>
    <t>Mary Dovie Brownfield</t>
  </si>
  <si>
    <t>0011U00000RGgpiQAD</t>
  </si>
  <si>
    <t>Graciela Logan Williams</t>
  </si>
  <si>
    <t>0011U00000RGgpsQAD</t>
  </si>
  <si>
    <t>Guadalupe Royalties</t>
  </si>
  <si>
    <t>0011U00000RGgqHQAT</t>
  </si>
  <si>
    <t>Helen Hill</t>
  </si>
  <si>
    <t>0011U00000RGgqKQAT</t>
  </si>
  <si>
    <t>Helen Taylor Galbraith</t>
  </si>
  <si>
    <t>0011U00000RGgqUQAT</t>
  </si>
  <si>
    <t>Hilburn Mineral Properties LLC</t>
  </si>
  <si>
    <t>0011U00000RGgqaQAD</t>
  </si>
  <si>
    <t>Houston Oil and Gas Company</t>
  </si>
  <si>
    <t>0011U00000RGgqmQAD</t>
  </si>
  <si>
    <t>Imperial Oil Co</t>
  </si>
  <si>
    <t>0011U00000RGgfaQAD</t>
  </si>
  <si>
    <t>Dena Merrick Waggoner</t>
  </si>
  <si>
    <t>0011U00000RGgqrQAD</t>
  </si>
  <si>
    <t>Inland Resources Inc</t>
  </si>
  <si>
    <t>0011U00000RGhGTQA1</t>
  </si>
  <si>
    <t>Maxine Carroll</t>
  </si>
  <si>
    <t>0011U00000RGhGcQAL</t>
  </si>
  <si>
    <t>Mcdaniel Partners Ltd</t>
  </si>
  <si>
    <t>0011U00000RGgrMQAT</t>
  </si>
  <si>
    <t>James M Perkins Jr</t>
  </si>
  <si>
    <t>0011U00000RGhURQA1</t>
  </si>
  <si>
    <t>Ssts LLC</t>
  </si>
  <si>
    <t>0011U00000RGhUWQA1</t>
  </si>
  <si>
    <t>Stanley W Ellis</t>
  </si>
  <si>
    <t>0011U00000RGgS8QAL</t>
  </si>
  <si>
    <t>Bonnie Moore</t>
  </si>
  <si>
    <t>0011U00000RGgc0QAD</t>
  </si>
  <si>
    <t>Debbie Morrow</t>
  </si>
  <si>
    <t>0011U00000RGhT7QAL</t>
  </si>
  <si>
    <t>Sally Sarutzki</t>
  </si>
  <si>
    <t>0011U00000RGhVVQA1</t>
  </si>
  <si>
    <t>Terrance Layer</t>
  </si>
  <si>
    <t>0011U00000RGgyqQAD</t>
  </si>
  <si>
    <t>Jennifer Walker</t>
  </si>
  <si>
    <t>0011U00000RGgyyQAD</t>
  </si>
  <si>
    <t>Jerry G Bennett</t>
  </si>
  <si>
    <t>0011U00000RGhShQAL</t>
  </si>
  <si>
    <t>Roy Mcdaniel</t>
  </si>
  <si>
    <t>0011U00000RGgzXQAT</t>
  </si>
  <si>
    <t>Jocelyn E Scoggin</t>
  </si>
  <si>
    <t>0011U00000RGgZeQAL</t>
  </si>
  <si>
    <t>Carroll Tumblin</t>
  </si>
  <si>
    <t>0011U00000RGgZuQAL</t>
  </si>
  <si>
    <t>Chad Vincent Carney</t>
  </si>
  <si>
    <t>0011U00000RGgaWQAT</t>
  </si>
  <si>
    <t>Christopher Hohn Hantle</t>
  </si>
  <si>
    <t>0011U00000RGgQKQA1</t>
  </si>
  <si>
    <t>Amy Queen</t>
  </si>
  <si>
    <t>0011U00000RGgaoQAD</t>
  </si>
  <si>
    <t>Conaway Joy Jarvis Rev Lvg Tr</t>
  </si>
  <si>
    <t>0011U00000RGgQrQAL</t>
  </si>
  <si>
    <t>Artmayse Watts Oil Inc</t>
  </si>
  <si>
    <t>0011U00000RGgZBQA1</t>
  </si>
  <si>
    <t>Burnie Glass-Glen Fndtn</t>
  </si>
  <si>
    <t>0011U00000RGhUAQA1</t>
  </si>
  <si>
    <t>Shoreham Resources Oil</t>
  </si>
  <si>
    <t>0011U00000TMNbxQAH</t>
  </si>
  <si>
    <t>HERRING ROWSEY PROPERTIES LLC</t>
  </si>
  <si>
    <t>5/30/2019</t>
  </si>
  <si>
    <t>0011U00000TMNbyQAH</t>
  </si>
  <si>
    <t>PAUL PUTNAM OIL</t>
  </si>
  <si>
    <t>0011U00000TMNc1QAH</t>
  </si>
  <si>
    <t>MITCHELL 4 ENTERPRISES LLC</t>
  </si>
  <si>
    <t>0011U00000TMNcOQAX</t>
  </si>
  <si>
    <t>Estate of Virginia Sutton</t>
  </si>
  <si>
    <t>0011U00000TN5kkQAD</t>
  </si>
  <si>
    <t>Dyad Petroleum Company</t>
  </si>
  <si>
    <t>6/3/2019</t>
  </si>
  <si>
    <t>0011U00000TN5kmQAD</t>
  </si>
  <si>
    <t>El Huevo Ranchero Ltd</t>
  </si>
  <si>
    <t>0011U00000TN5kzQAD</t>
  </si>
  <si>
    <t>Frank B Rose</t>
  </si>
  <si>
    <t>0011U00000TN5laQAD</t>
  </si>
  <si>
    <t>Kahle Mimipa Trust</t>
  </si>
  <si>
    <t>0011U00000TN5luQAD</t>
  </si>
  <si>
    <t>Loomis Investments</t>
  </si>
  <si>
    <t>0011U00000TN5m7QAD</t>
  </si>
  <si>
    <t>Milburn Investments LLC</t>
  </si>
  <si>
    <t>0011U00000TN5mNQAT</t>
  </si>
  <si>
    <t>Petroleum Company Of Goodrich</t>
  </si>
  <si>
    <t>0011U00000TKGiWQAX</t>
  </si>
  <si>
    <t>Timothy D Mccormick Sr</t>
  </si>
  <si>
    <t>5/24/2019</t>
  </si>
  <si>
    <t>0011U00000TKGibQAH</t>
  </si>
  <si>
    <t>Zephyr Land Company</t>
  </si>
  <si>
    <t>0011U00000TKGfdQAH</t>
  </si>
  <si>
    <t>Roller-Mathes Trust</t>
  </si>
  <si>
    <t>0011U00000TKGh7QAH</t>
  </si>
  <si>
    <t>Rita Kay Dean</t>
  </si>
  <si>
    <t>0011U00000TKGhKQAX</t>
  </si>
  <si>
    <t>Jean Heiligenthal Wright</t>
  </si>
  <si>
    <t>0011U00000TKGevQAH</t>
  </si>
  <si>
    <t>Aurora Cantu Hill Investments</t>
  </si>
  <si>
    <t>0011U00000MCP4KQAX</t>
  </si>
  <si>
    <t>Vance Wayne Farrell</t>
  </si>
  <si>
    <t>0011U00000MCP4UQAX</t>
  </si>
  <si>
    <t>Grace Marilyn Kuehn</t>
  </si>
  <si>
    <t>0011U00000MCP50QAH</t>
  </si>
  <si>
    <t>Eb F Luckel Jr</t>
  </si>
  <si>
    <t>0011U00000QCkS4QAL</t>
  </si>
  <si>
    <t>MENDEL MYRTLE INC</t>
  </si>
  <si>
    <t>0011U00000QCkSSQA1</t>
  </si>
  <si>
    <t>DOR LOU PROPERTIES LLC MINERAL</t>
  </si>
  <si>
    <t>0011U00000Wj0wAQAR</t>
  </si>
  <si>
    <t>Taylor Gifford Smith</t>
  </si>
  <si>
    <t>0011U00000Wj0xxQAB</t>
  </si>
  <si>
    <t>Katherine Elizabeth Anglin</t>
  </si>
  <si>
    <t>0011U00000Wj0w1QAB</t>
  </si>
  <si>
    <t>Stefan Young</t>
  </si>
  <si>
    <t>0011U00000Wj0w9QAB</t>
  </si>
  <si>
    <t>Marcial S. Michel</t>
  </si>
  <si>
    <t>0011U00000Wj0wHQAR</t>
  </si>
  <si>
    <t>Elizabeth Squyers Penter</t>
  </si>
  <si>
    <t>0011U00000Wj0wLQAR</t>
  </si>
  <si>
    <t>James E Murphy</t>
  </si>
  <si>
    <t>0011U00000Wj0wPQAR</t>
  </si>
  <si>
    <t>Allen L Becken</t>
  </si>
  <si>
    <t>0011U00000Wj0wXQAR</t>
  </si>
  <si>
    <t>John Mcchesney Duffield Jr</t>
  </si>
  <si>
    <t>0011U00000Wj0xCQAR</t>
  </si>
  <si>
    <t>Edward P Monahan</t>
  </si>
  <si>
    <t>0011U00000Wj0xGQAR</t>
  </si>
  <si>
    <t>Frances Harris</t>
  </si>
  <si>
    <t>0011U00000Wj0xKQAR</t>
  </si>
  <si>
    <t>Tyler Glover Trustee</t>
  </si>
  <si>
    <t>0011U00000Wj0xOQAR</t>
  </si>
  <si>
    <t>Marilyn C Garrett Neve</t>
  </si>
  <si>
    <t>0011U00000Wj0xSQAR</t>
  </si>
  <si>
    <t>Lynn Boyd</t>
  </si>
  <si>
    <t>0011U00000Wj0xWQAR</t>
  </si>
  <si>
    <t>Billie Dennis</t>
  </si>
  <si>
    <t>0011U00000Wj0xaQAB</t>
  </si>
  <si>
    <t>Spencer Schreiber</t>
  </si>
  <si>
    <t>0011U00000Wj0y0QAB</t>
  </si>
  <si>
    <t>Watts Porter Living Trust</t>
  </si>
  <si>
    <t>0011U00000Wj0y4QAB</t>
  </si>
  <si>
    <t>Danielle Peterson</t>
  </si>
  <si>
    <t>0011U00000Wj0y8QAB</t>
  </si>
  <si>
    <t>Margaret R Freese</t>
  </si>
  <si>
    <t>0011U00000Wj0yCQAR</t>
  </si>
  <si>
    <t>Ronald Sink Dennis</t>
  </si>
  <si>
    <t>0011U00000Wj0yGQAR</t>
  </si>
  <si>
    <t>Jennifer C Ogilvy</t>
  </si>
  <si>
    <t>0011U00000Wj0yYQAR</t>
  </si>
  <si>
    <t>Pamela Jean Parkman</t>
  </si>
  <si>
    <t>0011U00000Wj0vlQAB</t>
  </si>
  <si>
    <t>Ann E Haslett</t>
  </si>
  <si>
    <t>0011U00000Wj0vpQAB</t>
  </si>
  <si>
    <t>Helen Moran Bolton</t>
  </si>
  <si>
    <t>0011U00000Wj0vtQAB</t>
  </si>
  <si>
    <t>Keith Morrow Russell</t>
  </si>
  <si>
    <t>0011U00000Wj0vxQAB</t>
  </si>
  <si>
    <t>M Glad Woodrow</t>
  </si>
  <si>
    <t>0011U00000Wj0wZQAR</t>
  </si>
  <si>
    <t>Anne V Middleton</t>
  </si>
  <si>
    <t>0011U00000Wj0wdQAB</t>
  </si>
  <si>
    <t>Terri Laughlin Mccaslin</t>
  </si>
  <si>
    <t>0011U00000Wj0whQAB</t>
  </si>
  <si>
    <t>Miles Melton</t>
  </si>
  <si>
    <t>0011U00000Wj0wlQAB</t>
  </si>
  <si>
    <t>Gary E Patterson</t>
  </si>
  <si>
    <t>0011U00000Wj0wpQAB</t>
  </si>
  <si>
    <t>Shannon K Loidolt</t>
  </si>
  <si>
    <t>0011U00000Wj0wtQAB</t>
  </si>
  <si>
    <t>Jack Holt Bypass Trust</t>
  </si>
  <si>
    <t>0011U00000Wj0wxQAB</t>
  </si>
  <si>
    <t>Estate Raplh Wiese</t>
  </si>
  <si>
    <t>0011U00000Wj0x1QAB</t>
  </si>
  <si>
    <t>Mark Todd Rutledge</t>
  </si>
  <si>
    <t>0011U00000Wj0x5QAB</t>
  </si>
  <si>
    <t>Pearl Power LLC</t>
  </si>
  <si>
    <t>0011U00000Wj0xeQAB</t>
  </si>
  <si>
    <t>Robert B Shelton</t>
  </si>
  <si>
    <t>0011U00000Wj0xiQAB</t>
  </si>
  <si>
    <t>Donna P Josey</t>
  </si>
  <si>
    <t>0011U00000Wj0xmQAB</t>
  </si>
  <si>
    <t>Christine Vouras</t>
  </si>
  <si>
    <t>0011U00000Wj0xqQAB</t>
  </si>
  <si>
    <t>Ted Kirk Matthews</t>
  </si>
  <si>
    <t>0011U00000Wj0xuQAB</t>
  </si>
  <si>
    <t>Thomas Merry</t>
  </si>
  <si>
    <t>0011U00000Wj0yIQAR</t>
  </si>
  <si>
    <t>Estate of Ralph Wiese</t>
  </si>
  <si>
    <t>0011U00000Wj0yMQAR</t>
  </si>
  <si>
    <t>Nick H Kithas</t>
  </si>
  <si>
    <t>0011U00000Wj0yQQAR</t>
  </si>
  <si>
    <t>Mary Nan Harwood</t>
  </si>
  <si>
    <t>0011U00000Wj0ycQAB</t>
  </si>
  <si>
    <t>Joseph Noland</t>
  </si>
  <si>
    <t>0011U00000Wj0ygQAB</t>
  </si>
  <si>
    <t>Terry L Bernhoft</t>
  </si>
  <si>
    <t>0011U00000Wj0ykQAB</t>
  </si>
  <si>
    <t>Reginald B Elwell Jr</t>
  </si>
  <si>
    <t>0011U00000Wj0yoQAB</t>
  </si>
  <si>
    <t>Carlos G Urias</t>
  </si>
  <si>
    <t>0011U00000Wj16xQAB</t>
  </si>
  <si>
    <t>Wwo Minerals Management LLC</t>
  </si>
  <si>
    <t>0011U00000Wj171QAB</t>
  </si>
  <si>
    <t>Julia Z Edwards</t>
  </si>
  <si>
    <t>0011U00000Wj175QAB</t>
  </si>
  <si>
    <t>Layne Morgan</t>
  </si>
  <si>
    <t>0011U00000Wj179QAB</t>
  </si>
  <si>
    <t>Aog Partners Ltd</t>
  </si>
  <si>
    <t>0011U00000Wj17DQAR</t>
  </si>
  <si>
    <t>Yellow Top Ranch Inc</t>
  </si>
  <si>
    <t>0011U00000Wj17HQAR</t>
  </si>
  <si>
    <t>Norvell Royalty Co LLC</t>
  </si>
  <si>
    <t>0011U00000Wj17LQAR</t>
  </si>
  <si>
    <t>Stephen Mitchell</t>
  </si>
  <si>
    <t>0011U00000Wj17PQAR</t>
  </si>
  <si>
    <t>Action Realtors Inc</t>
  </si>
  <si>
    <t>0011U00000Wj17TQAR</t>
  </si>
  <si>
    <t>Danny R Obrien</t>
  </si>
  <si>
    <t>0011U00000Wj17XQAR</t>
  </si>
  <si>
    <t>Patricia Ann Harrison Testamentary Trust</t>
  </si>
  <si>
    <t>0011U00000Wj17bQAB</t>
  </si>
  <si>
    <t>Claudia R Barch</t>
  </si>
  <si>
    <t>0011U00000Wj17fQAB</t>
  </si>
  <si>
    <t>Lawayne E Jones</t>
  </si>
  <si>
    <t>0011U00000Wj17jQAB</t>
  </si>
  <si>
    <t>Gail Essex</t>
  </si>
  <si>
    <t>0011U00000Wj16fQAB</t>
  </si>
  <si>
    <t>Ashley Alison Barnhill</t>
  </si>
  <si>
    <t>0011U00000Wj16jQAB</t>
  </si>
  <si>
    <t>Douglas E Cotton</t>
  </si>
  <si>
    <t>0011U00000Wj16nQAB</t>
  </si>
  <si>
    <t>Milam Stephen</t>
  </si>
  <si>
    <t>0011U00000Wj16rQAB</t>
  </si>
  <si>
    <t>Ragene Wilson Shanda</t>
  </si>
  <si>
    <t>0011U00000Wj17lQAB</t>
  </si>
  <si>
    <t>Jessie Fay Castleman Trust And The Donald Cowden Oliver Trust</t>
  </si>
  <si>
    <t>0011U00000Wj17pQAB</t>
  </si>
  <si>
    <t>Angelina Goodman</t>
  </si>
  <si>
    <t>0011U00000Wj17tQAB</t>
  </si>
  <si>
    <t>Julie Z Edwards</t>
  </si>
  <si>
    <t>0011U00000Wj17xQAB</t>
  </si>
  <si>
    <t>Samuella W Palmer Trust</t>
  </si>
  <si>
    <t>0011U00000Wj181QAB</t>
  </si>
  <si>
    <t>Panaquad Oil Company</t>
  </si>
  <si>
    <t>0011U00000Wj185QAB</t>
  </si>
  <si>
    <t>William K Warren Foundation</t>
  </si>
  <si>
    <t>0011U00000q60dEQAQ</t>
  </si>
  <si>
    <t>Nickel River Royalty</t>
  </si>
  <si>
    <t>8/29/2019</t>
  </si>
  <si>
    <t>0011U00000BRodYQAT</t>
  </si>
  <si>
    <t>Ozark Consulting LP</t>
  </si>
  <si>
    <t>2/1/2019</t>
  </si>
  <si>
    <t>0011U00000BRoeJQAT</t>
  </si>
  <si>
    <t>August C Sievers JR</t>
  </si>
  <si>
    <t>0011U00000TMNWcQAP</t>
  </si>
  <si>
    <t>OMNI PETROLEUM CORP</t>
  </si>
  <si>
    <t>0011U00000TMNWpQAP</t>
  </si>
  <si>
    <t>FIRST BAPTIST CHURCH COMMERCE TEXAS</t>
  </si>
  <si>
    <t>0011U00000TMNXBQA5</t>
  </si>
  <si>
    <t>WESMAX LTD</t>
  </si>
  <si>
    <t>0011U00000TMNXgQAP</t>
  </si>
  <si>
    <t>JERRY &amp; MARY SUTTON LLC</t>
  </si>
  <si>
    <t>0011U00000TMNYNQA5</t>
  </si>
  <si>
    <t>ESTATE OF AUDREY THOMAS LAWLIS</t>
  </si>
  <si>
    <t>0011U00000TMNYPQA5</t>
  </si>
  <si>
    <t>WILLIAM EPPLER</t>
  </si>
  <si>
    <t>0011U00000TMNVmQAP</t>
  </si>
  <si>
    <t>ROBERT Y JORDAN</t>
  </si>
  <si>
    <t>0011U00000TN8q0QAD</t>
  </si>
  <si>
    <t>Shreve Interests LLC</t>
  </si>
  <si>
    <t>0011U00000TK8fpQAD</t>
  </si>
  <si>
    <t>Estate of Donald J Evans</t>
  </si>
  <si>
    <t>5/23/2019</t>
  </si>
  <si>
    <t>0011U00000TK8gBQAT</t>
  </si>
  <si>
    <t>Iron Mountain Holdings Lp</t>
  </si>
  <si>
    <t>0011U00000TK8gCQAT</t>
  </si>
  <si>
    <t>Anne Ledet</t>
  </si>
  <si>
    <t>0011U00000dJyF7QAK</t>
  </si>
  <si>
    <t>Gmm Oil Co</t>
  </si>
  <si>
    <t>0011U00000dJyF8QAK</t>
  </si>
  <si>
    <t>Gold Metal Consolidated Mining Co And Santana Pet Corp</t>
  </si>
  <si>
    <t>0011U00000dJyF9QAK</t>
  </si>
  <si>
    <t>Goldman And Mckague</t>
  </si>
  <si>
    <t>0011U00000dJyFMQA0</t>
  </si>
  <si>
    <t>Grisbam Hunter Corp</t>
  </si>
  <si>
    <t>0011U00000dJyFOQA0</t>
  </si>
  <si>
    <t>Gruss Pet Mgmt</t>
  </si>
  <si>
    <t>0011U00000dJyFTQA0</t>
  </si>
  <si>
    <t>H. H. Taylor</t>
  </si>
  <si>
    <t>0011U00000dJyFUQA0</t>
  </si>
  <si>
    <t>H.L. Brown, Jr &amp; W.D. Mcbee, Jr</t>
  </si>
  <si>
    <t>0011U00000dJyFaQAK</t>
  </si>
  <si>
    <t>Hanlon Boyle</t>
  </si>
  <si>
    <t>0011U00000dJyFcQAK</t>
  </si>
  <si>
    <t>Harlin Prod Co</t>
  </si>
  <si>
    <t>0011U00000dJyFhQAK</t>
  </si>
  <si>
    <t>Hassie Hunt</t>
  </si>
  <si>
    <t>0011U00000dJyFiQAK</t>
  </si>
  <si>
    <t>Hawkins Oil &amp; Gas, Inc.</t>
  </si>
  <si>
    <t>0011U00000dJyFmQAK</t>
  </si>
  <si>
    <t>Henderson &amp; Erickson, Inc.</t>
  </si>
  <si>
    <t>0011U00000dJyFnQAK</t>
  </si>
  <si>
    <t>Heritage Standard Corporation</t>
  </si>
  <si>
    <t>0011U00000dJyFrQAK</t>
  </si>
  <si>
    <t>Hill &amp;Hill</t>
  </si>
  <si>
    <t>0011U00000dJyFwQAK</t>
  </si>
  <si>
    <t>Hillstone Daco Permian, Llc</t>
  </si>
  <si>
    <t>0011U00000dJyFzQAK</t>
  </si>
  <si>
    <t>Hillstone Permian Pipeline, Llc</t>
  </si>
  <si>
    <t>0011U00000dJyG2QAK</t>
  </si>
  <si>
    <t>Hissom Drlg Co And R J Johnson</t>
  </si>
  <si>
    <t>0011U00000dJyG5QAK</t>
  </si>
  <si>
    <t>Hng Oil Co.</t>
  </si>
  <si>
    <t>0011U00000dJyG9QAK</t>
  </si>
  <si>
    <t>Hondo Oil &amp; Gas Company Delaware</t>
  </si>
  <si>
    <t>0011U00000dJyGBQA0</t>
  </si>
  <si>
    <t>Humbleo&amp;R</t>
  </si>
  <si>
    <t>0011U00000dJyGHQA0</t>
  </si>
  <si>
    <t>Iw Lovelady</t>
  </si>
  <si>
    <t>0011U00000dJyDCQA0</t>
  </si>
  <si>
    <t>Amplify Energy Operating Llc</t>
  </si>
  <si>
    <t>0011U00000dJyDHQA0</t>
  </si>
  <si>
    <t>Bright &amp; Company</t>
  </si>
  <si>
    <t>0011U00000dJyDNQA0</t>
  </si>
  <si>
    <t>Buffaco Drlg Co Inc</t>
  </si>
  <si>
    <t>0011U00000dJyDSQA0</t>
  </si>
  <si>
    <t>Byler Drilling Company</t>
  </si>
  <si>
    <t>0011U00000dJyDUQA0</t>
  </si>
  <si>
    <t>Co Davis Et Al</t>
  </si>
  <si>
    <t>0011U00000dJyDXQA0</t>
  </si>
  <si>
    <t>C.O. Davis &amp; Mcdaniel &amp; Beecherl</t>
  </si>
  <si>
    <t>0011U00000dJyDaQAK</t>
  </si>
  <si>
    <t>Chambers &amp; Kennedy</t>
  </si>
  <si>
    <t>0011U00000dJyDbQAK</t>
  </si>
  <si>
    <t>Champlin Petroleum Co</t>
  </si>
  <si>
    <t>0011U00000dJyDcQAK</t>
  </si>
  <si>
    <t>Chance Properties Co.</t>
  </si>
  <si>
    <t>0011U00000dJyDdQAK</t>
  </si>
  <si>
    <t>Chaparral Energy</t>
  </si>
  <si>
    <t>0011U00000dJyDfQAK</t>
  </si>
  <si>
    <t>Chase Petroleum Ltd</t>
  </si>
  <si>
    <t>0011U00000dJyDgQAK</t>
  </si>
  <si>
    <t>Chesapeake Energy</t>
  </si>
  <si>
    <t>0011U00000dJyDmQAK</t>
  </si>
  <si>
    <t>Clark Oil Co.</t>
  </si>
  <si>
    <t>0011U00000dJyDtQAK</t>
  </si>
  <si>
    <t>Columbia Oil &amp; Gas</t>
  </si>
  <si>
    <t>0011U00000dJyDuQAK</t>
  </si>
  <si>
    <t>Concho Resources</t>
  </si>
  <si>
    <t>0011U00000dJyDyQAK</t>
  </si>
  <si>
    <t>Costa Resources</t>
  </si>
  <si>
    <t>0011U00000dJyE0QAK</t>
  </si>
  <si>
    <t>Creager And Creager Production</t>
  </si>
  <si>
    <t>0011U00000dJyE4QAK</t>
  </si>
  <si>
    <t>D &amp; V Petroleum Corporation</t>
  </si>
  <si>
    <t>0011U00000dJyE8QAK</t>
  </si>
  <si>
    <t>Davis Mcdaniel &amp; Beecherl</t>
  </si>
  <si>
    <t>0011U00000dJyEHQA0</t>
  </si>
  <si>
    <t>Donnell Drlg Co</t>
  </si>
  <si>
    <t>0011U00000dJyELQA0</t>
  </si>
  <si>
    <t>Duncan Drilling Co.</t>
  </si>
  <si>
    <t>0011U00000dJyEPQA0</t>
  </si>
  <si>
    <t>E R Kennedy And W D Faulkner</t>
  </si>
  <si>
    <t>0011U00000dJyEaQAK</t>
  </si>
  <si>
    <t>Eppenauer Drlg Co</t>
  </si>
  <si>
    <t>0011U00000dJyEcQAK</t>
  </si>
  <si>
    <t>Evans Porter Rankin Et Al</t>
  </si>
  <si>
    <t>0011U00000dJyEiQAK</t>
  </si>
  <si>
    <t>F. W. Holbrook &amp; Gulf Oil Corp., Et Al</t>
  </si>
  <si>
    <t>0011U00000dJyEsQAK</t>
  </si>
  <si>
    <t>Forster Drlg Co</t>
  </si>
  <si>
    <t>0011U00000dJyEuQAK</t>
  </si>
  <si>
    <t>Frank R. Robinson &amp; Gulf Oil Corp.</t>
  </si>
  <si>
    <t>0011U00000dJyExQAK</t>
  </si>
  <si>
    <t>Fred A. Davis, Holt Lovelady</t>
  </si>
  <si>
    <t>0011U00000ha0O6QAI</t>
  </si>
  <si>
    <t>LANDON JARED STEVENS</t>
  </si>
  <si>
    <t>0011U00000ha2AGQAY</t>
  </si>
  <si>
    <t>JUDITH ANN WORTHAM BROOKS</t>
  </si>
  <si>
    <t>0011U00000ha29OQAQ</t>
  </si>
  <si>
    <t>SCOTT A MIMS</t>
  </si>
  <si>
    <t>0011U00000ha0QCQAY</t>
  </si>
  <si>
    <t>NORMAN B DONELSON</t>
  </si>
  <si>
    <t>0011U00000NDlpgQAD</t>
  </si>
  <si>
    <t>Tunis Springs Petroleum Llc</t>
  </si>
  <si>
    <t>0011U00000NDlpiQAD</t>
  </si>
  <si>
    <t>Union Gospel Mission Of Fort</t>
  </si>
  <si>
    <t>0011U00000NDlq7QAD</t>
  </si>
  <si>
    <t>Young Oil &amp; Gas Lp</t>
  </si>
  <si>
    <t>0011U00000NDloLQAT</t>
  </si>
  <si>
    <t>Ridgerocktx Llc</t>
  </si>
  <si>
    <t>0011U00000NDlohQAD</t>
  </si>
  <si>
    <t>Royalty Clearinghouse Ltd</t>
  </si>
  <si>
    <t>0011U00000NDlopQAD</t>
  </si>
  <si>
    <t>Sarah J Bushong Weeks</t>
  </si>
  <si>
    <t>0011U00000NDlosQAD</t>
  </si>
  <si>
    <t>Scythian Ltd</t>
  </si>
  <si>
    <t>0011U00000NDlp6QAD</t>
  </si>
  <si>
    <t>Stafford J A Props Ltd</t>
  </si>
  <si>
    <t>0011U00000QCkNfQAL</t>
  </si>
  <si>
    <t>COLT DEVELOPMENT LLC</t>
  </si>
  <si>
    <t>0011U00000QCkNxQAL</t>
  </si>
  <si>
    <t>ERNEST E SMITH III</t>
  </si>
  <si>
    <t>0011U00000QCkOdQAL</t>
  </si>
  <si>
    <t>ANN MINNELL REED</t>
  </si>
  <si>
    <t>0011U00000QCkOxQAL</t>
  </si>
  <si>
    <t>FRANCYS ANN BALLENGER</t>
  </si>
  <si>
    <t>0011U00000QCkP6QAL</t>
  </si>
  <si>
    <t>LYONS FOUNDATION</t>
  </si>
  <si>
    <t>0011U00000QCkPJQA1</t>
  </si>
  <si>
    <t>LULA MAE SALE PROPERTIES LTD</t>
  </si>
  <si>
    <t>0011U00000QCkPqQAL</t>
  </si>
  <si>
    <t>JAMES D CHASE</t>
  </si>
  <si>
    <t>0011U00000QCkPrQAL</t>
  </si>
  <si>
    <t>MIDLAND TRUST</t>
  </si>
  <si>
    <t>0011U00000QCkQBQA1</t>
  </si>
  <si>
    <t>HAZEL PENNELL HODGE</t>
  </si>
  <si>
    <t>0011U00000GDl7EQAT</t>
  </si>
  <si>
    <t>Cathy Jeanette Hall</t>
  </si>
  <si>
    <t>3/8/2019</t>
  </si>
  <si>
    <t>0011U00000GDl78QAD</t>
  </si>
  <si>
    <t>John W Little Jr</t>
  </si>
  <si>
    <t>0011U00000GDl76QAD</t>
  </si>
  <si>
    <t>Diane Runion Turner Miller</t>
  </si>
  <si>
    <t>0011U00000GDl6mQAD</t>
  </si>
  <si>
    <t>Mary Moore Jones</t>
  </si>
  <si>
    <t>0011U00000GDl6wQAD</t>
  </si>
  <si>
    <t>Armstrong John Allan</t>
  </si>
  <si>
    <t>0011U00000GDl6xQAD</t>
  </si>
  <si>
    <t>Katherine Gayle Petty</t>
  </si>
  <si>
    <t>0011U00000GDl71QAD</t>
  </si>
  <si>
    <t>Shelia Mackay</t>
  </si>
  <si>
    <t>0011U00000hXoxfQAC</t>
  </si>
  <si>
    <t>I'S OF TEXAS FAMILY PTNSP</t>
  </si>
  <si>
    <t>0011U00000hZzHxQAK</t>
  </si>
  <si>
    <t>SPLIT ROCK ENERGY</t>
  </si>
  <si>
    <t>0011U00000hZzlRQAS</t>
  </si>
  <si>
    <t>CHAPARRAL MINERALS LLC</t>
  </si>
  <si>
    <t>0011U00000hZzkNQAS</t>
  </si>
  <si>
    <t>MARTIN COUNTY CONVENT FUND</t>
  </si>
  <si>
    <t>0011U00000ha10HQAQ</t>
  </si>
  <si>
    <t>JOANN PEUGH</t>
  </si>
  <si>
    <t>0011U00000rl8jOQAQ</t>
  </si>
  <si>
    <t>LSE 150858 UNKNOWN</t>
  </si>
  <si>
    <t>9/11/2019</t>
  </si>
  <si>
    <t>0011U00000rl9uiQAA</t>
  </si>
  <si>
    <t>ROBERT BRUCE HAYNES DECEASED</t>
  </si>
  <si>
    <t>0011U00000rl9ulQAA</t>
  </si>
  <si>
    <t>UNKNOWN LSE 150968</t>
  </si>
  <si>
    <t>0011U00000rkgWcQAI</t>
  </si>
  <si>
    <t>FIRST BAPTIST CHURCH MARTIN</t>
  </si>
  <si>
    <t>9/10/2019</t>
  </si>
  <si>
    <t>0011U00000NDljYQAT</t>
  </si>
  <si>
    <t>John Gilbert Wright</t>
  </si>
  <si>
    <t>0011U00000NDlkLQAT</t>
  </si>
  <si>
    <t>Lyeth Oil Trust</t>
  </si>
  <si>
    <t>0011U00000NDlkOQAT</t>
  </si>
  <si>
    <t>Magic Dog Oil &amp; Gas Ltd</t>
  </si>
  <si>
    <t>0011U00000NDlkSQAT</t>
  </si>
  <si>
    <t>Margaret Catherine Mcmillan</t>
  </si>
  <si>
    <t>0011U00000NDlkiQAD</t>
  </si>
  <si>
    <t>Estate of Mary Jacobucci</t>
  </si>
  <si>
    <t>0011U00000NDlkrQAD</t>
  </si>
  <si>
    <t>Mcm Royalties Llc</t>
  </si>
  <si>
    <t>0011U00000NDll8QAD</t>
  </si>
  <si>
    <t>Mountain Lion Oil &amp; Gas Llc</t>
  </si>
  <si>
    <t>0011U00000NDllIQAT</t>
  </si>
  <si>
    <t>Noble Energy Inc</t>
  </si>
  <si>
    <t>0011U00000NDllOQAT</t>
  </si>
  <si>
    <t>Obrien Production Co Inc</t>
  </si>
  <si>
    <t>0011U00000NDllRQAT</t>
  </si>
  <si>
    <t>Oneill Properties Ltd</t>
  </si>
  <si>
    <t>0011U00000NDljKQAT</t>
  </si>
  <si>
    <t>Jl Crump Estate</t>
  </si>
  <si>
    <t>0011U00000Ai7k3QAB</t>
  </si>
  <si>
    <t>BRIN ROYAL H JR</t>
  </si>
  <si>
    <t>0011U00000Ai7k8QAB</t>
  </si>
  <si>
    <t>HOLTON FAMILY PARTNERSHIP LP</t>
  </si>
  <si>
    <t>0011U00000Ai7kSQAR</t>
  </si>
  <si>
    <t>KWF ENTERPRISES LP</t>
  </si>
  <si>
    <t>0011U00000Ai7l9QAB</t>
  </si>
  <si>
    <t>Dean Eric Skinner</t>
  </si>
  <si>
    <t>0011U00000hZyUKQA0</t>
  </si>
  <si>
    <t>HOWARD PAYNE UNIVERSITY</t>
  </si>
  <si>
    <t>0011U00000E2pZ9QAJ</t>
  </si>
  <si>
    <t>D. Lee Penn Trust</t>
  </si>
  <si>
    <t>2/25/2019</t>
  </si>
  <si>
    <t>0011U00000E2pZDQAZ</t>
  </si>
  <si>
    <t>Rhett G Campbell</t>
  </si>
  <si>
    <t>0011U00000E2pZLQAZ</t>
  </si>
  <si>
    <t>Lisa Kuntz</t>
  </si>
  <si>
    <t>0011U00000E2pZTQAZ</t>
  </si>
  <si>
    <t>William C Larmore</t>
  </si>
  <si>
    <t>0011U00000E2pYzQAJ</t>
  </si>
  <si>
    <t>Carole C Buckholts</t>
  </si>
  <si>
    <t>0011U00000E2pZ0QAJ</t>
  </si>
  <si>
    <t>Robin C Emerson</t>
  </si>
  <si>
    <t>0011U00000FBC4zQAH</t>
  </si>
  <si>
    <t>Robert Freck</t>
  </si>
  <si>
    <t>3/1/2019</t>
  </si>
  <si>
    <t>0011U00000FBC4BQAX</t>
  </si>
  <si>
    <t>Linda Carol Black</t>
  </si>
  <si>
    <t>0011U00000FBC4aQAH</t>
  </si>
  <si>
    <t>Phillip Arnold Blackmar</t>
  </si>
  <si>
    <t>0011U00000FBC4bQAH</t>
  </si>
  <si>
    <t>Lydia Atkins Canterbury</t>
  </si>
  <si>
    <t>0011U00000FBC4nQAH</t>
  </si>
  <si>
    <t>Maurine Atwood</t>
  </si>
  <si>
    <t>0011U00000FBC2DQAX</t>
  </si>
  <si>
    <t>Matthew Schuman</t>
  </si>
  <si>
    <t>0011U00000FBC2KQAX</t>
  </si>
  <si>
    <t>Paschual Andrew Robertson</t>
  </si>
  <si>
    <t>0011U00000FBC2TQAX</t>
  </si>
  <si>
    <t>T.A. Johnson</t>
  </si>
  <si>
    <t>0011U00000FBC2rQAH</t>
  </si>
  <si>
    <t>Louis Elaine Clarence</t>
  </si>
  <si>
    <t>0011U00000FBC3MQAX</t>
  </si>
  <si>
    <t>Gary William Page</t>
  </si>
  <si>
    <t>0011U00000FBC3NQAX</t>
  </si>
  <si>
    <t>James Reed Mccrory</t>
  </si>
  <si>
    <t>0011U00000FBC3aQAH</t>
  </si>
  <si>
    <t>Duard B. Thomas</t>
  </si>
  <si>
    <t>0011U00000EogkrQAB</t>
  </si>
  <si>
    <t>Robert A Kath</t>
  </si>
  <si>
    <t>0011U00000Eogl3QAB</t>
  </si>
  <si>
    <t>Sisters Lp Belmont</t>
  </si>
  <si>
    <t>0011U00000EoglIQAR</t>
  </si>
  <si>
    <t>Urbana Lee Armstrong</t>
  </si>
  <si>
    <t>0011U00000EoglbQAB</t>
  </si>
  <si>
    <t>Ellen C Stinnett Martinez</t>
  </si>
  <si>
    <t>0011U00000EogldQAB</t>
  </si>
  <si>
    <t>Haley Elizabeth Cosner</t>
  </si>
  <si>
    <t>0011U00000Eogm8QAB</t>
  </si>
  <si>
    <t>Richard Clay Slack, II</t>
  </si>
  <si>
    <t>0011U00000EogmYQAR</t>
  </si>
  <si>
    <t>Clayton &amp; Janet Johnson, JT</t>
  </si>
  <si>
    <t>0011U00000EogkfQAB</t>
  </si>
  <si>
    <t>Mollye Bennett Taylor</t>
  </si>
  <si>
    <t>0011U00000EoguDQAR</t>
  </si>
  <si>
    <t>COATES ENERGY TR</t>
  </si>
  <si>
    <t>0011U00000Ai7cHQAR</t>
  </si>
  <si>
    <t>DEBERRY PATRICIA A</t>
  </si>
  <si>
    <t>0011U00000Ai7cdQAB</t>
  </si>
  <si>
    <t>JMW INTERESTS LLC</t>
  </si>
  <si>
    <t>0011U00000Ai7dGQAR</t>
  </si>
  <si>
    <t>JOCHIMSEN ALAN</t>
  </si>
  <si>
    <t>0011U00000Ai7akQAB</t>
  </si>
  <si>
    <t>SUZANNE J CARPENTER</t>
  </si>
  <si>
    <t>0011U00000Ai7asQAB</t>
  </si>
  <si>
    <t>ROBB MARY SARAH GIFFORD</t>
  </si>
  <si>
    <t>0011U00000Ai7aNQAR</t>
  </si>
  <si>
    <t>WILLIAMS RAYMOND M</t>
  </si>
  <si>
    <t>0011U00000Ai7b9QAB</t>
  </si>
  <si>
    <t>GRIMES DAVID N</t>
  </si>
  <si>
    <t>0011U00000Ai7bxQAB</t>
  </si>
  <si>
    <t>JUDSON PROPERTIES LTD</t>
  </si>
  <si>
    <t>0011U00000Ai7PfQAJ</t>
  </si>
  <si>
    <t>KB SYCAMORE CREEK RANCH LP</t>
  </si>
  <si>
    <t>0011U00000BmkS7QAJ</t>
  </si>
  <si>
    <t>Patricia Mcmahon Crocker</t>
  </si>
  <si>
    <t>2/8/2019</t>
  </si>
  <si>
    <t>0011U00000BmkSWQAZ</t>
  </si>
  <si>
    <t>Sherry Haley Bailey</t>
  </si>
  <si>
    <t>0011U00000BmkSYQAZ</t>
  </si>
  <si>
    <t>Anita  Haley</t>
  </si>
  <si>
    <t>0011U00000BmkSfQAJ</t>
  </si>
  <si>
    <t>LLWM PROPERTIES LP</t>
  </si>
  <si>
    <t>0011U00000BmkSoQAJ</t>
  </si>
  <si>
    <t>Alexander Bradford Hurt</t>
  </si>
  <si>
    <t>0011U00000EogrKQAR</t>
  </si>
  <si>
    <t>HARRISON W O JR FAMILY LP</t>
  </si>
  <si>
    <t>0011U00000EogruQAB</t>
  </si>
  <si>
    <t>MCKNIGHT FAMILY PROPERTIES LP</t>
  </si>
  <si>
    <t>0011U00000rmsZBQAY</t>
  </si>
  <si>
    <t>BRAXTON BEST GLASS</t>
  </si>
  <si>
    <t>9/24/2019</t>
  </si>
  <si>
    <t>0011U00000BmGkPQAV</t>
  </si>
  <si>
    <t>BUFFY ENERGY LLC</t>
  </si>
  <si>
    <t>2/7/2019</t>
  </si>
  <si>
    <t>0011U00000BmGkTQAV</t>
  </si>
  <si>
    <t>GUITAR LAND &amp; CATTLE CO</t>
  </si>
  <si>
    <t>0011U00000BmGkYQAV</t>
  </si>
  <si>
    <t>GUITAR MURCHISON FAMILY LP</t>
  </si>
  <si>
    <t>0011U00000FBC7sQAH</t>
  </si>
  <si>
    <t>Lela Ellen Madera</t>
  </si>
  <si>
    <t>0011U00000FBC8CQAX</t>
  </si>
  <si>
    <t>Phoebe Tarpey</t>
  </si>
  <si>
    <t>0011U00000GEwSUQA1</t>
  </si>
  <si>
    <t>Chad Alan Nichols</t>
  </si>
  <si>
    <t>3/11/2019</t>
  </si>
  <si>
    <t>0011U00000GEwSYQA1</t>
  </si>
  <si>
    <t>Camilla Birkhead Wallace</t>
  </si>
  <si>
    <t>0011U00000GEwSkQAL</t>
  </si>
  <si>
    <t>John Gordon Haynes</t>
  </si>
  <si>
    <t>0011U00000GEwTrQAL</t>
  </si>
  <si>
    <t>GASKINS KELLY JOE FAMILY TRUST</t>
  </si>
  <si>
    <t>0011U00000GEwTvQAL</t>
  </si>
  <si>
    <t>FLORENCE THELMA HALL TRUST</t>
  </si>
  <si>
    <t>0011U00000GEwTxQAL</t>
  </si>
  <si>
    <t>LITTLE EYES LP</t>
  </si>
  <si>
    <t>0011U00000ha2RyQAI</t>
  </si>
  <si>
    <t>GRETCHEN BERLY</t>
  </si>
  <si>
    <t>0011U00000QCkD0QAL</t>
  </si>
  <si>
    <t>JRLFAULKNER LP</t>
  </si>
  <si>
    <t>0011U00000GDl7PQAT</t>
  </si>
  <si>
    <t>David Jerome Smiser Individually And As Executor Of The Estate Of Jerome Smiser</t>
  </si>
  <si>
    <t>0011U00000GDl7SQAT</t>
  </si>
  <si>
    <t>Olney Wallis</t>
  </si>
  <si>
    <t>0011U00000GDl7hQAD</t>
  </si>
  <si>
    <t>Elizabeth Moore Rogers</t>
  </si>
  <si>
    <t>0011U00000GDl7kQAD</t>
  </si>
  <si>
    <t>Helene Antoinette Andrau Siegler Estate</t>
  </si>
  <si>
    <t>0011U00000GDl7qQAD</t>
  </si>
  <si>
    <t>JOSEPH MARK GREGORY</t>
  </si>
  <si>
    <t>0011U00000GDl7vQAD</t>
  </si>
  <si>
    <t>William Evert Andrau</t>
  </si>
  <si>
    <t>0011U00000GDl7MQAT</t>
  </si>
  <si>
    <t>Rosemary Devine Boyce</t>
  </si>
  <si>
    <t>0011U00000ha2XHQAY</t>
  </si>
  <si>
    <t>MARIJANN BAILEY STEVENS</t>
  </si>
  <si>
    <t>0011U00000hZzcBQAS</t>
  </si>
  <si>
    <t>PANTEJAS ROYALTY INC</t>
  </si>
  <si>
    <t>0011U00000ha2XpQAI</t>
  </si>
  <si>
    <t>ROCKY ALLEN</t>
  </si>
  <si>
    <t>0011U00000ha1YSQAY</t>
  </si>
  <si>
    <t>MARGIE REESE</t>
  </si>
  <si>
    <t>0011U00000hZzaxQAC</t>
  </si>
  <si>
    <t>GRADY L JR &amp; CANDACE WILBANKS</t>
  </si>
  <si>
    <t>0011U00000E4VL3QAN</t>
  </si>
  <si>
    <t>Leonard A Gills Revoc Trust</t>
  </si>
  <si>
    <t>2/26/2019</t>
  </si>
  <si>
    <t>0011U00000E4VIfQAN</t>
  </si>
  <si>
    <t>YAEGER LLC</t>
  </si>
  <si>
    <t>0011U00000E4VJlQAN</t>
  </si>
  <si>
    <t>Kortlan Guy Castleberry</t>
  </si>
  <si>
    <t>0011U00000E4VKGQA3</t>
  </si>
  <si>
    <t>Ashley-Elizabeth S Massey</t>
  </si>
  <si>
    <t>0011U00000E4VIDQA3</t>
  </si>
  <si>
    <t>CHARLESWORTH ENTERPRISES INC</t>
  </si>
  <si>
    <t>0011U00000E4VKWQA3</t>
  </si>
  <si>
    <t>David M Pivont</t>
  </si>
  <si>
    <t>0011U00000E4VKYQA3</t>
  </si>
  <si>
    <t>Curtis A Pool Estate</t>
  </si>
  <si>
    <t>0011U00000rm76DQAQ</t>
  </si>
  <si>
    <t>RODNEY L GILLS</t>
  </si>
  <si>
    <t>9/18/2019</t>
  </si>
  <si>
    <t>0011U00000rm76JQAQ</t>
  </si>
  <si>
    <t>BOBBY LEE WOOD</t>
  </si>
  <si>
    <t>0011U00000rm76fQAA</t>
  </si>
  <si>
    <t>DORADO PETROLEUM LLC</t>
  </si>
  <si>
    <t>0011U00000rm76vQAA</t>
  </si>
  <si>
    <t>PRODUCERS INVESTMENTS LP</t>
  </si>
  <si>
    <t>0011U00000EogfhQAB</t>
  </si>
  <si>
    <t>Estate of Berniece Polly Enloe</t>
  </si>
  <si>
    <t>0011U00000Eogg0QAB</t>
  </si>
  <si>
    <t>Christa L Carson</t>
  </si>
  <si>
    <t>0011U00000EoggAQAR</t>
  </si>
  <si>
    <t>Donald H Hogue</t>
  </si>
  <si>
    <t>0011U00000EogeoQAB</t>
  </si>
  <si>
    <t>Bill Weinacht</t>
  </si>
  <si>
    <t>0011U00000KPVPYQA5</t>
  </si>
  <si>
    <t>Anne Scales</t>
  </si>
  <si>
    <t>3/15/2019</t>
  </si>
  <si>
    <t>0011U00000KPVQoQAP</t>
  </si>
  <si>
    <t>Ruth O Lougen</t>
  </si>
  <si>
    <t>0011U00000EogfQQAR</t>
  </si>
  <si>
    <t>W E Gipson</t>
  </si>
  <si>
    <t>0011U00000EogfTQAR</t>
  </si>
  <si>
    <t>Amelia White Booker</t>
  </si>
  <si>
    <t>0011U00000EogfZQAR</t>
  </si>
  <si>
    <t>Anne Elizabeth Carpenter</t>
  </si>
  <si>
    <t>0011U00000KPVRmQAP</t>
  </si>
  <si>
    <t>Claude Forest Wynn</t>
  </si>
  <si>
    <t>0011U00000KPVRoQAP</t>
  </si>
  <si>
    <t>Taylor Mays Wynn</t>
  </si>
  <si>
    <t>0011U00000GElSjQAL</t>
  </si>
  <si>
    <t>Kenneth Smith And Patsy Smith Revocable Trust Agreement</t>
  </si>
  <si>
    <t>0011U00000GElSlQAL</t>
  </si>
  <si>
    <t>Kinneth M. Smith</t>
  </si>
  <si>
    <t>0011U00000GElStQAL</t>
  </si>
  <si>
    <t>Farrell Tom A</t>
  </si>
  <si>
    <t>0011U00000GElSvQAL</t>
  </si>
  <si>
    <t>Tom Allen Farrell</t>
  </si>
  <si>
    <t>0011U00000GElSxQAL</t>
  </si>
  <si>
    <t>Mhm Resources Lp</t>
  </si>
  <si>
    <t>0011U00000GElSyQAL</t>
  </si>
  <si>
    <t>NM&amp;T Resources, LLC</t>
  </si>
  <si>
    <t>0011U00000GElSzQAL</t>
  </si>
  <si>
    <t>S B Shaeffer</t>
  </si>
  <si>
    <t>0011U00000GElT5QAL</t>
  </si>
  <si>
    <t>David H Grandin</t>
  </si>
  <si>
    <t>0011U00000GElT6QAL</t>
  </si>
  <si>
    <t>P.L. Childress, Jr.</t>
  </si>
  <si>
    <t>0011U00000GElT7QAL</t>
  </si>
  <si>
    <t>Williams Constanco Joan</t>
  </si>
  <si>
    <t>0011U00000GElT8QAL</t>
  </si>
  <si>
    <t>James H Tayler</t>
  </si>
  <si>
    <t>0011U00000GElT9QAL</t>
  </si>
  <si>
    <t>James L Tyler And Mary E Tyler Trust Dated April 26 1990</t>
  </si>
  <si>
    <t>0011U00000GElTCQA1</t>
  </si>
  <si>
    <t>E&amp;S, LLC</t>
  </si>
  <si>
    <t>0011U00000GElTEQA1</t>
  </si>
  <si>
    <t>Frances Jane Owen</t>
  </si>
  <si>
    <t>0011U00000GElTKQA1</t>
  </si>
  <si>
    <t>Hanagan Investments, LLC</t>
  </si>
  <si>
    <t>0011U00000GElTMQA1</t>
  </si>
  <si>
    <t>Paula Scott Campbell Trustee</t>
  </si>
  <si>
    <t>0011U00000GElTXQA1</t>
  </si>
  <si>
    <t>Mary Owen Chiapetti</t>
  </si>
  <si>
    <t>0011U00000GElTYQA1</t>
  </si>
  <si>
    <t>William Jeff Glenn And Lora Neil Glenn Revocable Trust</t>
  </si>
  <si>
    <t>0011U00000KPVXuQAP</t>
  </si>
  <si>
    <t>Jbs-Sla Lp</t>
  </si>
  <si>
    <t>0011U00000KPVXyQAP</t>
  </si>
  <si>
    <t>Monterrey Minerals Llc</t>
  </si>
  <si>
    <t>0011U00000KPVY1QAP</t>
  </si>
  <si>
    <t>Jane B Ramsland Oil &amp; Gas Lp</t>
  </si>
  <si>
    <t>0011U00000KPVY6QAP</t>
  </si>
  <si>
    <t>Towa Lp</t>
  </si>
  <si>
    <t>0011U00000GElRvQAL</t>
  </si>
  <si>
    <t>Ann S Farrell</t>
  </si>
  <si>
    <t>0011U00000GElS1QAL</t>
  </si>
  <si>
    <t>Richard G. Farrell</t>
  </si>
  <si>
    <t>0011U00000GElS3QAL</t>
  </si>
  <si>
    <t>Cliff G Currier</t>
  </si>
  <si>
    <t>0011U00000GElS5QAL</t>
  </si>
  <si>
    <t>Pearl C. Barker</t>
  </si>
  <si>
    <t>0011U00000GElSAQA1</t>
  </si>
  <si>
    <t>Wayne S Turner</t>
  </si>
  <si>
    <t>0011U00000GElSBQA1</t>
  </si>
  <si>
    <t>Bradley Hunter Farrell</t>
  </si>
  <si>
    <t>0011U00000KPVYdQAP</t>
  </si>
  <si>
    <t>Warren Ventures Ltd</t>
  </si>
  <si>
    <t>0011U00000KPVZYQA5</t>
  </si>
  <si>
    <t>John J Nolan Sr  Estate Trust</t>
  </si>
  <si>
    <t>0011U00000GElSGQA1</t>
  </si>
  <si>
    <t>Judy A Brewer</t>
  </si>
  <si>
    <t>0011U00000GElSQQA1</t>
  </si>
  <si>
    <t>Westall David W</t>
  </si>
  <si>
    <t>0011U00000GElSTQA1</t>
  </si>
  <si>
    <t>Bennetta Yaeger Trustee</t>
  </si>
  <si>
    <t>0011U00000GElSXQA1</t>
  </si>
  <si>
    <t>Margaret A Hooper</t>
  </si>
  <si>
    <t>0011U00000GElSbQAL</t>
  </si>
  <si>
    <t>Jeff Morris Graef</t>
  </si>
  <si>
    <t>0011U00000GElScQAL</t>
  </si>
  <si>
    <t>Marsha Cole Berdan</t>
  </si>
  <si>
    <t>0011U00000GElSiQAL</t>
  </si>
  <si>
    <t>Kenneth Mark Smith</t>
  </si>
  <si>
    <t>0011U00000Bm4wVQAR</t>
  </si>
  <si>
    <t>Galusha Lp Guitar</t>
  </si>
  <si>
    <t>0011U00000Bm4wXQAR</t>
  </si>
  <si>
    <t>Guy P Witherspoon III</t>
  </si>
  <si>
    <t>0011U00000ha0VKQAY</t>
  </si>
  <si>
    <t>WILLIAM D ARCHER</t>
  </si>
  <si>
    <t>0011U00000ha1EpQAI</t>
  </si>
  <si>
    <t>ELKIN P BUSH PROPERTY CO LTD</t>
  </si>
  <si>
    <t>0011U00000ha1jNQAQ</t>
  </si>
  <si>
    <t>EARL &amp; BARBARA J DICKENSON</t>
  </si>
  <si>
    <t>0011U00000hYY4TQAW</t>
  </si>
  <si>
    <t>SCOTT EDWARD SHAEFFER</t>
  </si>
  <si>
    <t>7/24/2019</t>
  </si>
  <si>
    <t>0011U00000Ai7gUQAR</t>
  </si>
  <si>
    <t>MTX INTERESTS LP</t>
  </si>
  <si>
    <t>0011U00000Ai7hnQAB</t>
  </si>
  <si>
    <t>CIRRUS MINERALS LLC</t>
  </si>
  <si>
    <t>0011U00000Ai7L8QAJ</t>
  </si>
  <si>
    <t>MSP TEXAS LLC</t>
  </si>
  <si>
    <t>0011U00000Ai7MXQAZ</t>
  </si>
  <si>
    <t>KCJC PARDNERS LLC</t>
  </si>
  <si>
    <t>0011U00000Ai7UjQAJ</t>
  </si>
  <si>
    <t>MARSHALL &amp; WINSTON INC</t>
  </si>
  <si>
    <t>0011U00000Ai7WfQAJ</t>
  </si>
  <si>
    <t>FRIDAY DAVID THOMAS</t>
  </si>
  <si>
    <t>0011U00000Ai7VqQAJ</t>
  </si>
  <si>
    <t>KELLEY NANCY A</t>
  </si>
  <si>
    <t>0011U00000RGh8aQAD</t>
  </si>
  <si>
    <t>Kevin M Hantle</t>
  </si>
  <si>
    <t>0011U00000RGhAeQAL</t>
  </si>
  <si>
    <t>Marcia L Hutchison</t>
  </si>
  <si>
    <t>0011U00000RGhAsQAL</t>
  </si>
  <si>
    <t>Margaret O Atkinson</t>
  </si>
  <si>
    <t>0011U00000RGhAwQAL</t>
  </si>
  <si>
    <t>Marie Scrabb</t>
  </si>
  <si>
    <t>0011U00000RGhADQA1</t>
  </si>
  <si>
    <t>Louise E Ross</t>
  </si>
  <si>
    <t>0011U00000RGhMgQAL</t>
  </si>
  <si>
    <t>Pbr Properties</t>
  </si>
  <si>
    <t>0011U00000RGhMpQAL</t>
  </si>
  <si>
    <t>Petrolima LLC</t>
  </si>
  <si>
    <t>0011U00000RGhNFQA1</t>
  </si>
  <si>
    <t>Quien Sabe Oil and Gas Co LLC</t>
  </si>
  <si>
    <t>0011U00000RGhNxQAL</t>
  </si>
  <si>
    <t>Regina Lynn Hantle</t>
  </si>
  <si>
    <t>0011U00000RGhO0QAL</t>
  </si>
  <si>
    <t>Estate of Rex G Preston</t>
  </si>
  <si>
    <t>0011U00000RGhO3QAL</t>
  </si>
  <si>
    <t>Richard A Bigger Jr</t>
  </si>
  <si>
    <t>0011U00000RGhOkQAL</t>
  </si>
  <si>
    <t>Robert K Taylor</t>
  </si>
  <si>
    <t>0011U00000EogqLQAR</t>
  </si>
  <si>
    <t>CERF MARGARET MARY LIFE ESTATE</t>
  </si>
  <si>
    <t>0011U00000EogqAQAR</t>
  </si>
  <si>
    <t>ESPINOZA KATHARINE K SANGER TR</t>
  </si>
  <si>
    <t>0011U00000EogqvQAB</t>
  </si>
  <si>
    <t>CHAPARRAL ROYALTY COMPANY</t>
  </si>
  <si>
    <t>0011U00000Eogr1QAB</t>
  </si>
  <si>
    <t>CWPLCO INC</t>
  </si>
  <si>
    <t>0011U00000Eogr7QAB</t>
  </si>
  <si>
    <t>DORMAR PRODUCTION COMPANY</t>
  </si>
  <si>
    <t>0011U00000EogqGQAR</t>
  </si>
  <si>
    <t>LESTER E LACY FAMILY TRUST</t>
  </si>
  <si>
    <t>0011U00000FBBvqQAH</t>
  </si>
  <si>
    <t>Nolan R. Watson Jr</t>
  </si>
  <si>
    <t>0011U00000FBBwCQAX</t>
  </si>
  <si>
    <t>Estate of Ila Grace Norris</t>
  </si>
  <si>
    <t>0011U00000FBBwDQAX</t>
  </si>
  <si>
    <t>Joy Horton</t>
  </si>
  <si>
    <t>0011U00000FBBwQQAX</t>
  </si>
  <si>
    <t>Nina Jean Reynolds</t>
  </si>
  <si>
    <t>0011U00000FBBwnQAH</t>
  </si>
  <si>
    <t>Rodney D Dickens</t>
  </si>
  <si>
    <t>0011U00000FBBwoQAH</t>
  </si>
  <si>
    <t>Lela Madera</t>
  </si>
  <si>
    <t>0011U00000FBBwxQAH</t>
  </si>
  <si>
    <t>Julia Ann Windecker</t>
  </si>
  <si>
    <t>0011U00000FBBwyQAH</t>
  </si>
  <si>
    <t>Larry C Wood</t>
  </si>
  <si>
    <t>0011U00000FBBwzQAH</t>
  </si>
  <si>
    <t>Lawrence C Wood</t>
  </si>
  <si>
    <t>0011U00000FBBx2QAH</t>
  </si>
  <si>
    <t>Alton C White Jr</t>
  </si>
  <si>
    <t>0011U00000FBBxxQAH</t>
  </si>
  <si>
    <t>Nina Page</t>
  </si>
  <si>
    <t>0011U00000FBByEQAX</t>
  </si>
  <si>
    <t>Carolyn Ann Taylor Schrock</t>
  </si>
  <si>
    <t>0011U00000FBByFQAX</t>
  </si>
  <si>
    <t>Taylor Carolyn Ann</t>
  </si>
  <si>
    <t>0011U00000FBByGQAX</t>
  </si>
  <si>
    <t>James W Marbach</t>
  </si>
  <si>
    <t>0011U00000FBByNQAX</t>
  </si>
  <si>
    <t>Telitha Pauline Templeton Plank</t>
  </si>
  <si>
    <t>0011U00000FBByOQAX</t>
  </si>
  <si>
    <t>Tanya Joe-Lee Templeton</t>
  </si>
  <si>
    <t>0011U00000FBByPQAX</t>
  </si>
  <si>
    <t>Tina Dell Jones</t>
  </si>
  <si>
    <t>0011U00000FBBviQAH</t>
  </si>
  <si>
    <t>Percy Lee Lawrence III</t>
  </si>
  <si>
    <t>0011U00000FBBvmQAH</t>
  </si>
  <si>
    <t>Shawna Dee Lawrence</t>
  </si>
  <si>
    <t>0011U00000QCkAxQAL</t>
  </si>
  <si>
    <t>EDNA E LORD TRUST</t>
  </si>
  <si>
    <t>0011U00000QCkAzQAL</t>
  </si>
  <si>
    <t>SPEH PDS TRUST</t>
  </si>
  <si>
    <t>0011U00000QCkBSQA1</t>
  </si>
  <si>
    <t>SYDNEY TONI ALLEN TRUST</t>
  </si>
  <si>
    <t>0011U00000QCkBUQA1</t>
  </si>
  <si>
    <t>SANCHEZ OIL &amp; GAS EMPLOYEE ROY</t>
  </si>
  <si>
    <t>0011U00000QCkBgQAL</t>
  </si>
  <si>
    <t>LAROCCA V BAR LP</t>
  </si>
  <si>
    <t>0011U00000QCkAYQA1</t>
  </si>
  <si>
    <t>WARD GRANDCHILDRENS TRUST</t>
  </si>
  <si>
    <t>0011U00000QCkAaQAL</t>
  </si>
  <si>
    <t>BWS 2014 MANAGEMENT TRUST</t>
  </si>
  <si>
    <t>0011U00000NCBNfQAP</t>
  </si>
  <si>
    <t>Colorado Royalties</t>
  </si>
  <si>
    <t>0011U00000hZzQSQA0</t>
  </si>
  <si>
    <t>MICHAEL S WILBANKS</t>
  </si>
  <si>
    <t>0011U00000NCBNzQAP</t>
  </si>
  <si>
    <t>Faee Enterprises</t>
  </si>
  <si>
    <t>0011U00000NCBOGQA5</t>
  </si>
  <si>
    <t>Herrell R R Properties Ltd</t>
  </si>
  <si>
    <t>0011U00000NCBP5QAP</t>
  </si>
  <si>
    <t>Mark T Dehlinger</t>
  </si>
  <si>
    <t>0011U00000NCBP6QAP</t>
  </si>
  <si>
    <t>Mary Jane Kasser</t>
  </si>
  <si>
    <t>0011U00000ha0bTQAQ</t>
  </si>
  <si>
    <t>BARBARA HILLGER MERIWETHER</t>
  </si>
  <si>
    <t>0011U00000NCBPbQAP</t>
  </si>
  <si>
    <t>Sigmar Inc</t>
  </si>
  <si>
    <t>0011U00000hZzSMQA0</t>
  </si>
  <si>
    <t>PERRY PRODUCING COMPANY INC</t>
  </si>
  <si>
    <t>0011U00000hZzSlQAK</t>
  </si>
  <si>
    <t>SAMMY YATES</t>
  </si>
  <si>
    <t>0011U00000ha2I8QAI</t>
  </si>
  <si>
    <t>LINDA SHIRLEY</t>
  </si>
  <si>
    <t>0011U00000NCBNMQA5</t>
  </si>
  <si>
    <t>Alan W Roman</t>
  </si>
  <si>
    <t>0011U00000NC0c4QAD</t>
  </si>
  <si>
    <t>Gay Nan Vanderburg Kuempel</t>
  </si>
  <si>
    <t>0011U00000NC0c6QAD</t>
  </si>
  <si>
    <t>Maranza Lil Robinson</t>
  </si>
  <si>
    <t>0011U00000NC0c9QAD</t>
  </si>
  <si>
    <t>Lorna G Overbey</t>
  </si>
  <si>
    <t>0011U00000NC0cGQAT</t>
  </si>
  <si>
    <t>Marico, LLC</t>
  </si>
  <si>
    <t>0011U00000ha2vlQAA</t>
  </si>
  <si>
    <t>ANNA LEE WOOD SOUTHARD</t>
  </si>
  <si>
    <t>0011U00000ha2wKQAQ</t>
  </si>
  <si>
    <t>HOSPITAL FOR CHILDREN SHRINERS</t>
  </si>
  <si>
    <t>0011U00000NC9b4QAD</t>
  </si>
  <si>
    <t>Wolfcamp Title LLC</t>
  </si>
  <si>
    <t>0011U00000NC9aaQAD</t>
  </si>
  <si>
    <t>Seanna Madera</t>
  </si>
  <si>
    <t>0011U00000NC9adQAD</t>
  </si>
  <si>
    <t>Stephen F Backman</t>
  </si>
  <si>
    <t>0011U00000NC9ahQAD</t>
  </si>
  <si>
    <t>Susan Lynn Menuey</t>
  </si>
  <si>
    <t>0011U00000NC9aiQAD</t>
  </si>
  <si>
    <t>Susan Obrien</t>
  </si>
  <si>
    <t>0011U00000NC9ajQAD</t>
  </si>
  <si>
    <t>Susan Starnes</t>
  </si>
  <si>
    <t>0011U00000NC9akQAD</t>
  </si>
  <si>
    <t>Sylvester G Santillan</t>
  </si>
  <si>
    <t>0011U00000NC9alQAD</t>
  </si>
  <si>
    <t>Terri Marie Evans</t>
  </si>
  <si>
    <t>0011U00000NC9amQAD</t>
  </si>
  <si>
    <t>Trevor S Turmelle</t>
  </si>
  <si>
    <t>0011U00000NC9anQAD</t>
  </si>
  <si>
    <t>Unicorn Energy, LLC</t>
  </si>
  <si>
    <t>0011U00000NC9aoQAD</t>
  </si>
  <si>
    <t>Vickie Gail Archie Taylor</t>
  </si>
  <si>
    <t>0011U00000NC9apQAD</t>
  </si>
  <si>
    <t>Vicky Dewell</t>
  </si>
  <si>
    <t>0011U00000NC9arQAD</t>
  </si>
  <si>
    <t>Virginia L Nymeyer</t>
  </si>
  <si>
    <t>0011U00000NC9asQAD</t>
  </si>
  <si>
    <t>Virginia Nevill Hoff</t>
  </si>
  <si>
    <t>0011U00000NC9aQQAT</t>
  </si>
  <si>
    <t>Ruth Vaughan</t>
  </si>
  <si>
    <t>0011U00000NC9aYQAT</t>
  </si>
  <si>
    <t>Sally R Carter Ballard</t>
  </si>
  <si>
    <t>0011U00000NC9avQAD</t>
  </si>
  <si>
    <t>Wayne W Kane</t>
  </si>
  <si>
    <t>0011U00000NC9awQAD</t>
  </si>
  <si>
    <t>Webster Diane Lakey</t>
  </si>
  <si>
    <t>0011U00000NC9b2QAD</t>
  </si>
  <si>
    <t>William Hale Kirby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</si>
</sst>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right"/>
    </xf>
    <xf numFmtId="1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1" fillId="2" borderId="0" xfId="0" applyFont="1" applyFill="1" applyBorder="1"/>
    <xf numFmtId="0" fontId="0" fillId="2" borderId="2" xfId="0" applyFill="1" applyBorder="1" applyAlignment="1">
      <alignment vertical="center"/>
    </xf>
    <xf numFmtId="1" fontId="0" fillId="2" borderId="2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1" fontId="0" fillId="2" borderId="0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1" fontId="0" fillId="2" borderId="7" xfId="0" applyNumberForma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right" vertical="center"/>
    </xf>
    <xf numFmtId="0" fontId="0" fillId="2" borderId="4" xfId="0" applyFill="1" applyBorder="1" applyAlignment="1">
      <alignment horizontal="right" vertical="center"/>
    </xf>
    <xf numFmtId="0" fontId="0" fillId="2" borderId="6" xfId="0" applyFill="1" applyBorder="1" applyAlignment="1">
      <alignment horizontal="right" vertical="center"/>
    </xf>
    <xf numFmtId="0" fontId="0" fillId="4" borderId="0" xfId="0" applyFill="1"/>
    <xf numFmtId="0" fontId="1" fillId="2" borderId="0" xfId="0" applyFont="1" applyFill="1"/>
    <xf numFmtId="0" fontId="0" fillId="5" borderId="0" xfId="0" applyFill="1"/>
    <xf numFmtId="0" fontId="0" fillId="2" borderId="0" xfId="0" applyFill="1" applyProtection="1">
      <protection locked="0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0" xfId="0" applyFill="1" applyBorder="1" applyAlignment="1" applyProtection="1">
      <alignment vertical="center"/>
      <protection locked="0"/>
    </xf>
    <xf numFmtId="0" fontId="0" fillId="3" borderId="7" xfId="0" applyFill="1" applyBorder="1" applyAlignment="1" applyProtection="1">
      <alignment vertical="center"/>
      <protection locked="0"/>
    </xf>
    <xf numFmtId="0" fontId="0" fillId="3" borderId="7" xfId="0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right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7" xfId="0" applyFill="1" applyBorder="1" applyProtection="1">
      <protection locked="0"/>
    </xf>
    <xf numFmtId="0" fontId="0" fillId="2" borderId="0" xfId="0" applyFill="1" applyAlignment="1" applyProtection="1">
      <alignment horizontal="left"/>
      <protection locked="0"/>
    </xf>
    <xf numFmtId="0" fontId="1" fillId="2" borderId="0" xfId="0" applyFont="1" applyFill="1" applyBorder="1" applyAlignment="1" applyProtection="1">
      <alignment horizontal="right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0" xfId="0" applyFill="1" applyBorder="1" applyProtection="1"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1" fontId="0" fillId="2" borderId="2" xfId="0" applyNumberFormat="1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1" fontId="0" fillId="2" borderId="0" xfId="0" applyNumberFormat="1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1" fontId="0" fillId="2" borderId="7" xfId="0" applyNumberFormat="1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4" borderId="0" xfId="0" applyFill="1" applyProtection="1">
      <protection locked="0"/>
    </xf>
    <xf numFmtId="0" fontId="0" fillId="2" borderId="7" xfId="0" applyFill="1" applyBorder="1" applyProtection="1"/>
    <xf numFmtId="0" fontId="0" fillId="2" borderId="0" xfId="0" applyFill="1" applyProtection="1"/>
    <xf numFmtId="0" fontId="3" fillId="2" borderId="0" xfId="0" applyFont="1" applyFill="1"/>
    <xf numFmtId="0" fontId="2" fillId="2" borderId="2" xfId="0" applyFont="1" applyFill="1" applyBorder="1" applyAlignment="1">
      <alignment horizontal="center"/>
    </xf>
    <xf numFmtId="0" fontId="0" fillId="2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</cellXfs>
  <cellStyles count="1">
    <cellStyle name="Normal" xfId="0" builtinId="0"/>
  </cellStyles>
  <dxfs count="8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NRA Spread</cx:v>
        </cx:txData>
      </cx:tx>
      <cx:spPr>
        <a:effectLst/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n>
                <a:solidFill>
                  <a:schemeClr val="accent1"/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a:defRPr>
          </a:pPr>
          <a:r>
            <a:rPr lang="en-US" sz="1400" b="0" i="0" u="none" strike="noStrik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 panose="020F0502020204030204"/>
            </a:rPr>
            <a:t>NRA Spread</a:t>
          </a:r>
        </a:p>
      </cx:txPr>
    </cx:title>
    <cx:plotArea>
      <cx:plotAreaRegion>
        <cx:series layoutId="boxWhisker" uniqueId="{F2F41BC1-BFE3-46CF-AD85-50DCC01B5A04}">
          <cx:tx>
            <cx:txData>
              <cx:f>_xlchart.v1.1</cx:f>
              <cx:v>Total NRA</cx:v>
            </cx:txData>
          </cx:tx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10000002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Distributed Accounts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n>
                <a:solidFill>
                  <a:schemeClr val="accent1"/>
                </a:solidFill>
              </a:ln>
            </a:defRPr>
          </a:pPr>
          <a:r>
            <a:rPr lang="en-US" sz="1400" b="0" i="0" u="none" strike="noStrik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 panose="020F0502020204030204"/>
            </a:rPr>
            <a:t>Distributed Accounts </a:t>
          </a:r>
        </a:p>
      </cx:txPr>
    </cx:title>
    <cx:plotArea>
      <cx:plotAreaRegion>
        <cx:plotSurface>
          <cx:spPr>
            <a:noFill/>
            <a:ln>
              <a:noFill/>
            </a:ln>
          </cx:spPr>
        </cx:plotSurface>
        <cx:series layoutId="boxWhisker" uniqueId="{4592BF72-963B-4D1A-A4E9-A847FC8CB108}">
          <cx:tx>
            <cx:txData>
              <cx:f>_xlchart.v1.4</cx:f>
              <cx:v>Account NRA</cx:v>
            </cx:txData>
          </cx:tx>
          <cx:dataId val="0"/>
          <cx:layoutPr>
            <cx:statistics quartileMethod="exclusive"/>
          </cx:layoutPr>
        </cx:series>
      </cx:plotAreaRegion>
      <cx:axis id="0">
        <cx:catScaling gapWidth="1.10000002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76200</xdr:rowOff>
    </xdr:from>
    <xdr:to>
      <xdr:col>8</xdr:col>
      <xdr:colOff>485775</xdr:colOff>
      <xdr:row>15</xdr:row>
      <xdr:rowOff>28575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FD6B45D-03B2-4ADF-B9F8-3CB07A687B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1175" y="76200"/>
              <a:ext cx="1800225" cy="2828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525780</xdr:colOff>
      <xdr:row>0</xdr:row>
      <xdr:rowOff>76200</xdr:rowOff>
    </xdr:from>
    <xdr:to>
      <xdr:col>17</xdr:col>
      <xdr:colOff>533400</xdr:colOff>
      <xdr:row>15</xdr:row>
      <xdr:rowOff>15240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E3287F5F-54F6-45FD-B0B5-3004EAAFA0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31405" y="76200"/>
              <a:ext cx="5494020" cy="28155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0</xdr:row>
      <xdr:rowOff>171450</xdr:rowOff>
    </xdr:from>
    <xdr:to>
      <xdr:col>1</xdr:col>
      <xdr:colOff>1076325</xdr:colOff>
      <xdr:row>3</xdr:row>
      <xdr:rowOff>19050</xdr:rowOff>
    </xdr:to>
    <xdr:sp macro="[0]!Clear_Loaded_Account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258AC3F-F570-4CE2-8DBB-29FAFFE1148A}"/>
            </a:ext>
          </a:extLst>
        </xdr:cNvPr>
        <xdr:cNvSpPr/>
      </xdr:nvSpPr>
      <xdr:spPr>
        <a:xfrm>
          <a:off x="247650" y="171450"/>
          <a:ext cx="107632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Accounts</a:t>
          </a:r>
        </a:p>
      </xdr:txBody>
    </xdr:sp>
    <xdr:clientData/>
  </xdr:twoCellAnchor>
  <xdr:twoCellAnchor>
    <xdr:from>
      <xdr:col>2</xdr:col>
      <xdr:colOff>123825</xdr:colOff>
      <xdr:row>0</xdr:row>
      <xdr:rowOff>158115</xdr:rowOff>
    </xdr:from>
    <xdr:to>
      <xdr:col>2</xdr:col>
      <xdr:colOff>1205865</xdr:colOff>
      <xdr:row>3</xdr:row>
      <xdr:rowOff>5715</xdr:rowOff>
    </xdr:to>
    <xdr:sp macro="[0]!Clear_Disto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EB46AB92-0FCE-46C3-BAA1-9D88C71F1AD0}"/>
            </a:ext>
          </a:extLst>
        </xdr:cNvPr>
        <xdr:cNvSpPr/>
      </xdr:nvSpPr>
      <xdr:spPr>
        <a:xfrm>
          <a:off x="1457325" y="158115"/>
          <a:ext cx="1082040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Distro</a:t>
          </a:r>
        </a:p>
      </xdr:txBody>
    </xdr:sp>
    <xdr:clientData/>
  </xdr:twoCellAnchor>
  <xdr:twoCellAnchor>
    <xdr:from>
      <xdr:col>2</xdr:col>
      <xdr:colOff>125730</xdr:colOff>
      <xdr:row>3</xdr:row>
      <xdr:rowOff>112395</xdr:rowOff>
    </xdr:from>
    <xdr:to>
      <xdr:col>2</xdr:col>
      <xdr:colOff>1198245</xdr:colOff>
      <xdr:row>5</xdr:row>
      <xdr:rowOff>140970</xdr:rowOff>
    </xdr:to>
    <xdr:sp macro="[0]!Runsolver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D6957A7B-F5C7-4832-BE42-5A2566E2299A}"/>
            </a:ext>
          </a:extLst>
        </xdr:cNvPr>
        <xdr:cNvSpPr/>
      </xdr:nvSpPr>
      <xdr:spPr>
        <a:xfrm>
          <a:off x="1459230" y="655320"/>
          <a:ext cx="107251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Solver</a:t>
          </a:r>
        </a:p>
      </xdr:txBody>
    </xdr:sp>
    <xdr:clientData/>
  </xdr:twoCellAnchor>
  <xdr:twoCellAnchor>
    <xdr:from>
      <xdr:col>2</xdr:col>
      <xdr:colOff>133350</xdr:colOff>
      <xdr:row>6</xdr:row>
      <xdr:rowOff>47625</xdr:rowOff>
    </xdr:from>
    <xdr:to>
      <xdr:col>2</xdr:col>
      <xdr:colOff>1196340</xdr:colOff>
      <xdr:row>8</xdr:row>
      <xdr:rowOff>72390</xdr:rowOff>
    </xdr:to>
    <xdr:sp macro="[0]!Export_Results_2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853669D1-A276-4242-A96B-910AE0719A5B}"/>
            </a:ext>
          </a:extLst>
        </xdr:cNvPr>
        <xdr:cNvSpPr/>
      </xdr:nvSpPr>
      <xdr:spPr>
        <a:xfrm>
          <a:off x="1466850" y="1143000"/>
          <a:ext cx="1062990" cy="38671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 Results</a:t>
          </a:r>
        </a:p>
      </xdr:txBody>
    </xdr:sp>
    <xdr:clientData/>
  </xdr:twoCellAnchor>
  <xdr:twoCellAnchor>
    <xdr:from>
      <xdr:col>1</xdr:col>
      <xdr:colOff>0</xdr:colOff>
      <xdr:row>6</xdr:row>
      <xdr:rowOff>59055</xdr:rowOff>
    </xdr:from>
    <xdr:to>
      <xdr:col>1</xdr:col>
      <xdr:colOff>1068705</xdr:colOff>
      <xdr:row>8</xdr:row>
      <xdr:rowOff>83820</xdr:rowOff>
    </xdr:to>
    <xdr:sp macro="[0]!Load_Accounts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BE38FF08-BCB2-4AF7-9FE9-1D0B79F93275}"/>
            </a:ext>
          </a:extLst>
        </xdr:cNvPr>
        <xdr:cNvSpPr/>
      </xdr:nvSpPr>
      <xdr:spPr>
        <a:xfrm>
          <a:off x="247650" y="1154430"/>
          <a:ext cx="1068705" cy="38671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Load Accounts</a:t>
          </a:r>
        </a:p>
      </xdr:txBody>
    </xdr:sp>
    <xdr:clientData/>
  </xdr:twoCellAnchor>
  <xdr:twoCellAnchor>
    <xdr:from>
      <xdr:col>1</xdr:col>
      <xdr:colOff>0</xdr:colOff>
      <xdr:row>3</xdr:row>
      <xdr:rowOff>116205</xdr:rowOff>
    </xdr:from>
    <xdr:to>
      <xdr:col>1</xdr:col>
      <xdr:colOff>1076325</xdr:colOff>
      <xdr:row>5</xdr:row>
      <xdr:rowOff>142875</xdr:rowOff>
    </xdr:to>
    <xdr:sp macro="[0]!Refresh_Reports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7E4C528F-E79B-4F26-B7BA-42C8C79C8ED8}"/>
            </a:ext>
          </a:extLst>
        </xdr:cNvPr>
        <xdr:cNvSpPr/>
      </xdr:nvSpPr>
      <xdr:spPr>
        <a:xfrm>
          <a:off x="247650" y="659130"/>
          <a:ext cx="1076325" cy="38862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</a:t>
          </a:r>
          <a:r>
            <a:rPr lang="en-US" sz="1100" baseline="0"/>
            <a:t> Report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8E901D-BC4A-4892-8D00-B17CEC77EE20}" autoFormatId="16" applyNumberFormats="0" applyBorderFormats="0" applyFontFormats="0" applyPatternFormats="0" applyAlignmentFormats="0" applyWidthHeightFormats="0">
  <queryTableRefresh nextId="8">
    <queryTableFields count="5">
      <queryTableField id="4" name="Case Safe Mineral Owner ID" tableColumnId="4"/>
      <queryTableField id="1" name="Account Name" tableColumnId="1"/>
      <queryTableField id="3" name="Account Owner" tableColumnId="3"/>
      <queryTableField id="2" name="Total NRA" tableColumnId="2"/>
      <queryTableField id="7" name="Created Dat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439D175-3B2A-4965-8266-EAF27F42D080}" autoFormatId="16" applyNumberFormats="0" applyBorderFormats="0" applyFontFormats="0" applyPatternFormats="0" applyAlignmentFormats="0" applyWidthHeightFormats="0">
  <queryTableRefresh nextId="3">
    <queryTableFields count="2">
      <queryTableField id="1" name="Full Name" tableColumnId="1"/>
      <queryTableField id="2" name="User 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AA4184-2583-4481-8D8A-490DF780D95E}" name="New_Mineral_Owner_Distribution" displayName="New_Mineral_Owner_Distribution" ref="A1:E728" tableType="queryTable" totalsRowShown="0">
  <autoFilter ref="A1:E728" xr:uid="{49D296EA-1F9A-4EE0-9258-FA65B95B74A3}">
    <filterColumn colId="3">
      <customFilters and="1">
        <customFilter operator="greaterThan" val="30"/>
        <customFilter operator="lessThan" val="50"/>
      </customFilters>
    </filterColumn>
  </autoFilter>
  <sortState xmlns:xlrd2="http://schemas.microsoft.com/office/spreadsheetml/2017/richdata2" ref="A2:E728">
    <sortCondition ref="D1:D728"/>
  </sortState>
  <tableColumns count="5">
    <tableColumn id="4" xr3:uid="{F52C1CE4-9E6E-4AD8-95C9-9C952BF952AE}" uniqueName="4" name="Case Safe Mineral Owner ID" queryTableFieldId="4" dataDxfId="5"/>
    <tableColumn id="1" xr3:uid="{FFB8EFFF-05FF-4944-8878-7404A21438DA}" uniqueName="1" name="Account Name" queryTableFieldId="1" dataDxfId="4"/>
    <tableColumn id="3" xr3:uid="{0C6AB066-AEBB-47DD-B295-6D464D3E54C7}" uniqueName="3" name="Account Owner" queryTableFieldId="3" dataDxfId="3"/>
    <tableColumn id="2" xr3:uid="{B10335DF-AF64-4822-AA4F-00E6560D026B}" uniqueName="2" name="Total NRA" queryTableFieldId="2"/>
    <tableColumn id="5" xr3:uid="{17F50FB8-8458-4ADC-B82C-EEE00072B2A2}" uniqueName="5" name="Created Date" queryTableFieldId="7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2B7AA-125C-4BDE-A5EC-7A07F37B0896}" name="USER_ID" displayName="USER_ID" ref="A1:B6" tableType="queryTable" totalsRowShown="0">
  <autoFilter ref="A1:B6" xr:uid="{0ADE6506-873D-4E62-8F47-9F0A8D273803}"/>
  <tableColumns count="2">
    <tableColumn id="1" xr3:uid="{67B5F056-2B0D-4E5C-9723-AD91509F7D5B}" uniqueName="1" name="Full Name" queryTableFieldId="1" dataDxfId="1"/>
    <tableColumn id="2" xr3:uid="{82A41650-77D0-466C-B203-030D6F9BC3C2}" uniqueName="2" name="User ID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2D39D-3BF2-41B4-8AB0-7D038173A9FC}">
  <sheetPr codeName="Sheet1"/>
  <dimension ref="A1:AE49"/>
  <sheetViews>
    <sheetView workbookViewId="0">
      <selection activeCell="E3" sqref="E3"/>
    </sheetView>
  </sheetViews>
  <sheetFormatPr defaultRowHeight="15" x14ac:dyDescent="0.25"/>
  <cols>
    <col min="1" max="1" width="3.7109375" customWidth="1"/>
    <col min="2" max="2" width="15.7109375" bestFit="1" customWidth="1"/>
    <col min="3" max="3" width="17.7109375" bestFit="1" customWidth="1"/>
    <col min="4" max="4" width="25.28515625" bestFit="1" customWidth="1"/>
    <col min="5" max="5" width="19.85546875" customWidth="1"/>
    <col min="7" max="7" width="3" customWidth="1"/>
  </cols>
  <sheetData>
    <row r="1" spans="1:3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7"/>
    </row>
    <row r="2" spans="1:31" x14ac:dyDescent="0.25">
      <c r="A2" s="2"/>
      <c r="B2" s="2"/>
      <c r="C2" s="2"/>
      <c r="D2" s="5" t="s">
        <v>26</v>
      </c>
      <c r="E2" s="3">
        <f>IF(COUNTA(B11:B30)=0,"Enter Landmen!!",COUNTA(B11:B30))</f>
        <v>1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7"/>
    </row>
    <row r="3" spans="1:31" x14ac:dyDescent="0.25">
      <c r="A3" s="2"/>
      <c r="B3" s="2"/>
      <c r="C3" s="2"/>
      <c r="D3" s="5" t="s">
        <v>25</v>
      </c>
      <c r="E3" s="4">
        <f>IF(ACCOUNT_DISTRO!B2=0,"Load Accounts!!",ACCOUNT_DISTRO!B2)</f>
        <v>200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7"/>
    </row>
    <row r="4" spans="1:31" x14ac:dyDescent="0.25">
      <c r="A4" s="2"/>
      <c r="B4" s="2"/>
      <c r="C4" s="2"/>
      <c r="D4" s="5" t="s">
        <v>24</v>
      </c>
      <c r="E4" s="6">
        <f>IF(ACCOUNT_DISTRO!B3=0,"Load Accounts!!",ACCOUNT_DISTRO!B3)</f>
        <v>207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7"/>
    </row>
    <row r="5" spans="1:31" x14ac:dyDescent="0.25">
      <c r="A5" s="2"/>
      <c r="B5" s="2"/>
      <c r="C5" s="2"/>
      <c r="D5" s="5" t="s">
        <v>23</v>
      </c>
      <c r="E5" s="4">
        <f>IFERROR(ACCOUNT_DISTRO!B4,"Enter Landmen!!")</f>
        <v>200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7"/>
    </row>
    <row r="6" spans="1:31" ht="15.75" thickBot="1" x14ac:dyDescent="0.3">
      <c r="A6" s="2"/>
      <c r="B6" s="2"/>
      <c r="C6" s="2"/>
      <c r="D6" s="5" t="s">
        <v>22</v>
      </c>
      <c r="E6" s="32">
        <v>1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7"/>
    </row>
    <row r="7" spans="1:3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7"/>
    </row>
    <row r="8" spans="1:3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7"/>
    </row>
    <row r="9" spans="1:3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7"/>
    </row>
    <row r="10" spans="1:31" ht="15.75" thickBot="1" x14ac:dyDescent="0.3">
      <c r="A10" s="9">
        <v>0</v>
      </c>
      <c r="B10" s="8" t="s">
        <v>18</v>
      </c>
      <c r="C10" s="8" t="s">
        <v>0</v>
      </c>
      <c r="D10" s="8" t="s">
        <v>2</v>
      </c>
      <c r="E10" s="8" t="s">
        <v>19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7"/>
    </row>
    <row r="11" spans="1:31" x14ac:dyDescent="0.25">
      <c r="A11" s="22">
        <v>1</v>
      </c>
      <c r="B11" s="29" t="s">
        <v>1460</v>
      </c>
      <c r="C11" s="10" t="str">
        <f>IF(B11="","",VLOOKUP(B11,USER_ID[#All],2,0))</f>
        <v>0051U000002mMTi</v>
      </c>
      <c r="D11" s="11">
        <f>IF(B11="","",SUMIF(ACCOUNT_DISTRO!$L$2:$L$208,MASTER!A11,ACCOUNT_DISTRO!$K$2:$K$208))</f>
        <v>0</v>
      </c>
      <c r="E11" s="12">
        <f>IF(B11="","",ACCOUNT_DISTRO!D10)</f>
        <v>0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7"/>
    </row>
    <row r="12" spans="1:31" x14ac:dyDescent="0.25">
      <c r="A12" s="23">
        <v>2</v>
      </c>
      <c r="B12" s="30"/>
      <c r="C12" s="13" t="str">
        <f>IF(B12="","",VLOOKUP(B12,USER_ID[#All],2,0))</f>
        <v/>
      </c>
      <c r="D12" s="14" t="str">
        <f>IF(B12="","",SUMIF(ACCOUNT_DISTRO!$L$2:$L$208,MASTER!A12,ACCOUNT_DISTRO!$K$2:$K$208))</f>
        <v/>
      </c>
      <c r="E12" s="15" t="str">
        <f>IF(B12="","",ACCOUNT_DISTRO!D11)</f>
        <v/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7"/>
    </row>
    <row r="13" spans="1:31" x14ac:dyDescent="0.25">
      <c r="A13" s="23">
        <v>3</v>
      </c>
      <c r="B13" s="30"/>
      <c r="C13" s="13" t="str">
        <f>IF(B13="","",VLOOKUP(B13,USER_ID[#All],2,0))</f>
        <v/>
      </c>
      <c r="D13" s="14" t="str">
        <f>IF(B13="","",SUMIF(ACCOUNT_DISTRO!$L$2:$L$208,MASTER!A13,ACCOUNT_DISTRO!$K$2:$K$208))</f>
        <v/>
      </c>
      <c r="E13" s="15" t="str">
        <f>IF(B13="","",ACCOUNT_DISTRO!D12)</f>
        <v/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7"/>
    </row>
    <row r="14" spans="1:31" x14ac:dyDescent="0.25">
      <c r="A14" s="23">
        <v>4</v>
      </c>
      <c r="B14" s="30"/>
      <c r="C14" s="13" t="str">
        <f>IF(B14="","",VLOOKUP(B14,USER_ID[#All],2,0))</f>
        <v/>
      </c>
      <c r="D14" s="14" t="str">
        <f>IF(B14="","",SUMIF(ACCOUNT_DISTRO!$L$2:$L$208,MASTER!A14,ACCOUNT_DISTRO!$K$2:$K$208))</f>
        <v/>
      </c>
      <c r="E14" s="15" t="str">
        <f>IF(B14="","",ACCOUNT_DISTRO!D13)</f>
        <v/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7"/>
    </row>
    <row r="15" spans="1:31" x14ac:dyDescent="0.25">
      <c r="A15" s="23">
        <v>5</v>
      </c>
      <c r="B15" s="30"/>
      <c r="C15" s="13" t="str">
        <f>IF(B15="","",VLOOKUP(B15,USER_ID[#All],2,0))</f>
        <v/>
      </c>
      <c r="D15" s="14" t="str">
        <f>IF(B15="","",SUMIF(ACCOUNT_DISTRO!$L$2:$L$208,MASTER!A15,ACCOUNT_DISTRO!$K$2:$K$208))</f>
        <v/>
      </c>
      <c r="E15" s="15" t="str">
        <f>IF(B15="","",ACCOUNT_DISTRO!D14)</f>
        <v/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7"/>
    </row>
    <row r="16" spans="1:31" x14ac:dyDescent="0.25">
      <c r="A16" s="23">
        <v>6</v>
      </c>
      <c r="B16" s="30"/>
      <c r="C16" s="13" t="str">
        <f>IF(B16="","",VLOOKUP(B16,USER_ID[#All],2,0))</f>
        <v/>
      </c>
      <c r="D16" s="14" t="str">
        <f>IF(B16="","",SUMIF(ACCOUNT_DISTRO!$L$2:$L$208,MASTER!A16,ACCOUNT_DISTRO!$K$2:$K$208))</f>
        <v/>
      </c>
      <c r="E16" s="15" t="str">
        <f>IF(B16="","",ACCOUNT_DISTRO!D15)</f>
        <v/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7"/>
    </row>
    <row r="17" spans="1:31" x14ac:dyDescent="0.25">
      <c r="A17" s="23">
        <v>7</v>
      </c>
      <c r="B17" s="30"/>
      <c r="C17" s="13" t="str">
        <f>IF(B17="","",VLOOKUP(B17,USER_ID[#All],2,0))</f>
        <v/>
      </c>
      <c r="D17" s="14" t="str">
        <f>IF(B17="","",SUMIF(ACCOUNT_DISTRO!$L$2:$L$208,MASTER!A17,ACCOUNT_DISTRO!$K$2:$K$208))</f>
        <v/>
      </c>
      <c r="E17" s="15" t="str">
        <f>IF(B17="","",ACCOUNT_DISTRO!D16)</f>
        <v/>
      </c>
      <c r="F17" s="2"/>
      <c r="G17" s="53">
        <v>1</v>
      </c>
      <c r="H17" s="53" t="s">
        <v>38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7"/>
    </row>
    <row r="18" spans="1:31" x14ac:dyDescent="0.25">
      <c r="A18" s="23">
        <v>8</v>
      </c>
      <c r="B18" s="30"/>
      <c r="C18" s="13" t="str">
        <f>IF(B18="","",VLOOKUP(B18,USER_ID[#All],2,0))</f>
        <v/>
      </c>
      <c r="D18" s="14" t="str">
        <f>IF(B18="","",SUMIF(ACCOUNT_DISTRO!$L$2:$L$208,MASTER!A18,ACCOUNT_DISTRO!$K$2:$K$208))</f>
        <v/>
      </c>
      <c r="E18" s="15" t="str">
        <f>IF(B18="","",ACCOUNT_DISTRO!D17)</f>
        <v/>
      </c>
      <c r="F18" s="2"/>
      <c r="G18" s="53">
        <v>2</v>
      </c>
      <c r="H18" s="53" t="s">
        <v>36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7"/>
    </row>
    <row r="19" spans="1:31" x14ac:dyDescent="0.25">
      <c r="A19" s="23">
        <v>9</v>
      </c>
      <c r="B19" s="30"/>
      <c r="C19" s="13" t="str">
        <f>IF(B19="","",VLOOKUP(B19,USER_ID[#All],2,0))</f>
        <v/>
      </c>
      <c r="D19" s="14" t="str">
        <f>IF(B19="","",SUMIF(ACCOUNT_DISTRO!$L$2:$L$208,MASTER!A19,ACCOUNT_DISTRO!$K$2:$K$208))</f>
        <v/>
      </c>
      <c r="E19" s="15" t="str">
        <f>IF(B19="","",ACCOUNT_DISTRO!D18)</f>
        <v/>
      </c>
      <c r="F19" s="2"/>
      <c r="G19" s="53">
        <v>3</v>
      </c>
      <c r="H19" s="53" t="s">
        <v>35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7"/>
    </row>
    <row r="20" spans="1:31" x14ac:dyDescent="0.25">
      <c r="A20" s="23">
        <v>10</v>
      </c>
      <c r="B20" s="30"/>
      <c r="C20" s="13" t="str">
        <f>IF(B20="","",VLOOKUP(B20,USER_ID[#All],2,0))</f>
        <v/>
      </c>
      <c r="D20" s="14" t="str">
        <f>IF(B20="","",SUMIF(ACCOUNT_DISTRO!$L$2:$L$208,MASTER!A20,ACCOUNT_DISTRO!$K$2:$K$208))</f>
        <v/>
      </c>
      <c r="E20" s="15" t="str">
        <f>IF(B20="","",ACCOUNT_DISTRO!D19)</f>
        <v/>
      </c>
      <c r="F20" s="2"/>
      <c r="G20" s="53">
        <v>4</v>
      </c>
      <c r="H20" s="53" t="s">
        <v>37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7"/>
    </row>
    <row r="21" spans="1:31" x14ac:dyDescent="0.25">
      <c r="A21" s="23">
        <v>11</v>
      </c>
      <c r="B21" s="30"/>
      <c r="C21" s="13" t="str">
        <f>IF(B21="","",VLOOKUP(B21,USER_ID[#All],2,0))</f>
        <v/>
      </c>
      <c r="D21" s="14" t="str">
        <f>IF(B21="","",SUMIF(ACCOUNT_DISTRO!$L$2:$L$208,MASTER!A21,ACCOUNT_DISTRO!$K$2:$K$208))</f>
        <v/>
      </c>
      <c r="E21" s="15" t="str">
        <f>IF(B21="","",ACCOUNT_DISTRO!D20)</f>
        <v/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7"/>
    </row>
    <row r="22" spans="1:31" x14ac:dyDescent="0.25">
      <c r="A22" s="23">
        <v>12</v>
      </c>
      <c r="B22" s="30"/>
      <c r="C22" s="13" t="str">
        <f>IF(B22="","",VLOOKUP(B22,USER_ID[#All],2,0))</f>
        <v/>
      </c>
      <c r="D22" s="14" t="str">
        <f>IF(B22="","",SUMIF(ACCOUNT_DISTRO!$L$2:$L$208,MASTER!A22,ACCOUNT_DISTRO!$K$2:$K$208))</f>
        <v/>
      </c>
      <c r="E22" s="15" t="str">
        <f>IF(B22="","",ACCOUNT_DISTRO!D21)</f>
        <v/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7"/>
    </row>
    <row r="23" spans="1:31" x14ac:dyDescent="0.25">
      <c r="A23" s="23">
        <v>13</v>
      </c>
      <c r="B23" s="30"/>
      <c r="C23" s="13" t="str">
        <f>IF(B23="","",VLOOKUP(B23,USER_ID[#All],2,0))</f>
        <v/>
      </c>
      <c r="D23" s="14" t="str">
        <f>IF(B23="","",SUMIF(ACCOUNT_DISTRO!$L$2:$L$208,MASTER!A23,ACCOUNT_DISTRO!$K$2:$K$208))</f>
        <v/>
      </c>
      <c r="E23" s="15" t="str">
        <f>IF(B23="","",ACCOUNT_DISTRO!D22)</f>
        <v/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7"/>
    </row>
    <row r="24" spans="1:31" x14ac:dyDescent="0.25">
      <c r="A24" s="23">
        <v>14</v>
      </c>
      <c r="B24" s="30"/>
      <c r="C24" s="13" t="str">
        <f>IF(B24="","",VLOOKUP(B24,USER_ID[#All],2,0))</f>
        <v/>
      </c>
      <c r="D24" s="14" t="str">
        <f>IF(B24="","",SUMIF(ACCOUNT_DISTRO!$L$2:$L$208,MASTER!A24,ACCOUNT_DISTRO!$K$2:$K$208))</f>
        <v/>
      </c>
      <c r="E24" s="15" t="str">
        <f>IF(B24="","",ACCOUNT_DISTRO!D23)</f>
        <v/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7"/>
    </row>
    <row r="25" spans="1:31" x14ac:dyDescent="0.25">
      <c r="A25" s="23">
        <v>15</v>
      </c>
      <c r="B25" s="30"/>
      <c r="C25" s="13" t="str">
        <f>IF(B25="","",VLOOKUP(B25,USER_ID[#All],2,0))</f>
        <v/>
      </c>
      <c r="D25" s="14" t="str">
        <f>IF(B25="","",SUMIF(ACCOUNT_DISTRO!$L$2:$L$208,MASTER!A25,ACCOUNT_DISTRO!$K$2:$K$208))</f>
        <v/>
      </c>
      <c r="E25" s="15" t="str">
        <f>IF(B25="","",ACCOUNT_DISTRO!D24)</f>
        <v/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7"/>
    </row>
    <row r="26" spans="1:31" x14ac:dyDescent="0.25">
      <c r="A26" s="23">
        <v>16</v>
      </c>
      <c r="B26" s="30"/>
      <c r="C26" s="13" t="str">
        <f>IF(B26="","",VLOOKUP(B26,USER_ID[#All],2,0))</f>
        <v/>
      </c>
      <c r="D26" s="14" t="str">
        <f>IF(B26="","",SUMIF(ACCOUNT_DISTRO!$L$2:$L$208,MASTER!A26,ACCOUNT_DISTRO!$K$2:$K$208))</f>
        <v/>
      </c>
      <c r="E26" s="15" t="str">
        <f>IF(B26="","",ACCOUNT_DISTRO!D25)</f>
        <v/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7"/>
    </row>
    <row r="27" spans="1:31" x14ac:dyDescent="0.25">
      <c r="A27" s="23">
        <v>17</v>
      </c>
      <c r="B27" s="30"/>
      <c r="C27" s="13" t="str">
        <f>IF(B27="","",VLOOKUP(B27,USER_ID[#All],2,0))</f>
        <v/>
      </c>
      <c r="D27" s="14" t="str">
        <f>IF(B27="","",SUMIF(ACCOUNT_DISTRO!$L$2:$L$208,MASTER!A27,ACCOUNT_DISTRO!$K$2:$K$208))</f>
        <v/>
      </c>
      <c r="E27" s="15" t="str">
        <f>IF(B27="","",ACCOUNT_DISTRO!D26)</f>
        <v/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7"/>
    </row>
    <row r="28" spans="1:31" x14ac:dyDescent="0.25">
      <c r="A28" s="23">
        <v>18</v>
      </c>
      <c r="B28" s="30"/>
      <c r="C28" s="13" t="str">
        <f>IF(B28="","",VLOOKUP(B28,USER_ID[#All],2,0))</f>
        <v/>
      </c>
      <c r="D28" s="14" t="str">
        <f>IF(B28="","",SUMIF(ACCOUNT_DISTRO!$L$2:$L$208,MASTER!A28,ACCOUNT_DISTRO!$K$2:$K$208))</f>
        <v/>
      </c>
      <c r="E28" s="15" t="str">
        <f>IF(B28="","",ACCOUNT_DISTRO!D27)</f>
        <v/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7"/>
    </row>
    <row r="29" spans="1:31" x14ac:dyDescent="0.25">
      <c r="A29" s="23">
        <v>19</v>
      </c>
      <c r="B29" s="30"/>
      <c r="C29" s="13" t="str">
        <f>IF(B29="","",VLOOKUP(B29,USER_ID[#All],2,0))</f>
        <v/>
      </c>
      <c r="D29" s="14" t="str">
        <f>IF(B29="","",SUMIF(ACCOUNT_DISTRO!$L$2:$L$208,MASTER!A29,ACCOUNT_DISTRO!$K$2:$K$208))</f>
        <v/>
      </c>
      <c r="E29" s="15" t="str">
        <f>IF(B29="","",ACCOUNT_DISTRO!D28)</f>
        <v/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7"/>
    </row>
    <row r="30" spans="1:31" ht="15.75" thickBot="1" x14ac:dyDescent="0.3">
      <c r="A30" s="24">
        <v>20</v>
      </c>
      <c r="B30" s="31"/>
      <c r="C30" s="16" t="str">
        <f>IF(B30="","",VLOOKUP(B30,USER_ID[#All],2,0))</f>
        <v/>
      </c>
      <c r="D30" s="17" t="str">
        <f>IF(B30="","",SUMIF(ACCOUNT_DISTRO!$L$2:$L$208,MASTER!A30,ACCOUNT_DISTRO!$K$2:$K$208))</f>
        <v/>
      </c>
      <c r="E30" s="18" t="str">
        <f>IF(B30="","",ACCOUNT_DISTRO!D29)</f>
        <v/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7"/>
    </row>
    <row r="31" spans="1:31" x14ac:dyDescent="0.25">
      <c r="A31" s="2"/>
      <c r="B31" s="26" t="s">
        <v>34</v>
      </c>
      <c r="C31" s="54" t="str">
        <f>IF(D9="","","Password: Fossforward")</f>
        <v/>
      </c>
      <c r="D31" s="54"/>
      <c r="E31" s="54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7"/>
    </row>
    <row r="32" spans="1:3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7"/>
    </row>
    <row r="33" spans="1:3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7"/>
    </row>
    <row r="34" spans="1:3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7"/>
    </row>
    <row r="35" spans="1:3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7"/>
    </row>
    <row r="36" spans="1:3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7"/>
    </row>
    <row r="37" spans="1:3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7"/>
    </row>
    <row r="38" spans="1:3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7"/>
    </row>
    <row r="39" spans="1:3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7"/>
    </row>
    <row r="40" spans="1:3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7"/>
    </row>
    <row r="41" spans="1:3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7"/>
    </row>
    <row r="42" spans="1:3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7"/>
    </row>
    <row r="43" spans="1:3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7"/>
    </row>
    <row r="44" spans="1:3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7"/>
    </row>
    <row r="45" spans="1:3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7"/>
    </row>
    <row r="46" spans="1:3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7"/>
    </row>
    <row r="47" spans="1:3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7"/>
    </row>
    <row r="48" spans="1:3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7"/>
    </row>
    <row r="49" spans="1:3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</row>
  </sheetData>
  <sheetProtection selectLockedCells="1"/>
  <protectedRanges>
    <protectedRange algorithmName="SHA-512" hashValue="dKHwz5MWS2ogClDp+gEzbwYqdtPYt8FyH75PTA1JlcClQc3CnwFfgLp4CSvwB2SFhBdBSnC2UACwq34IUiNiJQ==" saltValue="XYMLEP1ux0S5YUjZkX3Cfw==" spinCount="100000" sqref="B11:B30 E6" name="Master_Inputs"/>
  </protectedRanges>
  <mergeCells count="1">
    <mergeCell ref="C31:E31"/>
  </mergeCells>
  <conditionalFormatting sqref="E2:E5">
    <cfRule type="containsText" dxfId="7" priority="1" operator="containsText" text="Load Accounts!!">
      <formula>NOT(ISERROR(SEARCH("Load Accounts!!",E2)))</formula>
    </cfRule>
    <cfRule type="containsText" dxfId="6" priority="2" operator="containsText" text="Enter Landmen!!">
      <formula>NOT(ISERROR(SEARCH("Enter Landmen!!",E2)))</formula>
    </cfRule>
  </conditionalFormatting>
  <dataValidations count="1">
    <dataValidation type="list" allowBlank="1" showInputMessage="1" showErrorMessage="1" sqref="E6" xr:uid="{A52103FC-D30C-4D2F-8684-E6863288B009}">
      <formula1>$A$10:$A$30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DFBDDF-971A-4105-8F7C-49CFA5648EC4}">
          <x14:formula1>
            <xm:f>USER!$A$2:$A$21</xm:f>
          </x14:formula1>
          <xm:sqref>B11:B30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0EE6-EA0F-401F-B9A5-2486AE8C16C2}">
  <sheetPr codeName="Sheet4"/>
  <dimension ref="A1:E728"/>
  <sheetViews>
    <sheetView topLeftCell="A558" workbookViewId="0">
      <selection activeCell="O579" sqref="O579"/>
    </sheetView>
  </sheetViews>
  <sheetFormatPr defaultRowHeight="15" x14ac:dyDescent="0.25"/>
  <cols>
    <col min="1" max="1" width="28.42578125" bestFit="1" customWidth="1"/>
    <col min="2" max="2" width="75.42578125" bestFit="1" customWidth="1"/>
    <col min="3" max="3" width="17" bestFit="1" customWidth="1"/>
    <col min="4" max="4" width="12" bestFit="1" customWidth="1"/>
    <col min="5" max="5" width="14.85546875" bestFit="1" customWidth="1"/>
  </cols>
  <sheetData>
    <row r="1" spans="1:5" x14ac:dyDescent="0.25">
      <c r="A1" t="s">
        <v>15</v>
      </c>
      <c r="B1" t="s">
        <v>13</v>
      </c>
      <c r="C1" t="s">
        <v>14</v>
      </c>
      <c r="D1" t="s">
        <v>2</v>
      </c>
      <c r="E1" t="s">
        <v>39</v>
      </c>
    </row>
    <row r="2" spans="1:5" hidden="1" x14ac:dyDescent="0.25">
      <c r="A2" s="1" t="s">
        <v>1543</v>
      </c>
      <c r="B2" s="1" t="s">
        <v>1544</v>
      </c>
      <c r="C2" s="1" t="s">
        <v>5</v>
      </c>
      <c r="D2">
        <v>0</v>
      </c>
      <c r="E2" s="1" t="s">
        <v>1545</v>
      </c>
    </row>
    <row r="3" spans="1:5" hidden="1" x14ac:dyDescent="0.25">
      <c r="A3" s="1" t="s">
        <v>1546</v>
      </c>
      <c r="B3" s="1" t="s">
        <v>1547</v>
      </c>
      <c r="C3" s="1" t="s">
        <v>5</v>
      </c>
      <c r="D3">
        <v>0</v>
      </c>
      <c r="E3" s="1" t="s">
        <v>1545</v>
      </c>
    </row>
    <row r="4" spans="1:5" hidden="1" x14ac:dyDescent="0.25">
      <c r="A4" s="1" t="s">
        <v>1548</v>
      </c>
      <c r="B4" s="1" t="s">
        <v>1549</v>
      </c>
      <c r="C4" s="1" t="s">
        <v>5</v>
      </c>
      <c r="D4">
        <v>0</v>
      </c>
      <c r="E4" s="1" t="s">
        <v>1545</v>
      </c>
    </row>
    <row r="5" spans="1:5" hidden="1" x14ac:dyDescent="0.25">
      <c r="A5" s="1" t="s">
        <v>1550</v>
      </c>
      <c r="B5" s="1" t="s">
        <v>1551</v>
      </c>
      <c r="C5" s="1" t="s">
        <v>5</v>
      </c>
      <c r="D5">
        <v>0</v>
      </c>
      <c r="E5" s="1" t="s">
        <v>1545</v>
      </c>
    </row>
    <row r="6" spans="1:5" hidden="1" x14ac:dyDescent="0.25">
      <c r="A6" s="1" t="s">
        <v>1552</v>
      </c>
      <c r="B6" s="1" t="s">
        <v>1553</v>
      </c>
      <c r="C6" s="1" t="s">
        <v>5</v>
      </c>
      <c r="D6">
        <v>0</v>
      </c>
      <c r="E6" s="1" t="s">
        <v>1545</v>
      </c>
    </row>
    <row r="7" spans="1:5" hidden="1" x14ac:dyDescent="0.25">
      <c r="A7" s="1" t="s">
        <v>1554</v>
      </c>
      <c r="B7" s="1" t="s">
        <v>1555</v>
      </c>
      <c r="C7" s="1" t="s">
        <v>5</v>
      </c>
      <c r="D7">
        <v>0</v>
      </c>
      <c r="E7" s="1" t="s">
        <v>1545</v>
      </c>
    </row>
    <row r="8" spans="1:5" hidden="1" x14ac:dyDescent="0.25">
      <c r="A8" s="1" t="s">
        <v>1556</v>
      </c>
      <c r="B8" s="1" t="s">
        <v>1557</v>
      </c>
      <c r="C8" s="1" t="s">
        <v>5</v>
      </c>
      <c r="D8">
        <v>0</v>
      </c>
      <c r="E8" s="1" t="s">
        <v>1545</v>
      </c>
    </row>
    <row r="9" spans="1:5" hidden="1" x14ac:dyDescent="0.25">
      <c r="A9" s="1" t="s">
        <v>1558</v>
      </c>
      <c r="B9" s="1" t="s">
        <v>1559</v>
      </c>
      <c r="C9" s="1" t="s">
        <v>5</v>
      </c>
      <c r="D9">
        <v>0</v>
      </c>
      <c r="E9" s="1" t="s">
        <v>1545</v>
      </c>
    </row>
    <row r="10" spans="1:5" hidden="1" x14ac:dyDescent="0.25">
      <c r="A10" s="1" t="s">
        <v>1560</v>
      </c>
      <c r="B10" s="1" t="s">
        <v>1561</v>
      </c>
      <c r="C10" s="1" t="s">
        <v>5</v>
      </c>
      <c r="D10">
        <v>0</v>
      </c>
      <c r="E10" s="1" t="s">
        <v>1545</v>
      </c>
    </row>
    <row r="11" spans="1:5" hidden="1" x14ac:dyDescent="0.25">
      <c r="A11" s="1" t="s">
        <v>1562</v>
      </c>
      <c r="B11" s="1" t="s">
        <v>1563</v>
      </c>
      <c r="C11" s="1" t="s">
        <v>5</v>
      </c>
      <c r="D11">
        <v>0</v>
      </c>
      <c r="E11" s="1" t="s">
        <v>1545</v>
      </c>
    </row>
    <row r="12" spans="1:5" hidden="1" x14ac:dyDescent="0.25">
      <c r="A12" s="1" t="s">
        <v>1564</v>
      </c>
      <c r="B12" s="1" t="s">
        <v>1565</v>
      </c>
      <c r="C12" s="1" t="s">
        <v>5</v>
      </c>
      <c r="D12">
        <v>0</v>
      </c>
      <c r="E12" s="1" t="s">
        <v>1545</v>
      </c>
    </row>
    <row r="13" spans="1:5" hidden="1" x14ac:dyDescent="0.25">
      <c r="A13" s="1" t="s">
        <v>1566</v>
      </c>
      <c r="B13" s="1" t="s">
        <v>1567</v>
      </c>
      <c r="C13" s="1" t="s">
        <v>5</v>
      </c>
      <c r="D13">
        <v>0</v>
      </c>
      <c r="E13" s="1" t="s">
        <v>1545</v>
      </c>
    </row>
    <row r="14" spans="1:5" hidden="1" x14ac:dyDescent="0.25">
      <c r="A14" s="1" t="s">
        <v>1568</v>
      </c>
      <c r="B14" s="1" t="s">
        <v>1569</v>
      </c>
      <c r="C14" s="1" t="s">
        <v>5</v>
      </c>
      <c r="D14">
        <v>0</v>
      </c>
      <c r="E14" s="1" t="s">
        <v>1545</v>
      </c>
    </row>
    <row r="15" spans="1:5" hidden="1" x14ac:dyDescent="0.25">
      <c r="A15" s="1" t="s">
        <v>1570</v>
      </c>
      <c r="B15" s="1" t="s">
        <v>1571</v>
      </c>
      <c r="C15" s="1" t="s">
        <v>5</v>
      </c>
      <c r="D15">
        <v>0</v>
      </c>
      <c r="E15" s="1" t="s">
        <v>1545</v>
      </c>
    </row>
    <row r="16" spans="1:5" hidden="1" x14ac:dyDescent="0.25">
      <c r="A16" s="1" t="s">
        <v>1572</v>
      </c>
      <c r="B16" s="1" t="s">
        <v>1573</v>
      </c>
      <c r="C16" s="1" t="s">
        <v>5</v>
      </c>
      <c r="D16">
        <v>0</v>
      </c>
      <c r="E16" s="1" t="s">
        <v>1545</v>
      </c>
    </row>
    <row r="17" spans="1:5" hidden="1" x14ac:dyDescent="0.25">
      <c r="A17" s="1" t="s">
        <v>1574</v>
      </c>
      <c r="B17" s="1" t="s">
        <v>1575</v>
      </c>
      <c r="C17" s="1" t="s">
        <v>5</v>
      </c>
      <c r="D17">
        <v>0</v>
      </c>
      <c r="E17" s="1" t="s">
        <v>1545</v>
      </c>
    </row>
    <row r="18" spans="1:5" hidden="1" x14ac:dyDescent="0.25">
      <c r="A18" s="1" t="s">
        <v>1576</v>
      </c>
      <c r="B18" s="1" t="s">
        <v>1577</v>
      </c>
      <c r="C18" s="1" t="s">
        <v>5</v>
      </c>
      <c r="D18">
        <v>0</v>
      </c>
      <c r="E18" s="1" t="s">
        <v>1545</v>
      </c>
    </row>
    <row r="19" spans="1:5" hidden="1" x14ac:dyDescent="0.25">
      <c r="A19" s="1" t="s">
        <v>1578</v>
      </c>
      <c r="B19" s="1" t="s">
        <v>1579</v>
      </c>
      <c r="C19" s="1" t="s">
        <v>5</v>
      </c>
      <c r="D19">
        <v>0</v>
      </c>
      <c r="E19" s="1" t="s">
        <v>1545</v>
      </c>
    </row>
    <row r="20" spans="1:5" hidden="1" x14ac:dyDescent="0.25">
      <c r="A20" s="1" t="s">
        <v>1580</v>
      </c>
      <c r="B20" s="1" t="s">
        <v>1581</v>
      </c>
      <c r="C20" s="1" t="s">
        <v>5</v>
      </c>
      <c r="D20">
        <v>0</v>
      </c>
      <c r="E20" s="1" t="s">
        <v>1545</v>
      </c>
    </row>
    <row r="21" spans="1:5" hidden="1" x14ac:dyDescent="0.25">
      <c r="A21" s="1" t="s">
        <v>1582</v>
      </c>
      <c r="B21" s="1" t="s">
        <v>1583</v>
      </c>
      <c r="C21" s="1" t="s">
        <v>5</v>
      </c>
      <c r="D21">
        <v>0</v>
      </c>
      <c r="E21" s="1" t="s">
        <v>1545</v>
      </c>
    </row>
    <row r="22" spans="1:5" hidden="1" x14ac:dyDescent="0.25">
      <c r="A22" s="1" t="s">
        <v>1584</v>
      </c>
      <c r="B22" s="1" t="s">
        <v>1585</v>
      </c>
      <c r="C22" s="1" t="s">
        <v>5</v>
      </c>
      <c r="D22">
        <v>0</v>
      </c>
      <c r="E22" s="1" t="s">
        <v>1545</v>
      </c>
    </row>
    <row r="23" spans="1:5" hidden="1" x14ac:dyDescent="0.25">
      <c r="A23" s="1" t="s">
        <v>1586</v>
      </c>
      <c r="B23" s="1" t="s">
        <v>1587</v>
      </c>
      <c r="C23" s="1" t="s">
        <v>5</v>
      </c>
      <c r="D23">
        <v>0</v>
      </c>
      <c r="E23" s="1" t="s">
        <v>1545</v>
      </c>
    </row>
    <row r="24" spans="1:5" hidden="1" x14ac:dyDescent="0.25">
      <c r="A24" s="1" t="s">
        <v>1588</v>
      </c>
      <c r="B24" s="1" t="s">
        <v>1589</v>
      </c>
      <c r="C24" s="1" t="s">
        <v>5</v>
      </c>
      <c r="D24">
        <v>0</v>
      </c>
      <c r="E24" s="1" t="s">
        <v>1545</v>
      </c>
    </row>
    <row r="25" spans="1:5" hidden="1" x14ac:dyDescent="0.25">
      <c r="A25" s="1" t="s">
        <v>1590</v>
      </c>
      <c r="B25" s="1" t="s">
        <v>1591</v>
      </c>
      <c r="C25" s="1" t="s">
        <v>5</v>
      </c>
      <c r="D25">
        <v>0</v>
      </c>
      <c r="E25" s="1" t="s">
        <v>1545</v>
      </c>
    </row>
    <row r="26" spans="1:5" hidden="1" x14ac:dyDescent="0.25">
      <c r="A26" s="1" t="s">
        <v>1592</v>
      </c>
      <c r="B26" s="1" t="s">
        <v>1593</v>
      </c>
      <c r="C26" s="1" t="s">
        <v>5</v>
      </c>
      <c r="D26">
        <v>0</v>
      </c>
      <c r="E26" s="1" t="s">
        <v>1545</v>
      </c>
    </row>
    <row r="27" spans="1:5" hidden="1" x14ac:dyDescent="0.25">
      <c r="A27" s="1" t="s">
        <v>1594</v>
      </c>
      <c r="B27" s="1" t="s">
        <v>1595</v>
      </c>
      <c r="C27" s="1" t="s">
        <v>5</v>
      </c>
      <c r="D27">
        <v>0</v>
      </c>
      <c r="E27" s="1" t="s">
        <v>1545</v>
      </c>
    </row>
    <row r="28" spans="1:5" hidden="1" x14ac:dyDescent="0.25">
      <c r="A28" s="1" t="s">
        <v>1596</v>
      </c>
      <c r="B28" s="1" t="s">
        <v>1597</v>
      </c>
      <c r="C28" s="1" t="s">
        <v>5</v>
      </c>
      <c r="D28">
        <v>0</v>
      </c>
      <c r="E28" s="1" t="s">
        <v>1545</v>
      </c>
    </row>
    <row r="29" spans="1:5" hidden="1" x14ac:dyDescent="0.25">
      <c r="A29" s="1" t="s">
        <v>1598</v>
      </c>
      <c r="B29" s="1" t="s">
        <v>1599</v>
      </c>
      <c r="C29" s="1" t="s">
        <v>5</v>
      </c>
      <c r="D29">
        <v>0</v>
      </c>
      <c r="E29" s="1" t="s">
        <v>1545</v>
      </c>
    </row>
    <row r="30" spans="1:5" hidden="1" x14ac:dyDescent="0.25">
      <c r="A30" s="1" t="s">
        <v>1600</v>
      </c>
      <c r="B30" s="1" t="s">
        <v>1601</v>
      </c>
      <c r="C30" s="1" t="s">
        <v>5</v>
      </c>
      <c r="D30">
        <v>0</v>
      </c>
      <c r="E30" s="1" t="s">
        <v>1545</v>
      </c>
    </row>
    <row r="31" spans="1:5" hidden="1" x14ac:dyDescent="0.25">
      <c r="A31" s="1" t="s">
        <v>1602</v>
      </c>
      <c r="B31" s="1" t="s">
        <v>1603</v>
      </c>
      <c r="C31" s="1" t="s">
        <v>5</v>
      </c>
      <c r="D31">
        <v>0</v>
      </c>
      <c r="E31" s="1" t="s">
        <v>1545</v>
      </c>
    </row>
    <row r="32" spans="1:5" hidden="1" x14ac:dyDescent="0.25">
      <c r="A32" s="1" t="s">
        <v>1604</v>
      </c>
      <c r="B32" s="1" t="s">
        <v>1605</v>
      </c>
      <c r="C32" s="1" t="s">
        <v>5</v>
      </c>
      <c r="D32">
        <v>0</v>
      </c>
      <c r="E32" s="1" t="s">
        <v>1545</v>
      </c>
    </row>
    <row r="33" spans="1:5" hidden="1" x14ac:dyDescent="0.25">
      <c r="A33" s="1" t="s">
        <v>1606</v>
      </c>
      <c r="B33" s="1" t="s">
        <v>1607</v>
      </c>
      <c r="C33" s="1" t="s">
        <v>5</v>
      </c>
      <c r="D33">
        <v>0</v>
      </c>
      <c r="E33" s="1" t="s">
        <v>1545</v>
      </c>
    </row>
    <row r="34" spans="1:5" hidden="1" x14ac:dyDescent="0.25">
      <c r="A34" s="1" t="s">
        <v>1608</v>
      </c>
      <c r="B34" s="1" t="s">
        <v>1609</v>
      </c>
      <c r="C34" s="1" t="s">
        <v>5</v>
      </c>
      <c r="D34">
        <v>0</v>
      </c>
      <c r="E34" s="1" t="s">
        <v>1545</v>
      </c>
    </row>
    <row r="35" spans="1:5" hidden="1" x14ac:dyDescent="0.25">
      <c r="A35" s="1" t="s">
        <v>1610</v>
      </c>
      <c r="B35" s="1" t="s">
        <v>1611</v>
      </c>
      <c r="C35" s="1" t="s">
        <v>5</v>
      </c>
      <c r="D35">
        <v>0</v>
      </c>
      <c r="E35" s="1" t="s">
        <v>1545</v>
      </c>
    </row>
    <row r="36" spans="1:5" hidden="1" x14ac:dyDescent="0.25">
      <c r="A36" s="1" t="s">
        <v>1612</v>
      </c>
      <c r="B36" s="1" t="s">
        <v>1613</v>
      </c>
      <c r="C36" s="1" t="s">
        <v>5</v>
      </c>
      <c r="D36">
        <v>0</v>
      </c>
      <c r="E36" s="1" t="s">
        <v>1545</v>
      </c>
    </row>
    <row r="37" spans="1:5" hidden="1" x14ac:dyDescent="0.25">
      <c r="A37" s="1" t="s">
        <v>1614</v>
      </c>
      <c r="B37" s="1" t="s">
        <v>1615</v>
      </c>
      <c r="C37" s="1" t="s">
        <v>5</v>
      </c>
      <c r="D37">
        <v>0</v>
      </c>
      <c r="E37" s="1" t="s">
        <v>1545</v>
      </c>
    </row>
    <row r="38" spans="1:5" hidden="1" x14ac:dyDescent="0.25">
      <c r="A38" s="1" t="s">
        <v>1616</v>
      </c>
      <c r="B38" s="1" t="s">
        <v>1617</v>
      </c>
      <c r="C38" s="1" t="s">
        <v>5</v>
      </c>
      <c r="D38">
        <v>0</v>
      </c>
      <c r="E38" s="1" t="s">
        <v>1545</v>
      </c>
    </row>
    <row r="39" spans="1:5" hidden="1" x14ac:dyDescent="0.25">
      <c r="A39" s="1" t="s">
        <v>1618</v>
      </c>
      <c r="B39" s="1" t="s">
        <v>1619</v>
      </c>
      <c r="C39" s="1" t="s">
        <v>5</v>
      </c>
      <c r="D39">
        <v>0</v>
      </c>
      <c r="E39" s="1" t="s">
        <v>1545</v>
      </c>
    </row>
    <row r="40" spans="1:5" hidden="1" x14ac:dyDescent="0.25">
      <c r="A40" s="1" t="s">
        <v>1620</v>
      </c>
      <c r="B40" s="1" t="s">
        <v>1621</v>
      </c>
      <c r="C40" s="1" t="s">
        <v>5</v>
      </c>
      <c r="D40">
        <v>0</v>
      </c>
      <c r="E40" s="1" t="s">
        <v>1545</v>
      </c>
    </row>
    <row r="41" spans="1:5" hidden="1" x14ac:dyDescent="0.25">
      <c r="A41" s="1" t="s">
        <v>1622</v>
      </c>
      <c r="B41" s="1" t="s">
        <v>1623</v>
      </c>
      <c r="C41" s="1" t="s">
        <v>5</v>
      </c>
      <c r="D41">
        <v>0</v>
      </c>
      <c r="E41" s="1" t="s">
        <v>1545</v>
      </c>
    </row>
    <row r="42" spans="1:5" hidden="1" x14ac:dyDescent="0.25">
      <c r="A42" s="1" t="s">
        <v>1624</v>
      </c>
      <c r="B42" s="1" t="s">
        <v>1625</v>
      </c>
      <c r="C42" s="1" t="s">
        <v>5</v>
      </c>
      <c r="D42">
        <v>0</v>
      </c>
      <c r="E42" s="1" t="s">
        <v>1545</v>
      </c>
    </row>
    <row r="43" spans="1:5" hidden="1" x14ac:dyDescent="0.25">
      <c r="A43" s="1" t="s">
        <v>1626</v>
      </c>
      <c r="B43" s="1" t="s">
        <v>1627</v>
      </c>
      <c r="C43" s="1" t="s">
        <v>5</v>
      </c>
      <c r="D43">
        <v>0</v>
      </c>
      <c r="E43" s="1" t="s">
        <v>1545</v>
      </c>
    </row>
    <row r="44" spans="1:5" hidden="1" x14ac:dyDescent="0.25">
      <c r="A44" s="1" t="s">
        <v>1628</v>
      </c>
      <c r="B44" s="1" t="s">
        <v>1629</v>
      </c>
      <c r="C44" s="1" t="s">
        <v>5</v>
      </c>
      <c r="D44">
        <v>0</v>
      </c>
      <c r="E44" s="1" t="s">
        <v>1545</v>
      </c>
    </row>
    <row r="45" spans="1:5" hidden="1" x14ac:dyDescent="0.25">
      <c r="A45" s="1" t="s">
        <v>1630</v>
      </c>
      <c r="B45" s="1" t="s">
        <v>1631</v>
      </c>
      <c r="C45" s="1" t="s">
        <v>5</v>
      </c>
      <c r="D45">
        <v>0</v>
      </c>
      <c r="E45" s="1" t="s">
        <v>1545</v>
      </c>
    </row>
    <row r="46" spans="1:5" hidden="1" x14ac:dyDescent="0.25">
      <c r="A46" s="1" t="s">
        <v>1632</v>
      </c>
      <c r="B46" s="1" t="s">
        <v>1633</v>
      </c>
      <c r="C46" s="1" t="s">
        <v>5</v>
      </c>
      <c r="D46">
        <v>0</v>
      </c>
      <c r="E46" s="1" t="s">
        <v>1545</v>
      </c>
    </row>
    <row r="47" spans="1:5" hidden="1" x14ac:dyDescent="0.25">
      <c r="A47" s="1" t="s">
        <v>1634</v>
      </c>
      <c r="B47" s="1" t="s">
        <v>1635</v>
      </c>
      <c r="C47" s="1" t="s">
        <v>5</v>
      </c>
      <c r="D47">
        <v>0</v>
      </c>
      <c r="E47" s="1" t="s">
        <v>1545</v>
      </c>
    </row>
    <row r="48" spans="1:5" hidden="1" x14ac:dyDescent="0.25">
      <c r="A48" s="1" t="s">
        <v>1648</v>
      </c>
      <c r="B48" s="1" t="s">
        <v>1649</v>
      </c>
      <c r="C48" s="1" t="s">
        <v>5</v>
      </c>
      <c r="D48">
        <v>0</v>
      </c>
      <c r="E48" s="1" t="s">
        <v>1650</v>
      </c>
    </row>
    <row r="49" spans="1:5" hidden="1" x14ac:dyDescent="0.25">
      <c r="A49" s="1" t="s">
        <v>1651</v>
      </c>
      <c r="B49" s="1" t="s">
        <v>1652</v>
      </c>
      <c r="C49" s="1" t="s">
        <v>5</v>
      </c>
      <c r="D49">
        <v>0</v>
      </c>
      <c r="E49" s="1" t="s">
        <v>1650</v>
      </c>
    </row>
    <row r="50" spans="1:5" hidden="1" x14ac:dyDescent="0.25">
      <c r="A50" s="1" t="s">
        <v>1653</v>
      </c>
      <c r="B50" s="1" t="s">
        <v>1654</v>
      </c>
      <c r="C50" s="1" t="s">
        <v>5</v>
      </c>
      <c r="D50">
        <v>0</v>
      </c>
      <c r="E50" s="1" t="s">
        <v>1650</v>
      </c>
    </row>
    <row r="51" spans="1:5" hidden="1" x14ac:dyDescent="0.25">
      <c r="A51" s="1" t="s">
        <v>1655</v>
      </c>
      <c r="B51" s="1" t="s">
        <v>1656</v>
      </c>
      <c r="C51" s="1" t="s">
        <v>5</v>
      </c>
      <c r="D51">
        <v>0</v>
      </c>
      <c r="E51" s="1" t="s">
        <v>1650</v>
      </c>
    </row>
    <row r="52" spans="1:5" hidden="1" x14ac:dyDescent="0.25">
      <c r="A52" s="1" t="s">
        <v>1659</v>
      </c>
      <c r="B52" s="1" t="s">
        <v>1660</v>
      </c>
      <c r="C52" s="1" t="s">
        <v>5</v>
      </c>
      <c r="D52">
        <v>0</v>
      </c>
      <c r="E52" s="1" t="s">
        <v>1650</v>
      </c>
    </row>
    <row r="53" spans="1:5" hidden="1" x14ac:dyDescent="0.25">
      <c r="A53" s="1" t="s">
        <v>1663</v>
      </c>
      <c r="B53" s="1" t="s">
        <v>1664</v>
      </c>
      <c r="C53" s="1" t="s">
        <v>5</v>
      </c>
      <c r="D53">
        <v>0</v>
      </c>
      <c r="E53" s="1" t="s">
        <v>1650</v>
      </c>
    </row>
    <row r="54" spans="1:5" hidden="1" x14ac:dyDescent="0.25">
      <c r="A54" s="1" t="s">
        <v>1665</v>
      </c>
      <c r="B54" s="1" t="s">
        <v>1666</v>
      </c>
      <c r="C54" s="1" t="s">
        <v>5</v>
      </c>
      <c r="D54">
        <v>0</v>
      </c>
      <c r="E54" s="1" t="s">
        <v>1650</v>
      </c>
    </row>
    <row r="55" spans="1:5" hidden="1" x14ac:dyDescent="0.25">
      <c r="A55" s="1" t="s">
        <v>1667</v>
      </c>
      <c r="B55" s="1" t="s">
        <v>1668</v>
      </c>
      <c r="C55" s="1" t="s">
        <v>5</v>
      </c>
      <c r="D55">
        <v>0</v>
      </c>
      <c r="E55" s="1" t="s">
        <v>1650</v>
      </c>
    </row>
    <row r="56" spans="1:5" hidden="1" x14ac:dyDescent="0.25">
      <c r="A56" s="1" t="s">
        <v>1673</v>
      </c>
      <c r="B56" s="1" t="s">
        <v>1674</v>
      </c>
      <c r="C56" s="1" t="s">
        <v>5</v>
      </c>
      <c r="D56">
        <v>0</v>
      </c>
      <c r="E56" s="1" t="s">
        <v>1650</v>
      </c>
    </row>
    <row r="57" spans="1:5" hidden="1" x14ac:dyDescent="0.25">
      <c r="A57" s="1" t="s">
        <v>1675</v>
      </c>
      <c r="B57" s="1" t="s">
        <v>1676</v>
      </c>
      <c r="C57" s="1" t="s">
        <v>5</v>
      </c>
      <c r="D57">
        <v>0</v>
      </c>
      <c r="E57" s="1" t="s">
        <v>1650</v>
      </c>
    </row>
    <row r="58" spans="1:5" hidden="1" x14ac:dyDescent="0.25">
      <c r="A58" s="1" t="s">
        <v>1677</v>
      </c>
      <c r="B58" s="1" t="s">
        <v>1678</v>
      </c>
      <c r="C58" s="1" t="s">
        <v>5</v>
      </c>
      <c r="D58">
        <v>0</v>
      </c>
      <c r="E58" s="1" t="s">
        <v>1650</v>
      </c>
    </row>
    <row r="59" spans="1:5" hidden="1" x14ac:dyDescent="0.25">
      <c r="A59" s="1" t="s">
        <v>1693</v>
      </c>
      <c r="B59" s="1" t="s">
        <v>1694</v>
      </c>
      <c r="C59" s="1" t="s">
        <v>5</v>
      </c>
      <c r="D59">
        <v>0</v>
      </c>
      <c r="E59" s="1" t="s">
        <v>1690</v>
      </c>
    </row>
    <row r="60" spans="1:5" hidden="1" x14ac:dyDescent="0.25">
      <c r="A60" s="1" t="s">
        <v>1695</v>
      </c>
      <c r="B60" s="1" t="s">
        <v>1696</v>
      </c>
      <c r="C60" s="1" t="s">
        <v>5</v>
      </c>
      <c r="D60">
        <v>0</v>
      </c>
      <c r="E60" s="1" t="s">
        <v>1690</v>
      </c>
    </row>
    <row r="61" spans="1:5" hidden="1" x14ac:dyDescent="0.25">
      <c r="A61" s="1" t="s">
        <v>1697</v>
      </c>
      <c r="B61" s="1" t="s">
        <v>1698</v>
      </c>
      <c r="C61" s="1" t="s">
        <v>5</v>
      </c>
      <c r="D61">
        <v>0</v>
      </c>
      <c r="E61" s="1" t="s">
        <v>1690</v>
      </c>
    </row>
    <row r="62" spans="1:5" hidden="1" x14ac:dyDescent="0.25">
      <c r="A62" s="1" t="s">
        <v>1707</v>
      </c>
      <c r="B62" s="1" t="s">
        <v>1708</v>
      </c>
      <c r="C62" s="1" t="s">
        <v>5</v>
      </c>
      <c r="D62">
        <v>0</v>
      </c>
      <c r="E62" s="1" t="s">
        <v>1709</v>
      </c>
    </row>
    <row r="63" spans="1:5" hidden="1" x14ac:dyDescent="0.25">
      <c r="A63" s="1" t="s">
        <v>1710</v>
      </c>
      <c r="B63" s="1" t="s">
        <v>1711</v>
      </c>
      <c r="C63" s="1" t="s">
        <v>5</v>
      </c>
      <c r="D63">
        <v>0</v>
      </c>
      <c r="E63" s="1" t="s">
        <v>1709</v>
      </c>
    </row>
    <row r="64" spans="1:5" hidden="1" x14ac:dyDescent="0.25">
      <c r="A64" s="1" t="s">
        <v>1712</v>
      </c>
      <c r="B64" s="1" t="s">
        <v>1713</v>
      </c>
      <c r="C64" s="1" t="s">
        <v>5</v>
      </c>
      <c r="D64">
        <v>0</v>
      </c>
      <c r="E64" s="1" t="s">
        <v>1709</v>
      </c>
    </row>
    <row r="65" spans="1:5" hidden="1" x14ac:dyDescent="0.25">
      <c r="A65" s="1" t="s">
        <v>1714</v>
      </c>
      <c r="B65" s="1" t="s">
        <v>1715</v>
      </c>
      <c r="C65" s="1" t="s">
        <v>5</v>
      </c>
      <c r="D65">
        <v>0</v>
      </c>
      <c r="E65" s="1" t="s">
        <v>1709</v>
      </c>
    </row>
    <row r="66" spans="1:5" hidden="1" x14ac:dyDescent="0.25">
      <c r="A66" s="1" t="s">
        <v>1716</v>
      </c>
      <c r="B66" s="1" t="s">
        <v>1717</v>
      </c>
      <c r="C66" s="1" t="s">
        <v>5</v>
      </c>
      <c r="D66">
        <v>0</v>
      </c>
      <c r="E66" s="1" t="s">
        <v>1709</v>
      </c>
    </row>
    <row r="67" spans="1:5" hidden="1" x14ac:dyDescent="0.25">
      <c r="A67" s="1" t="s">
        <v>1718</v>
      </c>
      <c r="B67" s="1" t="s">
        <v>1719</v>
      </c>
      <c r="C67" s="1" t="s">
        <v>5</v>
      </c>
      <c r="D67">
        <v>0</v>
      </c>
      <c r="E67" s="1" t="s">
        <v>1709</v>
      </c>
    </row>
    <row r="68" spans="1:5" hidden="1" x14ac:dyDescent="0.25">
      <c r="A68" s="1" t="s">
        <v>1720</v>
      </c>
      <c r="B68" s="1" t="s">
        <v>1721</v>
      </c>
      <c r="C68" s="1" t="s">
        <v>5</v>
      </c>
      <c r="D68">
        <v>0</v>
      </c>
      <c r="E68" s="1" t="s">
        <v>1709</v>
      </c>
    </row>
    <row r="69" spans="1:5" hidden="1" x14ac:dyDescent="0.25">
      <c r="A69" s="1" t="s">
        <v>1722</v>
      </c>
      <c r="B69" s="1" t="s">
        <v>1723</v>
      </c>
      <c r="C69" s="1" t="s">
        <v>5</v>
      </c>
      <c r="D69">
        <v>0</v>
      </c>
      <c r="E69" s="1" t="s">
        <v>1709</v>
      </c>
    </row>
    <row r="70" spans="1:5" hidden="1" x14ac:dyDescent="0.25">
      <c r="A70" s="1" t="s">
        <v>1724</v>
      </c>
      <c r="B70" s="1" t="s">
        <v>1725</v>
      </c>
      <c r="C70" s="1" t="s">
        <v>5</v>
      </c>
      <c r="D70">
        <v>0</v>
      </c>
      <c r="E70" s="1" t="s">
        <v>1709</v>
      </c>
    </row>
    <row r="71" spans="1:5" hidden="1" x14ac:dyDescent="0.25">
      <c r="A71" s="1" t="s">
        <v>1726</v>
      </c>
      <c r="B71" s="1" t="s">
        <v>1727</v>
      </c>
      <c r="C71" s="1" t="s">
        <v>5</v>
      </c>
      <c r="D71">
        <v>0</v>
      </c>
      <c r="E71" s="1" t="s">
        <v>1709</v>
      </c>
    </row>
    <row r="72" spans="1:5" hidden="1" x14ac:dyDescent="0.25">
      <c r="A72" s="1" t="s">
        <v>1728</v>
      </c>
      <c r="B72" s="1" t="s">
        <v>1729</v>
      </c>
      <c r="C72" s="1" t="s">
        <v>5</v>
      </c>
      <c r="D72">
        <v>0</v>
      </c>
      <c r="E72" s="1" t="s">
        <v>1709</v>
      </c>
    </row>
    <row r="73" spans="1:5" hidden="1" x14ac:dyDescent="0.25">
      <c r="A73" s="1" t="s">
        <v>1730</v>
      </c>
      <c r="B73" s="1" t="s">
        <v>1731</v>
      </c>
      <c r="C73" s="1" t="s">
        <v>5</v>
      </c>
      <c r="D73">
        <v>0</v>
      </c>
      <c r="E73" s="1" t="s">
        <v>1709</v>
      </c>
    </row>
    <row r="74" spans="1:5" hidden="1" x14ac:dyDescent="0.25">
      <c r="A74" s="1" t="s">
        <v>1732</v>
      </c>
      <c r="B74" s="1" t="s">
        <v>1733</v>
      </c>
      <c r="C74" s="1" t="s">
        <v>5</v>
      </c>
      <c r="D74">
        <v>0</v>
      </c>
      <c r="E74" s="1" t="s">
        <v>1709</v>
      </c>
    </row>
    <row r="75" spans="1:5" hidden="1" x14ac:dyDescent="0.25">
      <c r="A75" s="1" t="s">
        <v>1734</v>
      </c>
      <c r="B75" s="1" t="s">
        <v>1735</v>
      </c>
      <c r="C75" s="1" t="s">
        <v>5</v>
      </c>
      <c r="D75">
        <v>0</v>
      </c>
      <c r="E75" s="1" t="s">
        <v>1709</v>
      </c>
    </row>
    <row r="76" spans="1:5" hidden="1" x14ac:dyDescent="0.25">
      <c r="A76" s="1" t="s">
        <v>1736</v>
      </c>
      <c r="B76" s="1" t="s">
        <v>1737</v>
      </c>
      <c r="C76" s="1" t="s">
        <v>5</v>
      </c>
      <c r="D76">
        <v>0</v>
      </c>
      <c r="E76" s="1" t="s">
        <v>1709</v>
      </c>
    </row>
    <row r="77" spans="1:5" hidden="1" x14ac:dyDescent="0.25">
      <c r="A77" s="1" t="s">
        <v>1738</v>
      </c>
      <c r="B77" s="1" t="s">
        <v>1739</v>
      </c>
      <c r="C77" s="1" t="s">
        <v>5</v>
      </c>
      <c r="D77">
        <v>0</v>
      </c>
      <c r="E77" s="1" t="s">
        <v>1709</v>
      </c>
    </row>
    <row r="78" spans="1:5" hidden="1" x14ac:dyDescent="0.25">
      <c r="A78" s="1" t="s">
        <v>1740</v>
      </c>
      <c r="B78" s="1" t="s">
        <v>1741</v>
      </c>
      <c r="C78" s="1" t="s">
        <v>5</v>
      </c>
      <c r="D78">
        <v>0</v>
      </c>
      <c r="E78" s="1" t="s">
        <v>1709</v>
      </c>
    </row>
    <row r="79" spans="1:5" hidden="1" x14ac:dyDescent="0.25">
      <c r="A79" s="1" t="s">
        <v>1742</v>
      </c>
      <c r="B79" s="1" t="s">
        <v>1743</v>
      </c>
      <c r="C79" s="1" t="s">
        <v>5</v>
      </c>
      <c r="D79">
        <v>0</v>
      </c>
      <c r="E79" s="1" t="s">
        <v>1709</v>
      </c>
    </row>
    <row r="80" spans="1:5" hidden="1" x14ac:dyDescent="0.25">
      <c r="A80" s="1" t="s">
        <v>1744</v>
      </c>
      <c r="B80" s="1" t="s">
        <v>1745</v>
      </c>
      <c r="C80" s="1" t="s">
        <v>5</v>
      </c>
      <c r="D80">
        <v>0</v>
      </c>
      <c r="E80" s="1" t="s">
        <v>1709</v>
      </c>
    </row>
    <row r="81" spans="1:5" hidden="1" x14ac:dyDescent="0.25">
      <c r="A81" s="1" t="s">
        <v>1746</v>
      </c>
      <c r="B81" s="1" t="s">
        <v>1747</v>
      </c>
      <c r="C81" s="1" t="s">
        <v>5</v>
      </c>
      <c r="D81">
        <v>0</v>
      </c>
      <c r="E81" s="1" t="s">
        <v>1709</v>
      </c>
    </row>
    <row r="82" spans="1:5" hidden="1" x14ac:dyDescent="0.25">
      <c r="A82" s="1" t="s">
        <v>1748</v>
      </c>
      <c r="B82" s="1" t="s">
        <v>1749</v>
      </c>
      <c r="C82" s="1" t="s">
        <v>5</v>
      </c>
      <c r="D82">
        <v>0</v>
      </c>
      <c r="E82" s="1" t="s">
        <v>1709</v>
      </c>
    </row>
    <row r="83" spans="1:5" hidden="1" x14ac:dyDescent="0.25">
      <c r="A83" s="1" t="s">
        <v>1750</v>
      </c>
      <c r="B83" s="1" t="s">
        <v>1751</v>
      </c>
      <c r="C83" s="1" t="s">
        <v>5</v>
      </c>
      <c r="D83">
        <v>0</v>
      </c>
      <c r="E83" s="1" t="s">
        <v>1709</v>
      </c>
    </row>
    <row r="84" spans="1:5" hidden="1" x14ac:dyDescent="0.25">
      <c r="A84" s="1" t="s">
        <v>1752</v>
      </c>
      <c r="B84" s="1" t="s">
        <v>1753</v>
      </c>
      <c r="C84" s="1" t="s">
        <v>5</v>
      </c>
      <c r="D84">
        <v>0</v>
      </c>
      <c r="E84" s="1" t="s">
        <v>1709</v>
      </c>
    </row>
    <row r="85" spans="1:5" hidden="1" x14ac:dyDescent="0.25">
      <c r="A85" s="1" t="s">
        <v>1754</v>
      </c>
      <c r="B85" s="1" t="s">
        <v>1755</v>
      </c>
      <c r="C85" s="1" t="s">
        <v>5</v>
      </c>
      <c r="D85">
        <v>0</v>
      </c>
      <c r="E85" s="1" t="s">
        <v>1709</v>
      </c>
    </row>
    <row r="86" spans="1:5" hidden="1" x14ac:dyDescent="0.25">
      <c r="A86" s="1" t="s">
        <v>1756</v>
      </c>
      <c r="B86" s="1" t="s">
        <v>1757</v>
      </c>
      <c r="C86" s="1" t="s">
        <v>5</v>
      </c>
      <c r="D86">
        <v>0</v>
      </c>
      <c r="E86" s="1" t="s">
        <v>1709</v>
      </c>
    </row>
    <row r="87" spans="1:5" hidden="1" x14ac:dyDescent="0.25">
      <c r="A87" s="1" t="s">
        <v>1758</v>
      </c>
      <c r="B87" s="1" t="s">
        <v>1759</v>
      </c>
      <c r="C87" s="1" t="s">
        <v>5</v>
      </c>
      <c r="D87">
        <v>0</v>
      </c>
      <c r="E87" s="1" t="s">
        <v>1709</v>
      </c>
    </row>
    <row r="88" spans="1:5" hidden="1" x14ac:dyDescent="0.25">
      <c r="A88" s="1" t="s">
        <v>1760</v>
      </c>
      <c r="B88" s="1" t="s">
        <v>1761</v>
      </c>
      <c r="C88" s="1" t="s">
        <v>5</v>
      </c>
      <c r="D88">
        <v>0</v>
      </c>
      <c r="E88" s="1" t="s">
        <v>1709</v>
      </c>
    </row>
    <row r="89" spans="1:5" hidden="1" x14ac:dyDescent="0.25">
      <c r="A89" s="1" t="s">
        <v>1762</v>
      </c>
      <c r="B89" s="1" t="s">
        <v>1763</v>
      </c>
      <c r="C89" s="1" t="s">
        <v>5</v>
      </c>
      <c r="D89">
        <v>0</v>
      </c>
      <c r="E89" s="1" t="s">
        <v>1709</v>
      </c>
    </row>
    <row r="90" spans="1:5" hidden="1" x14ac:dyDescent="0.25">
      <c r="A90" s="1" t="s">
        <v>1764</v>
      </c>
      <c r="B90" s="1" t="s">
        <v>1765</v>
      </c>
      <c r="C90" s="1" t="s">
        <v>5</v>
      </c>
      <c r="D90">
        <v>0</v>
      </c>
      <c r="E90" s="1" t="s">
        <v>1709</v>
      </c>
    </row>
    <row r="91" spans="1:5" hidden="1" x14ac:dyDescent="0.25">
      <c r="A91" s="1" t="s">
        <v>1766</v>
      </c>
      <c r="B91" s="1" t="s">
        <v>1767</v>
      </c>
      <c r="C91" s="1" t="s">
        <v>5</v>
      </c>
      <c r="D91">
        <v>0</v>
      </c>
      <c r="E91" s="1" t="s">
        <v>1709</v>
      </c>
    </row>
    <row r="92" spans="1:5" hidden="1" x14ac:dyDescent="0.25">
      <c r="A92" s="1" t="s">
        <v>1768</v>
      </c>
      <c r="B92" s="1" t="s">
        <v>1769</v>
      </c>
      <c r="C92" s="1" t="s">
        <v>5</v>
      </c>
      <c r="D92">
        <v>0</v>
      </c>
      <c r="E92" s="1" t="s">
        <v>1709</v>
      </c>
    </row>
    <row r="93" spans="1:5" hidden="1" x14ac:dyDescent="0.25">
      <c r="A93" s="1" t="s">
        <v>1770</v>
      </c>
      <c r="B93" s="1" t="s">
        <v>1771</v>
      </c>
      <c r="C93" s="1" t="s">
        <v>5</v>
      </c>
      <c r="D93">
        <v>0</v>
      </c>
      <c r="E93" s="1" t="s">
        <v>1709</v>
      </c>
    </row>
    <row r="94" spans="1:5" hidden="1" x14ac:dyDescent="0.25">
      <c r="A94" s="1" t="s">
        <v>1772</v>
      </c>
      <c r="B94" s="1" t="s">
        <v>1773</v>
      </c>
      <c r="C94" s="1" t="s">
        <v>5</v>
      </c>
      <c r="D94">
        <v>0</v>
      </c>
      <c r="E94" s="1" t="s">
        <v>1709</v>
      </c>
    </row>
    <row r="95" spans="1:5" hidden="1" x14ac:dyDescent="0.25">
      <c r="A95" s="1" t="s">
        <v>1774</v>
      </c>
      <c r="B95" s="1" t="s">
        <v>1775</v>
      </c>
      <c r="C95" s="1" t="s">
        <v>5</v>
      </c>
      <c r="D95">
        <v>0</v>
      </c>
      <c r="E95" s="1" t="s">
        <v>1709</v>
      </c>
    </row>
    <row r="96" spans="1:5" hidden="1" x14ac:dyDescent="0.25">
      <c r="A96" s="1" t="s">
        <v>1776</v>
      </c>
      <c r="B96" s="1" t="s">
        <v>1777</v>
      </c>
      <c r="C96" s="1" t="s">
        <v>5</v>
      </c>
      <c r="D96">
        <v>0</v>
      </c>
      <c r="E96" s="1" t="s">
        <v>1709</v>
      </c>
    </row>
    <row r="97" spans="1:5" hidden="1" x14ac:dyDescent="0.25">
      <c r="A97" s="1" t="s">
        <v>1778</v>
      </c>
      <c r="B97" s="1" t="s">
        <v>1779</v>
      </c>
      <c r="C97" s="1" t="s">
        <v>5</v>
      </c>
      <c r="D97">
        <v>0</v>
      </c>
      <c r="E97" s="1" t="s">
        <v>1709</v>
      </c>
    </row>
    <row r="98" spans="1:5" hidden="1" x14ac:dyDescent="0.25">
      <c r="A98" s="1" t="s">
        <v>1780</v>
      </c>
      <c r="B98" s="1" t="s">
        <v>1781</v>
      </c>
      <c r="C98" s="1" t="s">
        <v>5</v>
      </c>
      <c r="D98">
        <v>0</v>
      </c>
      <c r="E98" s="1" t="s">
        <v>1709</v>
      </c>
    </row>
    <row r="99" spans="1:5" hidden="1" x14ac:dyDescent="0.25">
      <c r="A99" s="1" t="s">
        <v>1782</v>
      </c>
      <c r="B99" s="1" t="s">
        <v>1783</v>
      </c>
      <c r="C99" s="1" t="s">
        <v>5</v>
      </c>
      <c r="D99">
        <v>0</v>
      </c>
      <c r="E99" s="1" t="s">
        <v>1784</v>
      </c>
    </row>
    <row r="100" spans="1:5" hidden="1" x14ac:dyDescent="0.25">
      <c r="A100" s="1" t="s">
        <v>1785</v>
      </c>
      <c r="B100" s="1" t="s">
        <v>1786</v>
      </c>
      <c r="C100" s="1" t="s">
        <v>5</v>
      </c>
      <c r="D100">
        <v>0</v>
      </c>
      <c r="E100" s="1" t="s">
        <v>1784</v>
      </c>
    </row>
    <row r="101" spans="1:5" hidden="1" x14ac:dyDescent="0.25">
      <c r="A101" s="1" t="s">
        <v>1787</v>
      </c>
      <c r="B101" s="1" t="s">
        <v>1788</v>
      </c>
      <c r="C101" s="1" t="s">
        <v>5</v>
      </c>
      <c r="D101">
        <v>0</v>
      </c>
      <c r="E101" s="1" t="s">
        <v>1784</v>
      </c>
    </row>
    <row r="102" spans="1:5" hidden="1" x14ac:dyDescent="0.25">
      <c r="A102" s="1" t="s">
        <v>1791</v>
      </c>
      <c r="B102" s="1" t="s">
        <v>1792</v>
      </c>
      <c r="C102" s="1" t="s">
        <v>5</v>
      </c>
      <c r="D102">
        <v>0</v>
      </c>
      <c r="E102" s="1" t="s">
        <v>1784</v>
      </c>
    </row>
    <row r="103" spans="1:5" hidden="1" x14ac:dyDescent="0.25">
      <c r="A103" s="1" t="s">
        <v>1793</v>
      </c>
      <c r="B103" s="1" t="s">
        <v>1794</v>
      </c>
      <c r="C103" s="1" t="s">
        <v>5</v>
      </c>
      <c r="D103">
        <v>0</v>
      </c>
      <c r="E103" s="1" t="s">
        <v>1784</v>
      </c>
    </row>
    <row r="104" spans="1:5" hidden="1" x14ac:dyDescent="0.25">
      <c r="A104" s="1" t="s">
        <v>1795</v>
      </c>
      <c r="B104" s="1" t="s">
        <v>1796</v>
      </c>
      <c r="C104" s="1" t="s">
        <v>5</v>
      </c>
      <c r="D104">
        <v>0</v>
      </c>
      <c r="E104" s="1" t="s">
        <v>1784</v>
      </c>
    </row>
    <row r="105" spans="1:5" hidden="1" x14ac:dyDescent="0.25">
      <c r="A105" s="1" t="s">
        <v>1797</v>
      </c>
      <c r="B105" s="1" t="s">
        <v>1798</v>
      </c>
      <c r="C105" s="1" t="s">
        <v>5</v>
      </c>
      <c r="D105">
        <v>0</v>
      </c>
      <c r="E105" s="1" t="s">
        <v>1784</v>
      </c>
    </row>
    <row r="106" spans="1:5" hidden="1" x14ac:dyDescent="0.25">
      <c r="A106" s="1" t="s">
        <v>1799</v>
      </c>
      <c r="B106" s="1" t="s">
        <v>1800</v>
      </c>
      <c r="C106" s="1" t="s">
        <v>5</v>
      </c>
      <c r="D106">
        <v>0</v>
      </c>
      <c r="E106" s="1" t="s">
        <v>1784</v>
      </c>
    </row>
    <row r="107" spans="1:5" hidden="1" x14ac:dyDescent="0.25">
      <c r="A107" s="1" t="s">
        <v>1801</v>
      </c>
      <c r="B107" s="1" t="s">
        <v>1802</v>
      </c>
      <c r="C107" s="1" t="s">
        <v>5</v>
      </c>
      <c r="D107">
        <v>0</v>
      </c>
      <c r="E107" s="1" t="s">
        <v>1784</v>
      </c>
    </row>
    <row r="108" spans="1:5" hidden="1" x14ac:dyDescent="0.25">
      <c r="A108" s="1" t="s">
        <v>1803</v>
      </c>
      <c r="B108" s="1" t="s">
        <v>1804</v>
      </c>
      <c r="C108" s="1" t="s">
        <v>5</v>
      </c>
      <c r="D108">
        <v>0</v>
      </c>
      <c r="E108" s="1" t="s">
        <v>1784</v>
      </c>
    </row>
    <row r="109" spans="1:5" hidden="1" x14ac:dyDescent="0.25">
      <c r="A109" s="1" t="s">
        <v>1807</v>
      </c>
      <c r="B109" s="1" t="s">
        <v>1808</v>
      </c>
      <c r="C109" s="1" t="s">
        <v>5</v>
      </c>
      <c r="D109">
        <v>0</v>
      </c>
      <c r="E109" s="1" t="s">
        <v>1784</v>
      </c>
    </row>
    <row r="110" spans="1:5" hidden="1" x14ac:dyDescent="0.25">
      <c r="A110" s="1" t="s">
        <v>1809</v>
      </c>
      <c r="B110" s="1" t="s">
        <v>1794</v>
      </c>
      <c r="C110" s="1" t="s">
        <v>5</v>
      </c>
      <c r="D110">
        <v>0</v>
      </c>
      <c r="E110" s="1" t="s">
        <v>1784</v>
      </c>
    </row>
    <row r="111" spans="1:5" hidden="1" x14ac:dyDescent="0.25">
      <c r="A111" s="1" t="s">
        <v>1810</v>
      </c>
      <c r="B111" s="1" t="s">
        <v>1811</v>
      </c>
      <c r="C111" s="1" t="s">
        <v>5</v>
      </c>
      <c r="D111">
        <v>0</v>
      </c>
      <c r="E111" s="1" t="s">
        <v>1784</v>
      </c>
    </row>
    <row r="112" spans="1:5" hidden="1" x14ac:dyDescent="0.25">
      <c r="A112" s="1" t="s">
        <v>1812</v>
      </c>
      <c r="B112" s="1" t="s">
        <v>1813</v>
      </c>
      <c r="C112" s="1" t="s">
        <v>5</v>
      </c>
      <c r="D112">
        <v>0</v>
      </c>
      <c r="E112" s="1" t="s">
        <v>1784</v>
      </c>
    </row>
    <row r="113" spans="1:5" hidden="1" x14ac:dyDescent="0.25">
      <c r="A113" s="1" t="s">
        <v>1816</v>
      </c>
      <c r="B113" s="1" t="s">
        <v>1817</v>
      </c>
      <c r="C113" s="1" t="s">
        <v>5</v>
      </c>
      <c r="D113">
        <v>0</v>
      </c>
      <c r="E113" s="1" t="s">
        <v>1784</v>
      </c>
    </row>
    <row r="114" spans="1:5" hidden="1" x14ac:dyDescent="0.25">
      <c r="A114" s="1" t="s">
        <v>1818</v>
      </c>
      <c r="B114" s="1" t="s">
        <v>1819</v>
      </c>
      <c r="C114" s="1" t="s">
        <v>5</v>
      </c>
      <c r="D114">
        <v>0</v>
      </c>
      <c r="E114" s="1" t="s">
        <v>1784</v>
      </c>
    </row>
    <row r="115" spans="1:5" hidden="1" x14ac:dyDescent="0.25">
      <c r="A115" s="1" t="s">
        <v>1820</v>
      </c>
      <c r="B115" s="1" t="s">
        <v>1821</v>
      </c>
      <c r="C115" s="1" t="s">
        <v>5</v>
      </c>
      <c r="D115">
        <v>0</v>
      </c>
      <c r="E115" s="1" t="s">
        <v>1784</v>
      </c>
    </row>
    <row r="116" spans="1:5" hidden="1" x14ac:dyDescent="0.25">
      <c r="A116" s="1" t="s">
        <v>1822</v>
      </c>
      <c r="B116" s="1" t="s">
        <v>1823</v>
      </c>
      <c r="C116" s="1" t="s">
        <v>5</v>
      </c>
      <c r="D116">
        <v>0</v>
      </c>
      <c r="E116" s="1" t="s">
        <v>1784</v>
      </c>
    </row>
    <row r="117" spans="1:5" hidden="1" x14ac:dyDescent="0.25">
      <c r="A117" s="1" t="s">
        <v>1824</v>
      </c>
      <c r="B117" s="1" t="s">
        <v>1825</v>
      </c>
      <c r="C117" s="1" t="s">
        <v>5</v>
      </c>
      <c r="D117">
        <v>0</v>
      </c>
      <c r="E117" s="1" t="s">
        <v>1784</v>
      </c>
    </row>
    <row r="118" spans="1:5" hidden="1" x14ac:dyDescent="0.25">
      <c r="A118" s="1" t="s">
        <v>1828</v>
      </c>
      <c r="B118" s="1" t="s">
        <v>1829</v>
      </c>
      <c r="C118" s="1" t="s">
        <v>5</v>
      </c>
      <c r="D118">
        <v>0</v>
      </c>
      <c r="E118" s="1" t="s">
        <v>1784</v>
      </c>
    </row>
    <row r="119" spans="1:5" hidden="1" x14ac:dyDescent="0.25">
      <c r="A119" s="1" t="s">
        <v>1830</v>
      </c>
      <c r="B119" s="1" t="s">
        <v>1831</v>
      </c>
      <c r="C119" s="1" t="s">
        <v>5</v>
      </c>
      <c r="D119">
        <v>0</v>
      </c>
      <c r="E119" s="1" t="s">
        <v>1784</v>
      </c>
    </row>
    <row r="120" spans="1:5" hidden="1" x14ac:dyDescent="0.25">
      <c r="A120" s="1" t="s">
        <v>1847</v>
      </c>
      <c r="B120" s="1" t="s">
        <v>1848</v>
      </c>
      <c r="C120" s="1" t="s">
        <v>5</v>
      </c>
      <c r="D120">
        <v>0</v>
      </c>
      <c r="E120" s="1" t="s">
        <v>1709</v>
      </c>
    </row>
    <row r="121" spans="1:5" hidden="1" x14ac:dyDescent="0.25">
      <c r="A121" s="1" t="s">
        <v>1849</v>
      </c>
      <c r="B121" s="1" t="s">
        <v>1850</v>
      </c>
      <c r="C121" s="1" t="s">
        <v>5</v>
      </c>
      <c r="D121">
        <v>0</v>
      </c>
      <c r="E121" s="1" t="s">
        <v>1709</v>
      </c>
    </row>
    <row r="122" spans="1:5" hidden="1" x14ac:dyDescent="0.25">
      <c r="A122" s="1" t="s">
        <v>1851</v>
      </c>
      <c r="B122" s="1" t="s">
        <v>1852</v>
      </c>
      <c r="C122" s="1" t="s">
        <v>5</v>
      </c>
      <c r="D122">
        <v>0</v>
      </c>
      <c r="E122" s="1" t="s">
        <v>1709</v>
      </c>
    </row>
    <row r="123" spans="1:5" hidden="1" x14ac:dyDescent="0.25">
      <c r="A123" s="1" t="s">
        <v>1853</v>
      </c>
      <c r="B123" s="1" t="s">
        <v>1854</v>
      </c>
      <c r="C123" s="1" t="s">
        <v>5</v>
      </c>
      <c r="D123">
        <v>0</v>
      </c>
      <c r="E123" s="1" t="s">
        <v>1709</v>
      </c>
    </row>
    <row r="124" spans="1:5" hidden="1" x14ac:dyDescent="0.25">
      <c r="A124" s="1" t="s">
        <v>1855</v>
      </c>
      <c r="B124" s="1" t="s">
        <v>1856</v>
      </c>
      <c r="C124" s="1" t="s">
        <v>5</v>
      </c>
      <c r="D124">
        <v>0</v>
      </c>
      <c r="E124" s="1" t="s">
        <v>1709</v>
      </c>
    </row>
    <row r="125" spans="1:5" hidden="1" x14ac:dyDescent="0.25">
      <c r="A125" s="1" t="s">
        <v>1857</v>
      </c>
      <c r="B125" s="1" t="s">
        <v>1858</v>
      </c>
      <c r="C125" s="1" t="s">
        <v>5</v>
      </c>
      <c r="D125">
        <v>0</v>
      </c>
      <c r="E125" s="1" t="s">
        <v>1709</v>
      </c>
    </row>
    <row r="126" spans="1:5" hidden="1" x14ac:dyDescent="0.25">
      <c r="A126" s="1" t="s">
        <v>1859</v>
      </c>
      <c r="B126" s="1" t="s">
        <v>1860</v>
      </c>
      <c r="C126" s="1" t="s">
        <v>5</v>
      </c>
      <c r="D126">
        <v>0</v>
      </c>
      <c r="E126" s="1" t="s">
        <v>1709</v>
      </c>
    </row>
    <row r="127" spans="1:5" hidden="1" x14ac:dyDescent="0.25">
      <c r="A127" s="1" t="s">
        <v>1861</v>
      </c>
      <c r="B127" s="1" t="s">
        <v>1862</v>
      </c>
      <c r="C127" s="1" t="s">
        <v>5</v>
      </c>
      <c r="D127">
        <v>0</v>
      </c>
      <c r="E127" s="1" t="s">
        <v>1709</v>
      </c>
    </row>
    <row r="128" spans="1:5" hidden="1" x14ac:dyDescent="0.25">
      <c r="A128" s="1" t="s">
        <v>1863</v>
      </c>
      <c r="B128" s="1" t="s">
        <v>1864</v>
      </c>
      <c r="C128" s="1" t="s">
        <v>5</v>
      </c>
      <c r="D128">
        <v>0</v>
      </c>
      <c r="E128" s="1" t="s">
        <v>1709</v>
      </c>
    </row>
    <row r="129" spans="1:5" hidden="1" x14ac:dyDescent="0.25">
      <c r="A129" s="1" t="s">
        <v>1865</v>
      </c>
      <c r="B129" s="1" t="s">
        <v>1866</v>
      </c>
      <c r="C129" s="1" t="s">
        <v>5</v>
      </c>
      <c r="D129">
        <v>0</v>
      </c>
      <c r="E129" s="1" t="s">
        <v>1709</v>
      </c>
    </row>
    <row r="130" spans="1:5" hidden="1" x14ac:dyDescent="0.25">
      <c r="A130" s="1" t="s">
        <v>1867</v>
      </c>
      <c r="B130" s="1" t="s">
        <v>1868</v>
      </c>
      <c r="C130" s="1" t="s">
        <v>5</v>
      </c>
      <c r="D130">
        <v>0</v>
      </c>
      <c r="E130" s="1" t="s">
        <v>1709</v>
      </c>
    </row>
    <row r="131" spans="1:5" hidden="1" x14ac:dyDescent="0.25">
      <c r="A131" s="1" t="s">
        <v>1869</v>
      </c>
      <c r="B131" s="1" t="s">
        <v>1870</v>
      </c>
      <c r="C131" s="1" t="s">
        <v>5</v>
      </c>
      <c r="D131">
        <v>0</v>
      </c>
      <c r="E131" s="1" t="s">
        <v>1709</v>
      </c>
    </row>
    <row r="132" spans="1:5" hidden="1" x14ac:dyDescent="0.25">
      <c r="A132" s="1" t="s">
        <v>1871</v>
      </c>
      <c r="B132" s="1" t="s">
        <v>1872</v>
      </c>
      <c r="C132" s="1" t="s">
        <v>5</v>
      </c>
      <c r="D132">
        <v>0</v>
      </c>
      <c r="E132" s="1" t="s">
        <v>1709</v>
      </c>
    </row>
    <row r="133" spans="1:5" hidden="1" x14ac:dyDescent="0.25">
      <c r="A133" s="1" t="s">
        <v>1873</v>
      </c>
      <c r="B133" s="1" t="s">
        <v>1874</v>
      </c>
      <c r="C133" s="1" t="s">
        <v>5</v>
      </c>
      <c r="D133">
        <v>0</v>
      </c>
      <c r="E133" s="1" t="s">
        <v>1709</v>
      </c>
    </row>
    <row r="134" spans="1:5" hidden="1" x14ac:dyDescent="0.25">
      <c r="A134" s="1" t="s">
        <v>1875</v>
      </c>
      <c r="B134" s="1" t="s">
        <v>1876</v>
      </c>
      <c r="C134" s="1" t="s">
        <v>5</v>
      </c>
      <c r="D134">
        <v>0</v>
      </c>
      <c r="E134" s="1" t="s">
        <v>1709</v>
      </c>
    </row>
    <row r="135" spans="1:5" hidden="1" x14ac:dyDescent="0.25">
      <c r="A135" s="1" t="s">
        <v>1877</v>
      </c>
      <c r="B135" s="1" t="s">
        <v>1878</v>
      </c>
      <c r="C135" s="1" t="s">
        <v>5</v>
      </c>
      <c r="D135">
        <v>0</v>
      </c>
      <c r="E135" s="1" t="s">
        <v>1709</v>
      </c>
    </row>
    <row r="136" spans="1:5" hidden="1" x14ac:dyDescent="0.25">
      <c r="A136" s="1" t="s">
        <v>1879</v>
      </c>
      <c r="B136" s="1" t="s">
        <v>1880</v>
      </c>
      <c r="C136" s="1" t="s">
        <v>5</v>
      </c>
      <c r="D136">
        <v>0</v>
      </c>
      <c r="E136" s="1" t="s">
        <v>1709</v>
      </c>
    </row>
    <row r="137" spans="1:5" hidden="1" x14ac:dyDescent="0.25">
      <c r="A137" s="1" t="s">
        <v>1881</v>
      </c>
      <c r="B137" s="1" t="s">
        <v>1882</v>
      </c>
      <c r="C137" s="1" t="s">
        <v>5</v>
      </c>
      <c r="D137">
        <v>0</v>
      </c>
      <c r="E137" s="1" t="s">
        <v>1709</v>
      </c>
    </row>
    <row r="138" spans="1:5" hidden="1" x14ac:dyDescent="0.25">
      <c r="A138" s="1" t="s">
        <v>1883</v>
      </c>
      <c r="B138" s="1" t="s">
        <v>1884</v>
      </c>
      <c r="C138" s="1" t="s">
        <v>5</v>
      </c>
      <c r="D138">
        <v>0</v>
      </c>
      <c r="E138" s="1" t="s">
        <v>1709</v>
      </c>
    </row>
    <row r="139" spans="1:5" hidden="1" x14ac:dyDescent="0.25">
      <c r="A139" s="1" t="s">
        <v>1885</v>
      </c>
      <c r="B139" s="1" t="s">
        <v>1886</v>
      </c>
      <c r="C139" s="1" t="s">
        <v>5</v>
      </c>
      <c r="D139">
        <v>0</v>
      </c>
      <c r="E139" s="1" t="s">
        <v>1709</v>
      </c>
    </row>
    <row r="140" spans="1:5" hidden="1" x14ac:dyDescent="0.25">
      <c r="A140" s="1" t="s">
        <v>1887</v>
      </c>
      <c r="B140" s="1" t="s">
        <v>1888</v>
      </c>
      <c r="C140" s="1" t="s">
        <v>5</v>
      </c>
      <c r="D140">
        <v>0</v>
      </c>
      <c r="E140" s="1" t="s">
        <v>1709</v>
      </c>
    </row>
    <row r="141" spans="1:5" hidden="1" x14ac:dyDescent="0.25">
      <c r="A141" s="1" t="s">
        <v>1889</v>
      </c>
      <c r="B141" s="1" t="s">
        <v>1890</v>
      </c>
      <c r="C141" s="1" t="s">
        <v>5</v>
      </c>
      <c r="D141">
        <v>0</v>
      </c>
      <c r="E141" s="1" t="s">
        <v>1709</v>
      </c>
    </row>
    <row r="142" spans="1:5" hidden="1" x14ac:dyDescent="0.25">
      <c r="A142" s="1" t="s">
        <v>1891</v>
      </c>
      <c r="B142" s="1" t="s">
        <v>1892</v>
      </c>
      <c r="C142" s="1" t="s">
        <v>5</v>
      </c>
      <c r="D142">
        <v>0</v>
      </c>
      <c r="E142" s="1" t="s">
        <v>1709</v>
      </c>
    </row>
    <row r="143" spans="1:5" hidden="1" x14ac:dyDescent="0.25">
      <c r="A143" s="1" t="s">
        <v>1893</v>
      </c>
      <c r="B143" s="1" t="s">
        <v>1894</v>
      </c>
      <c r="C143" s="1" t="s">
        <v>5</v>
      </c>
      <c r="D143">
        <v>0</v>
      </c>
      <c r="E143" s="1" t="s">
        <v>1709</v>
      </c>
    </row>
    <row r="144" spans="1:5" hidden="1" x14ac:dyDescent="0.25">
      <c r="A144" s="1" t="s">
        <v>1895</v>
      </c>
      <c r="B144" s="1" t="s">
        <v>1896</v>
      </c>
      <c r="C144" s="1" t="s">
        <v>5</v>
      </c>
      <c r="D144">
        <v>0</v>
      </c>
      <c r="E144" s="1" t="s">
        <v>1709</v>
      </c>
    </row>
    <row r="145" spans="1:5" hidden="1" x14ac:dyDescent="0.25">
      <c r="A145" s="1" t="s">
        <v>1897</v>
      </c>
      <c r="B145" s="1" t="s">
        <v>1898</v>
      </c>
      <c r="C145" s="1" t="s">
        <v>5</v>
      </c>
      <c r="D145">
        <v>0</v>
      </c>
      <c r="E145" s="1" t="s">
        <v>1709</v>
      </c>
    </row>
    <row r="146" spans="1:5" hidden="1" x14ac:dyDescent="0.25">
      <c r="A146" s="1" t="s">
        <v>1899</v>
      </c>
      <c r="B146" s="1" t="s">
        <v>1900</v>
      </c>
      <c r="C146" s="1" t="s">
        <v>5</v>
      </c>
      <c r="D146">
        <v>0</v>
      </c>
      <c r="E146" s="1" t="s">
        <v>1901</v>
      </c>
    </row>
    <row r="147" spans="1:5" hidden="1" x14ac:dyDescent="0.25">
      <c r="A147" s="1" t="s">
        <v>1915</v>
      </c>
      <c r="B147" s="1" t="s">
        <v>1916</v>
      </c>
      <c r="C147" s="1" t="s">
        <v>5</v>
      </c>
      <c r="D147">
        <v>0</v>
      </c>
      <c r="E147" s="1" t="s">
        <v>1518</v>
      </c>
    </row>
    <row r="148" spans="1:5" hidden="1" x14ac:dyDescent="0.25">
      <c r="A148" s="1" t="s">
        <v>1917</v>
      </c>
      <c r="B148" s="1" t="s">
        <v>1918</v>
      </c>
      <c r="C148" s="1" t="s">
        <v>5</v>
      </c>
      <c r="D148">
        <v>0</v>
      </c>
      <c r="E148" s="1" t="s">
        <v>1518</v>
      </c>
    </row>
    <row r="149" spans="1:5" hidden="1" x14ac:dyDescent="0.25">
      <c r="A149" s="1" t="s">
        <v>1919</v>
      </c>
      <c r="B149" s="1" t="s">
        <v>1920</v>
      </c>
      <c r="C149" s="1" t="s">
        <v>5</v>
      </c>
      <c r="D149">
        <v>0</v>
      </c>
      <c r="E149" s="1" t="s">
        <v>1518</v>
      </c>
    </row>
    <row r="150" spans="1:5" hidden="1" x14ac:dyDescent="0.25">
      <c r="A150" s="1" t="s">
        <v>1925</v>
      </c>
      <c r="B150" s="1" t="s">
        <v>1926</v>
      </c>
      <c r="C150" s="1" t="s">
        <v>5</v>
      </c>
      <c r="D150">
        <v>0</v>
      </c>
      <c r="E150" s="1" t="s">
        <v>1518</v>
      </c>
    </row>
    <row r="151" spans="1:5" hidden="1" x14ac:dyDescent="0.25">
      <c r="A151" s="1" t="s">
        <v>1927</v>
      </c>
      <c r="B151" s="1" t="s">
        <v>1928</v>
      </c>
      <c r="C151" s="1" t="s">
        <v>5</v>
      </c>
      <c r="D151">
        <v>0</v>
      </c>
      <c r="E151" s="1" t="s">
        <v>1518</v>
      </c>
    </row>
    <row r="152" spans="1:5" hidden="1" x14ac:dyDescent="0.25">
      <c r="A152" s="1" t="s">
        <v>1931</v>
      </c>
      <c r="B152" s="1" t="s">
        <v>1932</v>
      </c>
      <c r="C152" s="1" t="s">
        <v>5</v>
      </c>
      <c r="D152">
        <v>0</v>
      </c>
      <c r="E152" s="1" t="s">
        <v>1518</v>
      </c>
    </row>
    <row r="153" spans="1:5" hidden="1" x14ac:dyDescent="0.25">
      <c r="A153" s="1" t="s">
        <v>1939</v>
      </c>
      <c r="B153" s="1" t="s">
        <v>1940</v>
      </c>
      <c r="C153" s="1" t="s">
        <v>5</v>
      </c>
      <c r="D153">
        <v>0</v>
      </c>
      <c r="E153" s="1" t="s">
        <v>1518</v>
      </c>
    </row>
    <row r="154" spans="1:5" hidden="1" x14ac:dyDescent="0.25">
      <c r="A154" s="1" t="s">
        <v>1953</v>
      </c>
      <c r="B154" s="1" t="s">
        <v>1954</v>
      </c>
      <c r="C154" s="1" t="s">
        <v>5</v>
      </c>
      <c r="D154">
        <v>0</v>
      </c>
      <c r="E154" s="1" t="s">
        <v>1518</v>
      </c>
    </row>
    <row r="155" spans="1:5" hidden="1" x14ac:dyDescent="0.25">
      <c r="A155" s="1" t="s">
        <v>1957</v>
      </c>
      <c r="B155" s="1" t="s">
        <v>1958</v>
      </c>
      <c r="C155" s="1" t="s">
        <v>5</v>
      </c>
      <c r="D155">
        <v>0</v>
      </c>
      <c r="E155" s="1" t="s">
        <v>1518</v>
      </c>
    </row>
    <row r="156" spans="1:5" hidden="1" x14ac:dyDescent="0.25">
      <c r="A156" s="1" t="s">
        <v>1961</v>
      </c>
      <c r="B156" s="1" t="s">
        <v>1962</v>
      </c>
      <c r="C156" s="1" t="s">
        <v>5</v>
      </c>
      <c r="D156">
        <v>0</v>
      </c>
      <c r="E156" s="1" t="s">
        <v>1518</v>
      </c>
    </row>
    <row r="157" spans="1:5" hidden="1" x14ac:dyDescent="0.25">
      <c r="A157" s="1" t="s">
        <v>1963</v>
      </c>
      <c r="B157" s="1" t="s">
        <v>1964</v>
      </c>
      <c r="C157" s="1" t="s">
        <v>5</v>
      </c>
      <c r="D157">
        <v>0</v>
      </c>
      <c r="E157" s="1" t="s">
        <v>1518</v>
      </c>
    </row>
    <row r="158" spans="1:5" hidden="1" x14ac:dyDescent="0.25">
      <c r="A158" s="1" t="s">
        <v>1967</v>
      </c>
      <c r="B158" s="1" t="s">
        <v>1968</v>
      </c>
      <c r="C158" s="1" t="s">
        <v>5</v>
      </c>
      <c r="D158">
        <v>0</v>
      </c>
      <c r="E158" s="1" t="s">
        <v>1518</v>
      </c>
    </row>
    <row r="159" spans="1:5" hidden="1" x14ac:dyDescent="0.25">
      <c r="A159" s="1" t="s">
        <v>1969</v>
      </c>
      <c r="B159" s="1" t="s">
        <v>1970</v>
      </c>
      <c r="C159" s="1" t="s">
        <v>5</v>
      </c>
      <c r="D159">
        <v>0</v>
      </c>
      <c r="E159" s="1" t="s">
        <v>1518</v>
      </c>
    </row>
    <row r="160" spans="1:5" hidden="1" x14ac:dyDescent="0.25">
      <c r="A160" s="1" t="s">
        <v>1971</v>
      </c>
      <c r="B160" s="1" t="s">
        <v>1972</v>
      </c>
      <c r="C160" s="1" t="s">
        <v>5</v>
      </c>
      <c r="D160">
        <v>0</v>
      </c>
      <c r="E160" s="1" t="s">
        <v>1518</v>
      </c>
    </row>
    <row r="161" spans="1:5" hidden="1" x14ac:dyDescent="0.25">
      <c r="A161" s="1" t="s">
        <v>1979</v>
      </c>
      <c r="B161" s="1" t="s">
        <v>1980</v>
      </c>
      <c r="C161" s="1" t="s">
        <v>5</v>
      </c>
      <c r="D161">
        <v>0</v>
      </c>
      <c r="E161" s="1" t="s">
        <v>1518</v>
      </c>
    </row>
    <row r="162" spans="1:5" hidden="1" x14ac:dyDescent="0.25">
      <c r="A162" s="1" t="s">
        <v>1981</v>
      </c>
      <c r="B162" s="1" t="s">
        <v>1982</v>
      </c>
      <c r="C162" s="1" t="s">
        <v>5</v>
      </c>
      <c r="D162">
        <v>0</v>
      </c>
      <c r="E162" s="1" t="s">
        <v>1518</v>
      </c>
    </row>
    <row r="163" spans="1:5" hidden="1" x14ac:dyDescent="0.25">
      <c r="A163" s="1" t="s">
        <v>1983</v>
      </c>
      <c r="B163" s="1" t="s">
        <v>1984</v>
      </c>
      <c r="C163" s="1" t="s">
        <v>5</v>
      </c>
      <c r="D163">
        <v>0</v>
      </c>
      <c r="E163" s="1" t="s">
        <v>1518</v>
      </c>
    </row>
    <row r="164" spans="1:5" hidden="1" x14ac:dyDescent="0.25">
      <c r="A164" s="1" t="s">
        <v>1985</v>
      </c>
      <c r="B164" s="1" t="s">
        <v>1986</v>
      </c>
      <c r="C164" s="1" t="s">
        <v>5</v>
      </c>
      <c r="D164">
        <v>0</v>
      </c>
      <c r="E164" s="1" t="s">
        <v>1518</v>
      </c>
    </row>
    <row r="165" spans="1:5" hidden="1" x14ac:dyDescent="0.25">
      <c r="A165" s="1" t="s">
        <v>2009</v>
      </c>
      <c r="B165" s="1" t="s">
        <v>2010</v>
      </c>
      <c r="C165" s="1" t="s">
        <v>5</v>
      </c>
      <c r="D165">
        <v>0</v>
      </c>
      <c r="E165" s="1" t="s">
        <v>2006</v>
      </c>
    </row>
    <row r="166" spans="1:5" hidden="1" x14ac:dyDescent="0.25">
      <c r="A166" s="1" t="s">
        <v>2042</v>
      </c>
      <c r="B166" s="1" t="s">
        <v>2043</v>
      </c>
      <c r="C166" s="1" t="s">
        <v>5</v>
      </c>
      <c r="D166">
        <v>0</v>
      </c>
      <c r="E166" s="1" t="s">
        <v>1709</v>
      </c>
    </row>
    <row r="167" spans="1:5" hidden="1" x14ac:dyDescent="0.25">
      <c r="A167" s="1" t="s">
        <v>2044</v>
      </c>
      <c r="B167" s="1" t="s">
        <v>2045</v>
      </c>
      <c r="C167" s="1" t="s">
        <v>5</v>
      </c>
      <c r="D167">
        <v>0</v>
      </c>
      <c r="E167" s="1" t="s">
        <v>1709</v>
      </c>
    </row>
    <row r="168" spans="1:5" hidden="1" x14ac:dyDescent="0.25">
      <c r="A168" s="1" t="s">
        <v>2046</v>
      </c>
      <c r="B168" s="1" t="s">
        <v>2047</v>
      </c>
      <c r="C168" s="1" t="s">
        <v>5</v>
      </c>
      <c r="D168">
        <v>0</v>
      </c>
      <c r="E168" s="1" t="s">
        <v>1709</v>
      </c>
    </row>
    <row r="169" spans="1:5" hidden="1" x14ac:dyDescent="0.25">
      <c r="A169" s="1" t="s">
        <v>2048</v>
      </c>
      <c r="B169" s="1" t="s">
        <v>2049</v>
      </c>
      <c r="C169" s="1" t="s">
        <v>5</v>
      </c>
      <c r="D169">
        <v>0</v>
      </c>
      <c r="E169" s="1" t="s">
        <v>1709</v>
      </c>
    </row>
    <row r="170" spans="1:5" hidden="1" x14ac:dyDescent="0.25">
      <c r="A170" s="1" t="s">
        <v>2050</v>
      </c>
      <c r="B170" s="1" t="s">
        <v>2051</v>
      </c>
      <c r="C170" s="1" t="s">
        <v>5</v>
      </c>
      <c r="D170">
        <v>0</v>
      </c>
      <c r="E170" s="1" t="s">
        <v>1709</v>
      </c>
    </row>
    <row r="171" spans="1:5" hidden="1" x14ac:dyDescent="0.25">
      <c r="A171" s="1" t="s">
        <v>2052</v>
      </c>
      <c r="B171" s="1" t="s">
        <v>2053</v>
      </c>
      <c r="C171" s="1" t="s">
        <v>5</v>
      </c>
      <c r="D171">
        <v>0</v>
      </c>
      <c r="E171" s="1" t="s">
        <v>1709</v>
      </c>
    </row>
    <row r="172" spans="1:5" hidden="1" x14ac:dyDescent="0.25">
      <c r="A172" s="1" t="s">
        <v>2054</v>
      </c>
      <c r="B172" s="1" t="s">
        <v>2055</v>
      </c>
      <c r="C172" s="1" t="s">
        <v>5</v>
      </c>
      <c r="D172">
        <v>0</v>
      </c>
      <c r="E172" s="1" t="s">
        <v>1709</v>
      </c>
    </row>
    <row r="173" spans="1:5" hidden="1" x14ac:dyDescent="0.25">
      <c r="A173" s="1" t="s">
        <v>2056</v>
      </c>
      <c r="B173" s="1" t="s">
        <v>2057</v>
      </c>
      <c r="C173" s="1" t="s">
        <v>5</v>
      </c>
      <c r="D173">
        <v>0</v>
      </c>
      <c r="E173" s="1" t="s">
        <v>1709</v>
      </c>
    </row>
    <row r="174" spans="1:5" hidden="1" x14ac:dyDescent="0.25">
      <c r="A174" s="1" t="s">
        <v>2058</v>
      </c>
      <c r="B174" s="1" t="s">
        <v>2059</v>
      </c>
      <c r="C174" s="1" t="s">
        <v>5</v>
      </c>
      <c r="D174">
        <v>0</v>
      </c>
      <c r="E174" s="1" t="s">
        <v>1709</v>
      </c>
    </row>
    <row r="175" spans="1:5" hidden="1" x14ac:dyDescent="0.25">
      <c r="A175" s="1" t="s">
        <v>2060</v>
      </c>
      <c r="B175" s="1" t="s">
        <v>2061</v>
      </c>
      <c r="C175" s="1" t="s">
        <v>5</v>
      </c>
      <c r="D175">
        <v>0</v>
      </c>
      <c r="E175" s="1" t="s">
        <v>1709</v>
      </c>
    </row>
    <row r="176" spans="1:5" hidden="1" x14ac:dyDescent="0.25">
      <c r="A176" s="1" t="s">
        <v>2062</v>
      </c>
      <c r="B176" s="1" t="s">
        <v>2063</v>
      </c>
      <c r="C176" s="1" t="s">
        <v>5</v>
      </c>
      <c r="D176">
        <v>0</v>
      </c>
      <c r="E176" s="1" t="s">
        <v>1709</v>
      </c>
    </row>
    <row r="177" spans="1:5" hidden="1" x14ac:dyDescent="0.25">
      <c r="A177" s="1" t="s">
        <v>2064</v>
      </c>
      <c r="B177" s="1" t="s">
        <v>2065</v>
      </c>
      <c r="C177" s="1" t="s">
        <v>5</v>
      </c>
      <c r="D177">
        <v>0</v>
      </c>
      <c r="E177" s="1" t="s">
        <v>1709</v>
      </c>
    </row>
    <row r="178" spans="1:5" hidden="1" x14ac:dyDescent="0.25">
      <c r="A178" s="1" t="s">
        <v>2066</v>
      </c>
      <c r="B178" s="1" t="s">
        <v>2067</v>
      </c>
      <c r="C178" s="1" t="s">
        <v>5</v>
      </c>
      <c r="D178">
        <v>0</v>
      </c>
      <c r="E178" s="1" t="s">
        <v>1709</v>
      </c>
    </row>
    <row r="179" spans="1:5" hidden="1" x14ac:dyDescent="0.25">
      <c r="A179" s="1" t="s">
        <v>2068</v>
      </c>
      <c r="B179" s="1" t="s">
        <v>2069</v>
      </c>
      <c r="C179" s="1" t="s">
        <v>5</v>
      </c>
      <c r="D179">
        <v>0</v>
      </c>
      <c r="E179" s="1" t="s">
        <v>1709</v>
      </c>
    </row>
    <row r="180" spans="1:5" hidden="1" x14ac:dyDescent="0.25">
      <c r="A180" s="1" t="s">
        <v>2070</v>
      </c>
      <c r="B180" s="1" t="s">
        <v>2071</v>
      </c>
      <c r="C180" s="1" t="s">
        <v>5</v>
      </c>
      <c r="D180">
        <v>0</v>
      </c>
      <c r="E180" s="1" t="s">
        <v>1709</v>
      </c>
    </row>
    <row r="181" spans="1:5" hidden="1" x14ac:dyDescent="0.25">
      <c r="A181" s="1" t="s">
        <v>2072</v>
      </c>
      <c r="B181" s="1" t="s">
        <v>2073</v>
      </c>
      <c r="C181" s="1" t="s">
        <v>5</v>
      </c>
      <c r="D181">
        <v>0</v>
      </c>
      <c r="E181" s="1" t="s">
        <v>1709</v>
      </c>
    </row>
    <row r="182" spans="1:5" hidden="1" x14ac:dyDescent="0.25">
      <c r="A182" s="1" t="s">
        <v>2074</v>
      </c>
      <c r="B182" s="1" t="s">
        <v>2075</v>
      </c>
      <c r="C182" s="1" t="s">
        <v>5</v>
      </c>
      <c r="D182">
        <v>0</v>
      </c>
      <c r="E182" s="1" t="s">
        <v>1709</v>
      </c>
    </row>
    <row r="183" spans="1:5" hidden="1" x14ac:dyDescent="0.25">
      <c r="A183" s="1" t="s">
        <v>2076</v>
      </c>
      <c r="B183" s="1" t="s">
        <v>2077</v>
      </c>
      <c r="C183" s="1" t="s">
        <v>5</v>
      </c>
      <c r="D183">
        <v>0</v>
      </c>
      <c r="E183" s="1" t="s">
        <v>1709</v>
      </c>
    </row>
    <row r="184" spans="1:5" hidden="1" x14ac:dyDescent="0.25">
      <c r="A184" s="1" t="s">
        <v>2078</v>
      </c>
      <c r="B184" s="1" t="s">
        <v>2079</v>
      </c>
      <c r="C184" s="1" t="s">
        <v>5</v>
      </c>
      <c r="D184">
        <v>0</v>
      </c>
      <c r="E184" s="1" t="s">
        <v>1709</v>
      </c>
    </row>
    <row r="185" spans="1:5" hidden="1" x14ac:dyDescent="0.25">
      <c r="A185" s="1" t="s">
        <v>2080</v>
      </c>
      <c r="B185" s="1" t="s">
        <v>2081</v>
      </c>
      <c r="C185" s="1" t="s">
        <v>5</v>
      </c>
      <c r="D185">
        <v>0</v>
      </c>
      <c r="E185" s="1" t="s">
        <v>1709</v>
      </c>
    </row>
    <row r="186" spans="1:5" hidden="1" x14ac:dyDescent="0.25">
      <c r="A186" s="1" t="s">
        <v>2082</v>
      </c>
      <c r="B186" s="1" t="s">
        <v>2083</v>
      </c>
      <c r="C186" s="1" t="s">
        <v>5</v>
      </c>
      <c r="D186">
        <v>0</v>
      </c>
      <c r="E186" s="1" t="s">
        <v>1709</v>
      </c>
    </row>
    <row r="187" spans="1:5" hidden="1" x14ac:dyDescent="0.25">
      <c r="A187" s="1" t="s">
        <v>2084</v>
      </c>
      <c r="B187" s="1" t="s">
        <v>2085</v>
      </c>
      <c r="C187" s="1" t="s">
        <v>5</v>
      </c>
      <c r="D187">
        <v>0</v>
      </c>
      <c r="E187" s="1" t="s">
        <v>1709</v>
      </c>
    </row>
    <row r="188" spans="1:5" hidden="1" x14ac:dyDescent="0.25">
      <c r="A188" s="1" t="s">
        <v>2086</v>
      </c>
      <c r="B188" s="1" t="s">
        <v>2087</v>
      </c>
      <c r="C188" s="1" t="s">
        <v>5</v>
      </c>
      <c r="D188">
        <v>0</v>
      </c>
      <c r="E188" s="1" t="s">
        <v>1709</v>
      </c>
    </row>
    <row r="189" spans="1:5" hidden="1" x14ac:dyDescent="0.25">
      <c r="A189" s="1" t="s">
        <v>2088</v>
      </c>
      <c r="B189" s="1" t="s">
        <v>2089</v>
      </c>
      <c r="C189" s="1" t="s">
        <v>5</v>
      </c>
      <c r="D189">
        <v>0</v>
      </c>
      <c r="E189" s="1" t="s">
        <v>1709</v>
      </c>
    </row>
    <row r="190" spans="1:5" hidden="1" x14ac:dyDescent="0.25">
      <c r="A190" s="1" t="s">
        <v>2090</v>
      </c>
      <c r="B190" s="1" t="s">
        <v>2091</v>
      </c>
      <c r="C190" s="1" t="s">
        <v>5</v>
      </c>
      <c r="D190">
        <v>0</v>
      </c>
      <c r="E190" s="1" t="s">
        <v>1709</v>
      </c>
    </row>
    <row r="191" spans="1:5" hidden="1" x14ac:dyDescent="0.25">
      <c r="A191" s="1" t="s">
        <v>2092</v>
      </c>
      <c r="B191" s="1" t="s">
        <v>2093</v>
      </c>
      <c r="C191" s="1" t="s">
        <v>5</v>
      </c>
      <c r="D191">
        <v>0</v>
      </c>
      <c r="E191" s="1" t="s">
        <v>1709</v>
      </c>
    </row>
    <row r="192" spans="1:5" hidden="1" x14ac:dyDescent="0.25">
      <c r="A192" s="1" t="s">
        <v>2094</v>
      </c>
      <c r="B192" s="1" t="s">
        <v>2095</v>
      </c>
      <c r="C192" s="1" t="s">
        <v>5</v>
      </c>
      <c r="D192">
        <v>0</v>
      </c>
      <c r="E192" s="1" t="s">
        <v>1709</v>
      </c>
    </row>
    <row r="193" spans="1:5" hidden="1" x14ac:dyDescent="0.25">
      <c r="A193" s="1" t="s">
        <v>2096</v>
      </c>
      <c r="B193" s="1" t="s">
        <v>2097</v>
      </c>
      <c r="C193" s="1" t="s">
        <v>5</v>
      </c>
      <c r="D193">
        <v>0</v>
      </c>
      <c r="E193" s="1" t="s">
        <v>1709</v>
      </c>
    </row>
    <row r="194" spans="1:5" hidden="1" x14ac:dyDescent="0.25">
      <c r="A194" s="1" t="s">
        <v>2098</v>
      </c>
      <c r="B194" s="1" t="s">
        <v>2099</v>
      </c>
      <c r="C194" s="1" t="s">
        <v>5</v>
      </c>
      <c r="D194">
        <v>0</v>
      </c>
      <c r="E194" s="1" t="s">
        <v>1709</v>
      </c>
    </row>
    <row r="195" spans="1:5" hidden="1" x14ac:dyDescent="0.25">
      <c r="A195" s="1" t="s">
        <v>2100</v>
      </c>
      <c r="B195" s="1" t="s">
        <v>2101</v>
      </c>
      <c r="C195" s="1" t="s">
        <v>5</v>
      </c>
      <c r="D195">
        <v>0</v>
      </c>
      <c r="E195" s="1" t="s">
        <v>1709</v>
      </c>
    </row>
    <row r="196" spans="1:5" hidden="1" x14ac:dyDescent="0.25">
      <c r="A196" s="1" t="s">
        <v>2102</v>
      </c>
      <c r="B196" s="1" t="s">
        <v>2103</v>
      </c>
      <c r="C196" s="1" t="s">
        <v>5</v>
      </c>
      <c r="D196">
        <v>0</v>
      </c>
      <c r="E196" s="1" t="s">
        <v>1709</v>
      </c>
    </row>
    <row r="197" spans="1:5" hidden="1" x14ac:dyDescent="0.25">
      <c r="A197" s="1" t="s">
        <v>2104</v>
      </c>
      <c r="B197" s="1" t="s">
        <v>2105</v>
      </c>
      <c r="C197" s="1" t="s">
        <v>5</v>
      </c>
      <c r="D197">
        <v>0</v>
      </c>
      <c r="E197" s="1" t="s">
        <v>1709</v>
      </c>
    </row>
    <row r="198" spans="1:5" hidden="1" x14ac:dyDescent="0.25">
      <c r="A198" s="1" t="s">
        <v>2106</v>
      </c>
      <c r="B198" s="1" t="s">
        <v>2107</v>
      </c>
      <c r="C198" s="1" t="s">
        <v>5</v>
      </c>
      <c r="D198">
        <v>0</v>
      </c>
      <c r="E198" s="1" t="s">
        <v>1709</v>
      </c>
    </row>
    <row r="199" spans="1:5" hidden="1" x14ac:dyDescent="0.25">
      <c r="A199" s="1" t="s">
        <v>2108</v>
      </c>
      <c r="B199" s="1" t="s">
        <v>2109</v>
      </c>
      <c r="C199" s="1" t="s">
        <v>5</v>
      </c>
      <c r="D199">
        <v>0</v>
      </c>
      <c r="E199" s="1" t="s">
        <v>1709</v>
      </c>
    </row>
    <row r="200" spans="1:5" hidden="1" x14ac:dyDescent="0.25">
      <c r="A200" s="1" t="s">
        <v>2110</v>
      </c>
      <c r="B200" s="1" t="s">
        <v>2111</v>
      </c>
      <c r="C200" s="1" t="s">
        <v>5</v>
      </c>
      <c r="D200">
        <v>0</v>
      </c>
      <c r="E200" s="1" t="s">
        <v>1709</v>
      </c>
    </row>
    <row r="201" spans="1:5" hidden="1" x14ac:dyDescent="0.25">
      <c r="A201" s="1" t="s">
        <v>2112</v>
      </c>
      <c r="B201" s="1" t="s">
        <v>2113</v>
      </c>
      <c r="C201" s="1" t="s">
        <v>5</v>
      </c>
      <c r="D201">
        <v>0</v>
      </c>
      <c r="E201" s="1" t="s">
        <v>1709</v>
      </c>
    </row>
    <row r="202" spans="1:5" hidden="1" x14ac:dyDescent="0.25">
      <c r="A202" s="1" t="s">
        <v>2114</v>
      </c>
      <c r="B202" s="1" t="s">
        <v>2115</v>
      </c>
      <c r="C202" s="1" t="s">
        <v>5</v>
      </c>
      <c r="D202">
        <v>0</v>
      </c>
      <c r="E202" s="1" t="s">
        <v>1709</v>
      </c>
    </row>
    <row r="203" spans="1:5" hidden="1" x14ac:dyDescent="0.25">
      <c r="A203" s="1" t="s">
        <v>2116</v>
      </c>
      <c r="B203" s="1" t="s">
        <v>2117</v>
      </c>
      <c r="C203" s="1" t="s">
        <v>5</v>
      </c>
      <c r="D203">
        <v>0</v>
      </c>
      <c r="E203" s="1" t="s">
        <v>1709</v>
      </c>
    </row>
    <row r="204" spans="1:5" hidden="1" x14ac:dyDescent="0.25">
      <c r="A204" s="1" t="s">
        <v>2118</v>
      </c>
      <c r="B204" s="1" t="s">
        <v>2119</v>
      </c>
      <c r="C204" s="1" t="s">
        <v>5</v>
      </c>
      <c r="D204">
        <v>0</v>
      </c>
      <c r="E204" s="1" t="s">
        <v>1709</v>
      </c>
    </row>
    <row r="205" spans="1:5" hidden="1" x14ac:dyDescent="0.25">
      <c r="A205" s="1" t="s">
        <v>2120</v>
      </c>
      <c r="B205" s="1" t="s">
        <v>2121</v>
      </c>
      <c r="C205" s="1" t="s">
        <v>5</v>
      </c>
      <c r="D205">
        <v>0</v>
      </c>
      <c r="E205" s="1" t="s">
        <v>1709</v>
      </c>
    </row>
    <row r="206" spans="1:5" hidden="1" x14ac:dyDescent="0.25">
      <c r="A206" s="1" t="s">
        <v>2122</v>
      </c>
      <c r="B206" s="1" t="s">
        <v>2123</v>
      </c>
      <c r="C206" s="1" t="s">
        <v>5</v>
      </c>
      <c r="D206">
        <v>0</v>
      </c>
      <c r="E206" s="1" t="s">
        <v>1709</v>
      </c>
    </row>
    <row r="207" spans="1:5" hidden="1" x14ac:dyDescent="0.25">
      <c r="A207" s="1" t="s">
        <v>2124</v>
      </c>
      <c r="B207" s="1" t="s">
        <v>2125</v>
      </c>
      <c r="C207" s="1" t="s">
        <v>5</v>
      </c>
      <c r="D207">
        <v>0</v>
      </c>
      <c r="E207" s="1" t="s">
        <v>1709</v>
      </c>
    </row>
    <row r="208" spans="1:5" hidden="1" x14ac:dyDescent="0.25">
      <c r="A208" s="1" t="s">
        <v>2126</v>
      </c>
      <c r="B208" s="1" t="s">
        <v>2127</v>
      </c>
      <c r="C208" s="1" t="s">
        <v>5</v>
      </c>
      <c r="D208">
        <v>0</v>
      </c>
      <c r="E208" s="1" t="s">
        <v>1709</v>
      </c>
    </row>
    <row r="209" spans="1:5" hidden="1" x14ac:dyDescent="0.25">
      <c r="A209" s="1" t="s">
        <v>2128</v>
      </c>
      <c r="B209" s="1" t="s">
        <v>2129</v>
      </c>
      <c r="C209" s="1" t="s">
        <v>5</v>
      </c>
      <c r="D209">
        <v>0</v>
      </c>
      <c r="E209" s="1" t="s">
        <v>1709</v>
      </c>
    </row>
    <row r="210" spans="1:5" hidden="1" x14ac:dyDescent="0.25">
      <c r="A210" s="1" t="s">
        <v>2130</v>
      </c>
      <c r="B210" s="1" t="s">
        <v>2131</v>
      </c>
      <c r="C210" s="1" t="s">
        <v>5</v>
      </c>
      <c r="D210">
        <v>0</v>
      </c>
      <c r="E210" s="1" t="s">
        <v>1709</v>
      </c>
    </row>
    <row r="211" spans="1:5" hidden="1" x14ac:dyDescent="0.25">
      <c r="A211" s="1" t="s">
        <v>2132</v>
      </c>
      <c r="B211" s="1" t="s">
        <v>2133</v>
      </c>
      <c r="C211" s="1" t="s">
        <v>5</v>
      </c>
      <c r="D211">
        <v>0</v>
      </c>
      <c r="E211" s="1" t="s">
        <v>1709</v>
      </c>
    </row>
    <row r="212" spans="1:5" hidden="1" x14ac:dyDescent="0.25">
      <c r="A212" s="1" t="s">
        <v>2134</v>
      </c>
      <c r="B212" s="1" t="s">
        <v>2135</v>
      </c>
      <c r="C212" s="1" t="s">
        <v>5</v>
      </c>
      <c r="D212">
        <v>0</v>
      </c>
      <c r="E212" s="1" t="s">
        <v>1709</v>
      </c>
    </row>
    <row r="213" spans="1:5" hidden="1" x14ac:dyDescent="0.25">
      <c r="A213" s="1" t="s">
        <v>2136</v>
      </c>
      <c r="B213" s="1" t="s">
        <v>2137</v>
      </c>
      <c r="C213" s="1" t="s">
        <v>5</v>
      </c>
      <c r="D213">
        <v>0</v>
      </c>
      <c r="E213" s="1" t="s">
        <v>1709</v>
      </c>
    </row>
    <row r="214" spans="1:5" hidden="1" x14ac:dyDescent="0.25">
      <c r="A214" s="1" t="s">
        <v>2138</v>
      </c>
      <c r="B214" s="1" t="s">
        <v>2139</v>
      </c>
      <c r="C214" s="1" t="s">
        <v>5</v>
      </c>
      <c r="D214">
        <v>0</v>
      </c>
      <c r="E214" s="1" t="s">
        <v>1709</v>
      </c>
    </row>
    <row r="215" spans="1:5" hidden="1" x14ac:dyDescent="0.25">
      <c r="A215" s="1" t="s">
        <v>2140</v>
      </c>
      <c r="B215" s="1" t="s">
        <v>2141</v>
      </c>
      <c r="C215" s="1" t="s">
        <v>5</v>
      </c>
      <c r="D215">
        <v>0</v>
      </c>
      <c r="E215" s="1" t="s">
        <v>1709</v>
      </c>
    </row>
    <row r="216" spans="1:5" hidden="1" x14ac:dyDescent="0.25">
      <c r="A216" s="1" t="s">
        <v>2142</v>
      </c>
      <c r="B216" s="1" t="s">
        <v>2143</v>
      </c>
      <c r="C216" s="1" t="s">
        <v>5</v>
      </c>
      <c r="D216">
        <v>0</v>
      </c>
      <c r="E216" s="1" t="s">
        <v>1709</v>
      </c>
    </row>
    <row r="217" spans="1:5" hidden="1" x14ac:dyDescent="0.25">
      <c r="A217" s="1" t="s">
        <v>2144</v>
      </c>
      <c r="B217" s="1" t="s">
        <v>2145</v>
      </c>
      <c r="C217" s="1" t="s">
        <v>5</v>
      </c>
      <c r="D217">
        <v>0</v>
      </c>
      <c r="E217" s="1" t="s">
        <v>1709</v>
      </c>
    </row>
    <row r="218" spans="1:5" hidden="1" x14ac:dyDescent="0.25">
      <c r="A218" s="1" t="s">
        <v>2146</v>
      </c>
      <c r="B218" s="1" t="s">
        <v>2147</v>
      </c>
      <c r="C218" s="1" t="s">
        <v>5</v>
      </c>
      <c r="D218">
        <v>0</v>
      </c>
      <c r="E218" s="1" t="s">
        <v>1709</v>
      </c>
    </row>
    <row r="219" spans="1:5" hidden="1" x14ac:dyDescent="0.25">
      <c r="A219" s="1" t="s">
        <v>2148</v>
      </c>
      <c r="B219" s="1" t="s">
        <v>2149</v>
      </c>
      <c r="C219" s="1" t="s">
        <v>5</v>
      </c>
      <c r="D219">
        <v>0</v>
      </c>
      <c r="E219" s="1" t="s">
        <v>1709</v>
      </c>
    </row>
    <row r="220" spans="1:5" hidden="1" x14ac:dyDescent="0.25">
      <c r="A220" s="1" t="s">
        <v>2150</v>
      </c>
      <c r="B220" s="1" t="s">
        <v>2151</v>
      </c>
      <c r="C220" s="1" t="s">
        <v>5</v>
      </c>
      <c r="D220">
        <v>0</v>
      </c>
      <c r="E220" s="1" t="s">
        <v>1709</v>
      </c>
    </row>
    <row r="221" spans="1:5" hidden="1" x14ac:dyDescent="0.25">
      <c r="A221" s="1" t="s">
        <v>2152</v>
      </c>
      <c r="B221" s="1" t="s">
        <v>2153</v>
      </c>
      <c r="C221" s="1" t="s">
        <v>5</v>
      </c>
      <c r="D221">
        <v>0</v>
      </c>
      <c r="E221" s="1" t="s">
        <v>1709</v>
      </c>
    </row>
    <row r="222" spans="1:5" hidden="1" x14ac:dyDescent="0.25">
      <c r="A222" s="1" t="s">
        <v>2154</v>
      </c>
      <c r="B222" s="1" t="s">
        <v>2155</v>
      </c>
      <c r="C222" s="1" t="s">
        <v>5</v>
      </c>
      <c r="D222">
        <v>0</v>
      </c>
      <c r="E222" s="1" t="s">
        <v>1709</v>
      </c>
    </row>
    <row r="223" spans="1:5" hidden="1" x14ac:dyDescent="0.25">
      <c r="A223" s="1" t="s">
        <v>2156</v>
      </c>
      <c r="B223" s="1" t="s">
        <v>2157</v>
      </c>
      <c r="C223" s="1" t="s">
        <v>5</v>
      </c>
      <c r="D223">
        <v>0</v>
      </c>
      <c r="E223" s="1" t="s">
        <v>1709</v>
      </c>
    </row>
    <row r="224" spans="1:5" hidden="1" x14ac:dyDescent="0.25">
      <c r="A224" s="1" t="s">
        <v>2158</v>
      </c>
      <c r="B224" s="1" t="s">
        <v>2159</v>
      </c>
      <c r="C224" s="1" t="s">
        <v>5</v>
      </c>
      <c r="D224">
        <v>0</v>
      </c>
      <c r="E224" s="1" t="s">
        <v>1709</v>
      </c>
    </row>
    <row r="225" spans="1:5" hidden="1" x14ac:dyDescent="0.25">
      <c r="A225" s="1" t="s">
        <v>2160</v>
      </c>
      <c r="B225" s="1" t="s">
        <v>2161</v>
      </c>
      <c r="C225" s="1" t="s">
        <v>5</v>
      </c>
      <c r="D225">
        <v>0</v>
      </c>
      <c r="E225" s="1" t="s">
        <v>1709</v>
      </c>
    </row>
    <row r="226" spans="1:5" hidden="1" x14ac:dyDescent="0.25">
      <c r="A226" s="1" t="s">
        <v>2162</v>
      </c>
      <c r="B226" s="1" t="s">
        <v>2163</v>
      </c>
      <c r="C226" s="1" t="s">
        <v>5</v>
      </c>
      <c r="D226">
        <v>0</v>
      </c>
      <c r="E226" s="1" t="s">
        <v>1709</v>
      </c>
    </row>
    <row r="227" spans="1:5" hidden="1" x14ac:dyDescent="0.25">
      <c r="A227" s="1" t="s">
        <v>2164</v>
      </c>
      <c r="B227" s="1" t="s">
        <v>2165</v>
      </c>
      <c r="C227" s="1" t="s">
        <v>5</v>
      </c>
      <c r="D227">
        <v>0</v>
      </c>
      <c r="E227" s="1" t="s">
        <v>1709</v>
      </c>
    </row>
    <row r="228" spans="1:5" hidden="1" x14ac:dyDescent="0.25">
      <c r="A228" s="1" t="s">
        <v>2166</v>
      </c>
      <c r="B228" s="1" t="s">
        <v>2167</v>
      </c>
      <c r="C228" s="1" t="s">
        <v>5</v>
      </c>
      <c r="D228">
        <v>0</v>
      </c>
      <c r="E228" s="1" t="s">
        <v>1709</v>
      </c>
    </row>
    <row r="229" spans="1:5" hidden="1" x14ac:dyDescent="0.25">
      <c r="A229" s="1" t="s">
        <v>2168</v>
      </c>
      <c r="B229" s="1" t="s">
        <v>2169</v>
      </c>
      <c r="C229" s="1" t="s">
        <v>5</v>
      </c>
      <c r="D229">
        <v>0</v>
      </c>
      <c r="E229" s="1" t="s">
        <v>1709</v>
      </c>
    </row>
    <row r="230" spans="1:5" hidden="1" x14ac:dyDescent="0.25">
      <c r="A230" s="1" t="s">
        <v>2170</v>
      </c>
      <c r="B230" s="1" t="s">
        <v>2171</v>
      </c>
      <c r="C230" s="1" t="s">
        <v>5</v>
      </c>
      <c r="D230">
        <v>0</v>
      </c>
      <c r="E230" s="1" t="s">
        <v>1709</v>
      </c>
    </row>
    <row r="231" spans="1:5" hidden="1" x14ac:dyDescent="0.25">
      <c r="A231" s="1" t="s">
        <v>2172</v>
      </c>
      <c r="B231" s="1" t="s">
        <v>2173</v>
      </c>
      <c r="C231" s="1" t="s">
        <v>5</v>
      </c>
      <c r="D231">
        <v>0</v>
      </c>
      <c r="E231" s="1" t="s">
        <v>1709</v>
      </c>
    </row>
    <row r="232" spans="1:5" hidden="1" x14ac:dyDescent="0.25">
      <c r="A232" s="1" t="s">
        <v>2174</v>
      </c>
      <c r="B232" s="1" t="s">
        <v>2175</v>
      </c>
      <c r="C232" s="1" t="s">
        <v>5</v>
      </c>
      <c r="D232">
        <v>0</v>
      </c>
      <c r="E232" s="1" t="s">
        <v>1709</v>
      </c>
    </row>
    <row r="233" spans="1:5" hidden="1" x14ac:dyDescent="0.25">
      <c r="A233" s="1" t="s">
        <v>2176</v>
      </c>
      <c r="B233" s="1" t="s">
        <v>2177</v>
      </c>
      <c r="C233" s="1" t="s">
        <v>5</v>
      </c>
      <c r="D233">
        <v>0</v>
      </c>
      <c r="E233" s="1" t="s">
        <v>1709</v>
      </c>
    </row>
    <row r="234" spans="1:5" hidden="1" x14ac:dyDescent="0.25">
      <c r="A234" s="1" t="s">
        <v>2178</v>
      </c>
      <c r="B234" s="1" t="s">
        <v>2179</v>
      </c>
      <c r="C234" s="1" t="s">
        <v>5</v>
      </c>
      <c r="D234">
        <v>0</v>
      </c>
      <c r="E234" s="1" t="s">
        <v>1709</v>
      </c>
    </row>
    <row r="235" spans="1:5" hidden="1" x14ac:dyDescent="0.25">
      <c r="A235" s="1" t="s">
        <v>2180</v>
      </c>
      <c r="B235" s="1" t="s">
        <v>2181</v>
      </c>
      <c r="C235" s="1" t="s">
        <v>5</v>
      </c>
      <c r="D235">
        <v>0</v>
      </c>
      <c r="E235" s="1" t="s">
        <v>2182</v>
      </c>
    </row>
    <row r="236" spans="1:5" hidden="1" x14ac:dyDescent="0.25">
      <c r="A236" s="1" t="s">
        <v>2200</v>
      </c>
      <c r="B236" s="1" t="s">
        <v>2201</v>
      </c>
      <c r="C236" s="1" t="s">
        <v>5</v>
      </c>
      <c r="D236">
        <v>0</v>
      </c>
      <c r="E236" s="1" t="s">
        <v>1997</v>
      </c>
    </row>
    <row r="237" spans="1:5" hidden="1" x14ac:dyDescent="0.25">
      <c r="A237" s="1" t="s">
        <v>2211</v>
      </c>
      <c r="B237" s="1" t="s">
        <v>2212</v>
      </c>
      <c r="C237" s="1" t="s">
        <v>5</v>
      </c>
      <c r="D237">
        <v>0</v>
      </c>
      <c r="E237" s="1" t="s">
        <v>40</v>
      </c>
    </row>
    <row r="238" spans="1:5" hidden="1" x14ac:dyDescent="0.25">
      <c r="A238" s="1" t="s">
        <v>2213</v>
      </c>
      <c r="B238" s="1" t="s">
        <v>2214</v>
      </c>
      <c r="C238" s="1" t="s">
        <v>5</v>
      </c>
      <c r="D238">
        <v>0</v>
      </c>
      <c r="E238" s="1" t="s">
        <v>40</v>
      </c>
    </row>
    <row r="239" spans="1:5" hidden="1" x14ac:dyDescent="0.25">
      <c r="A239" s="1" t="s">
        <v>2215</v>
      </c>
      <c r="B239" s="1" t="s">
        <v>2216</v>
      </c>
      <c r="C239" s="1" t="s">
        <v>5</v>
      </c>
      <c r="D239">
        <v>0</v>
      </c>
      <c r="E239" s="1" t="s">
        <v>40</v>
      </c>
    </row>
    <row r="240" spans="1:5" hidden="1" x14ac:dyDescent="0.25">
      <c r="A240" s="1" t="s">
        <v>2217</v>
      </c>
      <c r="B240" s="1" t="s">
        <v>2218</v>
      </c>
      <c r="C240" s="1" t="s">
        <v>5</v>
      </c>
      <c r="D240">
        <v>0</v>
      </c>
      <c r="E240" s="1" t="s">
        <v>40</v>
      </c>
    </row>
    <row r="241" spans="1:5" hidden="1" x14ac:dyDescent="0.25">
      <c r="A241" s="1" t="s">
        <v>2219</v>
      </c>
      <c r="B241" s="1" t="s">
        <v>2220</v>
      </c>
      <c r="C241" s="1" t="s">
        <v>5</v>
      </c>
      <c r="D241">
        <v>0</v>
      </c>
      <c r="E241" s="1" t="s">
        <v>40</v>
      </c>
    </row>
    <row r="242" spans="1:5" hidden="1" x14ac:dyDescent="0.25">
      <c r="A242" s="1" t="s">
        <v>2221</v>
      </c>
      <c r="B242" s="1" t="s">
        <v>2222</v>
      </c>
      <c r="C242" s="1" t="s">
        <v>5</v>
      </c>
      <c r="D242">
        <v>0</v>
      </c>
      <c r="E242" s="1" t="s">
        <v>40</v>
      </c>
    </row>
    <row r="243" spans="1:5" hidden="1" x14ac:dyDescent="0.25">
      <c r="A243" s="1" t="s">
        <v>2223</v>
      </c>
      <c r="B243" s="1" t="s">
        <v>2224</v>
      </c>
      <c r="C243" s="1" t="s">
        <v>5</v>
      </c>
      <c r="D243">
        <v>0</v>
      </c>
      <c r="E243" s="1" t="s">
        <v>40</v>
      </c>
    </row>
    <row r="244" spans="1:5" hidden="1" x14ac:dyDescent="0.25">
      <c r="A244" s="1" t="s">
        <v>2225</v>
      </c>
      <c r="B244" s="1" t="s">
        <v>2226</v>
      </c>
      <c r="C244" s="1" t="s">
        <v>5</v>
      </c>
      <c r="D244">
        <v>0</v>
      </c>
      <c r="E244" s="1" t="s">
        <v>40</v>
      </c>
    </row>
    <row r="245" spans="1:5" hidden="1" x14ac:dyDescent="0.25">
      <c r="A245" s="1" t="s">
        <v>2227</v>
      </c>
      <c r="B245" s="1" t="s">
        <v>2228</v>
      </c>
      <c r="C245" s="1" t="s">
        <v>5</v>
      </c>
      <c r="D245">
        <v>0</v>
      </c>
      <c r="E245" s="1" t="s">
        <v>40</v>
      </c>
    </row>
    <row r="246" spans="1:5" hidden="1" x14ac:dyDescent="0.25">
      <c r="A246" s="1" t="s">
        <v>2229</v>
      </c>
      <c r="B246" s="1" t="s">
        <v>2230</v>
      </c>
      <c r="C246" s="1" t="s">
        <v>5</v>
      </c>
      <c r="D246">
        <v>0</v>
      </c>
      <c r="E246" s="1" t="s">
        <v>40</v>
      </c>
    </row>
    <row r="247" spans="1:5" hidden="1" x14ac:dyDescent="0.25">
      <c r="A247" s="1" t="s">
        <v>2231</v>
      </c>
      <c r="B247" s="1" t="s">
        <v>2232</v>
      </c>
      <c r="C247" s="1" t="s">
        <v>5</v>
      </c>
      <c r="D247">
        <v>0</v>
      </c>
      <c r="E247" s="1" t="s">
        <v>40</v>
      </c>
    </row>
    <row r="248" spans="1:5" hidden="1" x14ac:dyDescent="0.25">
      <c r="A248" s="1" t="s">
        <v>2233</v>
      </c>
      <c r="B248" s="1" t="s">
        <v>2234</v>
      </c>
      <c r="C248" s="1" t="s">
        <v>5</v>
      </c>
      <c r="D248">
        <v>0</v>
      </c>
      <c r="E248" s="1" t="s">
        <v>40</v>
      </c>
    </row>
    <row r="249" spans="1:5" hidden="1" x14ac:dyDescent="0.25">
      <c r="A249" s="1" t="s">
        <v>2235</v>
      </c>
      <c r="B249" s="1" t="s">
        <v>2236</v>
      </c>
      <c r="C249" s="1" t="s">
        <v>5</v>
      </c>
      <c r="D249">
        <v>0</v>
      </c>
      <c r="E249" s="1" t="s">
        <v>40</v>
      </c>
    </row>
    <row r="250" spans="1:5" hidden="1" x14ac:dyDescent="0.25">
      <c r="A250" s="1" t="s">
        <v>2237</v>
      </c>
      <c r="B250" s="1" t="s">
        <v>2238</v>
      </c>
      <c r="C250" s="1" t="s">
        <v>5</v>
      </c>
      <c r="D250">
        <v>0</v>
      </c>
      <c r="E250" s="1" t="s">
        <v>40</v>
      </c>
    </row>
    <row r="251" spans="1:5" hidden="1" x14ac:dyDescent="0.25">
      <c r="A251" s="1" t="s">
        <v>2239</v>
      </c>
      <c r="B251" s="1" t="s">
        <v>2240</v>
      </c>
      <c r="C251" s="1" t="s">
        <v>5</v>
      </c>
      <c r="D251">
        <v>0</v>
      </c>
      <c r="E251" s="1" t="s">
        <v>40</v>
      </c>
    </row>
    <row r="252" spans="1:5" hidden="1" x14ac:dyDescent="0.25">
      <c r="A252" s="1" t="s">
        <v>2241</v>
      </c>
      <c r="B252" s="1" t="s">
        <v>2242</v>
      </c>
      <c r="C252" s="1" t="s">
        <v>5</v>
      </c>
      <c r="D252">
        <v>0</v>
      </c>
      <c r="E252" s="1" t="s">
        <v>40</v>
      </c>
    </row>
    <row r="253" spans="1:5" hidden="1" x14ac:dyDescent="0.25">
      <c r="A253" s="1" t="s">
        <v>2243</v>
      </c>
      <c r="B253" s="1" t="s">
        <v>2244</v>
      </c>
      <c r="C253" s="1" t="s">
        <v>5</v>
      </c>
      <c r="D253">
        <v>0</v>
      </c>
      <c r="E253" s="1" t="s">
        <v>40</v>
      </c>
    </row>
    <row r="254" spans="1:5" hidden="1" x14ac:dyDescent="0.25">
      <c r="A254" s="1" t="s">
        <v>2245</v>
      </c>
      <c r="B254" s="1" t="s">
        <v>2246</v>
      </c>
      <c r="C254" s="1" t="s">
        <v>5</v>
      </c>
      <c r="D254">
        <v>0</v>
      </c>
      <c r="E254" s="1" t="s">
        <v>40</v>
      </c>
    </row>
    <row r="255" spans="1:5" hidden="1" x14ac:dyDescent="0.25">
      <c r="A255" s="1" t="s">
        <v>2247</v>
      </c>
      <c r="B255" s="1" t="s">
        <v>2248</v>
      </c>
      <c r="C255" s="1" t="s">
        <v>5</v>
      </c>
      <c r="D255">
        <v>0</v>
      </c>
      <c r="E255" s="1" t="s">
        <v>40</v>
      </c>
    </row>
    <row r="256" spans="1:5" hidden="1" x14ac:dyDescent="0.25">
      <c r="A256" s="1" t="s">
        <v>2249</v>
      </c>
      <c r="B256" s="1" t="s">
        <v>2250</v>
      </c>
      <c r="C256" s="1" t="s">
        <v>5</v>
      </c>
      <c r="D256">
        <v>0</v>
      </c>
      <c r="E256" s="1" t="s">
        <v>40</v>
      </c>
    </row>
    <row r="257" spans="1:5" hidden="1" x14ac:dyDescent="0.25">
      <c r="A257" s="1" t="s">
        <v>2251</v>
      </c>
      <c r="B257" s="1" t="s">
        <v>2252</v>
      </c>
      <c r="C257" s="1" t="s">
        <v>5</v>
      </c>
      <c r="D257">
        <v>0</v>
      </c>
      <c r="E257" s="1" t="s">
        <v>40</v>
      </c>
    </row>
    <row r="258" spans="1:5" hidden="1" x14ac:dyDescent="0.25">
      <c r="A258" s="1" t="s">
        <v>2253</v>
      </c>
      <c r="B258" s="1" t="s">
        <v>2254</v>
      </c>
      <c r="C258" s="1" t="s">
        <v>5</v>
      </c>
      <c r="D258">
        <v>0</v>
      </c>
      <c r="E258" s="1" t="s">
        <v>40</v>
      </c>
    </row>
    <row r="259" spans="1:5" hidden="1" x14ac:dyDescent="0.25">
      <c r="A259" s="1" t="s">
        <v>2255</v>
      </c>
      <c r="B259" s="1" t="s">
        <v>2256</v>
      </c>
      <c r="C259" s="1" t="s">
        <v>5</v>
      </c>
      <c r="D259">
        <v>0</v>
      </c>
      <c r="E259" s="1" t="s">
        <v>40</v>
      </c>
    </row>
    <row r="260" spans="1:5" hidden="1" x14ac:dyDescent="0.25">
      <c r="A260" s="1" t="s">
        <v>2257</v>
      </c>
      <c r="B260" s="1" t="s">
        <v>2258</v>
      </c>
      <c r="C260" s="1" t="s">
        <v>5</v>
      </c>
      <c r="D260">
        <v>0</v>
      </c>
      <c r="E260" s="1" t="s">
        <v>40</v>
      </c>
    </row>
    <row r="261" spans="1:5" hidden="1" x14ac:dyDescent="0.25">
      <c r="A261" s="1" t="s">
        <v>2259</v>
      </c>
      <c r="B261" s="1" t="s">
        <v>2260</v>
      </c>
      <c r="C261" s="1" t="s">
        <v>5</v>
      </c>
      <c r="D261">
        <v>0</v>
      </c>
      <c r="E261" s="1" t="s">
        <v>40</v>
      </c>
    </row>
    <row r="262" spans="1:5" hidden="1" x14ac:dyDescent="0.25">
      <c r="A262" s="1" t="s">
        <v>2261</v>
      </c>
      <c r="B262" s="1" t="s">
        <v>2262</v>
      </c>
      <c r="C262" s="1" t="s">
        <v>5</v>
      </c>
      <c r="D262">
        <v>0</v>
      </c>
      <c r="E262" s="1" t="s">
        <v>40</v>
      </c>
    </row>
    <row r="263" spans="1:5" hidden="1" x14ac:dyDescent="0.25">
      <c r="A263" s="1" t="s">
        <v>2263</v>
      </c>
      <c r="B263" s="1" t="s">
        <v>2264</v>
      </c>
      <c r="C263" s="1" t="s">
        <v>5</v>
      </c>
      <c r="D263">
        <v>0</v>
      </c>
      <c r="E263" s="1" t="s">
        <v>40</v>
      </c>
    </row>
    <row r="264" spans="1:5" hidden="1" x14ac:dyDescent="0.25">
      <c r="A264" s="1" t="s">
        <v>2265</v>
      </c>
      <c r="B264" s="1" t="s">
        <v>2266</v>
      </c>
      <c r="C264" s="1" t="s">
        <v>5</v>
      </c>
      <c r="D264">
        <v>0</v>
      </c>
      <c r="E264" s="1" t="s">
        <v>40</v>
      </c>
    </row>
    <row r="265" spans="1:5" hidden="1" x14ac:dyDescent="0.25">
      <c r="A265" s="1" t="s">
        <v>2267</v>
      </c>
      <c r="B265" s="1" t="s">
        <v>2268</v>
      </c>
      <c r="C265" s="1" t="s">
        <v>5</v>
      </c>
      <c r="D265">
        <v>0</v>
      </c>
      <c r="E265" s="1" t="s">
        <v>40</v>
      </c>
    </row>
    <row r="266" spans="1:5" hidden="1" x14ac:dyDescent="0.25">
      <c r="A266" s="1" t="s">
        <v>2269</v>
      </c>
      <c r="B266" s="1" t="s">
        <v>2270</v>
      </c>
      <c r="C266" s="1" t="s">
        <v>5</v>
      </c>
      <c r="D266">
        <v>0</v>
      </c>
      <c r="E266" s="1" t="s">
        <v>40</v>
      </c>
    </row>
    <row r="267" spans="1:5" hidden="1" x14ac:dyDescent="0.25">
      <c r="A267" s="1" t="s">
        <v>2271</v>
      </c>
      <c r="B267" s="1" t="s">
        <v>2272</v>
      </c>
      <c r="C267" s="1" t="s">
        <v>5</v>
      </c>
      <c r="D267">
        <v>0</v>
      </c>
      <c r="E267" s="1" t="s">
        <v>40</v>
      </c>
    </row>
    <row r="268" spans="1:5" hidden="1" x14ac:dyDescent="0.25">
      <c r="A268" s="1" t="s">
        <v>2273</v>
      </c>
      <c r="B268" s="1" t="s">
        <v>2274</v>
      </c>
      <c r="C268" s="1" t="s">
        <v>5</v>
      </c>
      <c r="D268">
        <v>0</v>
      </c>
      <c r="E268" s="1" t="s">
        <v>40</v>
      </c>
    </row>
    <row r="269" spans="1:5" hidden="1" x14ac:dyDescent="0.25">
      <c r="A269" s="1" t="s">
        <v>2275</v>
      </c>
      <c r="B269" s="1" t="s">
        <v>2276</v>
      </c>
      <c r="C269" s="1" t="s">
        <v>5</v>
      </c>
      <c r="D269">
        <v>0</v>
      </c>
      <c r="E269" s="1" t="s">
        <v>40</v>
      </c>
    </row>
    <row r="270" spans="1:5" hidden="1" x14ac:dyDescent="0.25">
      <c r="A270" s="1" t="s">
        <v>2277</v>
      </c>
      <c r="B270" s="1" t="s">
        <v>2278</v>
      </c>
      <c r="C270" s="1" t="s">
        <v>5</v>
      </c>
      <c r="D270">
        <v>0</v>
      </c>
      <c r="E270" s="1" t="s">
        <v>40</v>
      </c>
    </row>
    <row r="271" spans="1:5" hidden="1" x14ac:dyDescent="0.25">
      <c r="A271" s="1" t="s">
        <v>2279</v>
      </c>
      <c r="B271" s="1" t="s">
        <v>2280</v>
      </c>
      <c r="C271" s="1" t="s">
        <v>5</v>
      </c>
      <c r="D271">
        <v>0</v>
      </c>
      <c r="E271" s="1" t="s">
        <v>40</v>
      </c>
    </row>
    <row r="272" spans="1:5" hidden="1" x14ac:dyDescent="0.25">
      <c r="A272" s="1" t="s">
        <v>2281</v>
      </c>
      <c r="B272" s="1" t="s">
        <v>2282</v>
      </c>
      <c r="C272" s="1" t="s">
        <v>5</v>
      </c>
      <c r="D272">
        <v>0</v>
      </c>
      <c r="E272" s="1" t="s">
        <v>40</v>
      </c>
    </row>
    <row r="273" spans="1:5" hidden="1" x14ac:dyDescent="0.25">
      <c r="A273" s="1" t="s">
        <v>2283</v>
      </c>
      <c r="B273" s="1" t="s">
        <v>2284</v>
      </c>
      <c r="C273" s="1" t="s">
        <v>5</v>
      </c>
      <c r="D273">
        <v>0</v>
      </c>
      <c r="E273" s="1" t="s">
        <v>40</v>
      </c>
    </row>
    <row r="274" spans="1:5" hidden="1" x14ac:dyDescent="0.25">
      <c r="A274" s="1" t="s">
        <v>2285</v>
      </c>
      <c r="B274" s="1" t="s">
        <v>2286</v>
      </c>
      <c r="C274" s="1" t="s">
        <v>5</v>
      </c>
      <c r="D274">
        <v>0</v>
      </c>
      <c r="E274" s="1" t="s">
        <v>40</v>
      </c>
    </row>
    <row r="275" spans="1:5" hidden="1" x14ac:dyDescent="0.25">
      <c r="A275" s="1" t="s">
        <v>2287</v>
      </c>
      <c r="B275" s="1" t="s">
        <v>2288</v>
      </c>
      <c r="C275" s="1" t="s">
        <v>5</v>
      </c>
      <c r="D275">
        <v>0</v>
      </c>
      <c r="E275" s="1" t="s">
        <v>40</v>
      </c>
    </row>
    <row r="276" spans="1:5" hidden="1" x14ac:dyDescent="0.25">
      <c r="A276" s="1" t="s">
        <v>2289</v>
      </c>
      <c r="B276" s="1" t="s">
        <v>2290</v>
      </c>
      <c r="C276" s="1" t="s">
        <v>5</v>
      </c>
      <c r="D276">
        <v>0</v>
      </c>
      <c r="E276" s="1" t="s">
        <v>40</v>
      </c>
    </row>
    <row r="277" spans="1:5" hidden="1" x14ac:dyDescent="0.25">
      <c r="A277" s="1" t="s">
        <v>2291</v>
      </c>
      <c r="B277" s="1" t="s">
        <v>2292</v>
      </c>
      <c r="C277" s="1" t="s">
        <v>5</v>
      </c>
      <c r="D277">
        <v>0</v>
      </c>
      <c r="E277" s="1" t="s">
        <v>40</v>
      </c>
    </row>
    <row r="278" spans="1:5" hidden="1" x14ac:dyDescent="0.25">
      <c r="A278" s="1" t="s">
        <v>2293</v>
      </c>
      <c r="B278" s="1" t="s">
        <v>2294</v>
      </c>
      <c r="C278" s="1" t="s">
        <v>5</v>
      </c>
      <c r="D278">
        <v>0</v>
      </c>
      <c r="E278" s="1" t="s">
        <v>40</v>
      </c>
    </row>
    <row r="279" spans="1:5" hidden="1" x14ac:dyDescent="0.25">
      <c r="A279" s="1" t="s">
        <v>2295</v>
      </c>
      <c r="B279" s="1" t="s">
        <v>2296</v>
      </c>
      <c r="C279" s="1" t="s">
        <v>5</v>
      </c>
      <c r="D279">
        <v>0</v>
      </c>
      <c r="E279" s="1" t="s">
        <v>40</v>
      </c>
    </row>
    <row r="280" spans="1:5" hidden="1" x14ac:dyDescent="0.25">
      <c r="A280" s="1" t="s">
        <v>2297</v>
      </c>
      <c r="B280" s="1" t="s">
        <v>2298</v>
      </c>
      <c r="C280" s="1" t="s">
        <v>5</v>
      </c>
      <c r="D280">
        <v>0</v>
      </c>
      <c r="E280" s="1" t="s">
        <v>40</v>
      </c>
    </row>
    <row r="281" spans="1:5" hidden="1" x14ac:dyDescent="0.25">
      <c r="A281" s="1" t="s">
        <v>2299</v>
      </c>
      <c r="B281" s="1" t="s">
        <v>2300</v>
      </c>
      <c r="C281" s="1" t="s">
        <v>5</v>
      </c>
      <c r="D281">
        <v>0</v>
      </c>
      <c r="E281" s="1" t="s">
        <v>40</v>
      </c>
    </row>
    <row r="282" spans="1:5" hidden="1" x14ac:dyDescent="0.25">
      <c r="A282" s="1" t="s">
        <v>2301</v>
      </c>
      <c r="B282" s="1" t="s">
        <v>2302</v>
      </c>
      <c r="C282" s="1" t="s">
        <v>5</v>
      </c>
      <c r="D282">
        <v>0</v>
      </c>
      <c r="E282" s="1" t="s">
        <v>40</v>
      </c>
    </row>
    <row r="283" spans="1:5" hidden="1" x14ac:dyDescent="0.25">
      <c r="A283" s="1" t="s">
        <v>2303</v>
      </c>
      <c r="B283" s="1" t="s">
        <v>2304</v>
      </c>
      <c r="C283" s="1" t="s">
        <v>5</v>
      </c>
      <c r="D283">
        <v>0</v>
      </c>
      <c r="E283" s="1" t="s">
        <v>40</v>
      </c>
    </row>
    <row r="284" spans="1:5" hidden="1" x14ac:dyDescent="0.25">
      <c r="A284" s="1" t="s">
        <v>2305</v>
      </c>
      <c r="B284" s="1" t="s">
        <v>2306</v>
      </c>
      <c r="C284" s="1" t="s">
        <v>5</v>
      </c>
      <c r="D284">
        <v>0</v>
      </c>
      <c r="E284" s="1" t="s">
        <v>40</v>
      </c>
    </row>
    <row r="285" spans="1:5" hidden="1" x14ac:dyDescent="0.25">
      <c r="A285" s="1" t="s">
        <v>2307</v>
      </c>
      <c r="B285" s="1" t="s">
        <v>2308</v>
      </c>
      <c r="C285" s="1" t="s">
        <v>5</v>
      </c>
      <c r="D285">
        <v>0</v>
      </c>
      <c r="E285" s="1" t="s">
        <v>40</v>
      </c>
    </row>
    <row r="286" spans="1:5" hidden="1" x14ac:dyDescent="0.25">
      <c r="A286" s="1" t="s">
        <v>2327</v>
      </c>
      <c r="B286" s="1" t="s">
        <v>2328</v>
      </c>
      <c r="C286" s="1" t="s">
        <v>5</v>
      </c>
      <c r="D286">
        <v>0</v>
      </c>
      <c r="E286" s="1" t="s">
        <v>1472</v>
      </c>
    </row>
    <row r="287" spans="1:5" hidden="1" x14ac:dyDescent="0.25">
      <c r="A287" s="1" t="s">
        <v>2331</v>
      </c>
      <c r="B287" s="1" t="s">
        <v>2332</v>
      </c>
      <c r="C287" s="1" t="s">
        <v>5</v>
      </c>
      <c r="D287">
        <v>0</v>
      </c>
      <c r="E287" s="1" t="s">
        <v>1472</v>
      </c>
    </row>
    <row r="288" spans="1:5" hidden="1" x14ac:dyDescent="0.25">
      <c r="A288" s="1" t="s">
        <v>2351</v>
      </c>
      <c r="B288" s="1" t="s">
        <v>2352</v>
      </c>
      <c r="C288" s="1" t="s">
        <v>5</v>
      </c>
      <c r="D288">
        <v>0</v>
      </c>
      <c r="E288" s="1" t="s">
        <v>2353</v>
      </c>
    </row>
    <row r="289" spans="1:5" hidden="1" x14ac:dyDescent="0.25">
      <c r="A289" s="1" t="s">
        <v>2354</v>
      </c>
      <c r="B289" s="1" t="s">
        <v>2355</v>
      </c>
      <c r="C289" s="1" t="s">
        <v>5</v>
      </c>
      <c r="D289">
        <v>0</v>
      </c>
      <c r="E289" s="1" t="s">
        <v>2353</v>
      </c>
    </row>
    <row r="290" spans="1:5" hidden="1" x14ac:dyDescent="0.25">
      <c r="A290" s="1" t="s">
        <v>2356</v>
      </c>
      <c r="B290" s="1" t="s">
        <v>2357</v>
      </c>
      <c r="C290" s="1" t="s">
        <v>5</v>
      </c>
      <c r="D290">
        <v>0</v>
      </c>
      <c r="E290" s="1" t="s">
        <v>2353</v>
      </c>
    </row>
    <row r="291" spans="1:5" hidden="1" x14ac:dyDescent="0.25">
      <c r="A291" s="1" t="s">
        <v>2358</v>
      </c>
      <c r="B291" s="1" t="s">
        <v>2359</v>
      </c>
      <c r="C291" s="1" t="s">
        <v>5</v>
      </c>
      <c r="D291">
        <v>0</v>
      </c>
      <c r="E291" s="1" t="s">
        <v>2353</v>
      </c>
    </row>
    <row r="292" spans="1:5" hidden="1" x14ac:dyDescent="0.25">
      <c r="A292" s="1" t="s">
        <v>2360</v>
      </c>
      <c r="B292" s="1" t="s">
        <v>2361</v>
      </c>
      <c r="C292" s="1" t="s">
        <v>5</v>
      </c>
      <c r="D292">
        <v>0</v>
      </c>
      <c r="E292" s="1" t="s">
        <v>2353</v>
      </c>
    </row>
    <row r="293" spans="1:5" hidden="1" x14ac:dyDescent="0.25">
      <c r="A293" s="1" t="s">
        <v>2362</v>
      </c>
      <c r="B293" s="1" t="s">
        <v>2363</v>
      </c>
      <c r="C293" s="1" t="s">
        <v>5</v>
      </c>
      <c r="D293">
        <v>0</v>
      </c>
      <c r="E293" s="1" t="s">
        <v>2353</v>
      </c>
    </row>
    <row r="294" spans="1:5" hidden="1" x14ac:dyDescent="0.25">
      <c r="A294" s="1" t="s">
        <v>2364</v>
      </c>
      <c r="B294" s="1" t="s">
        <v>2365</v>
      </c>
      <c r="C294" s="1" t="s">
        <v>5</v>
      </c>
      <c r="D294">
        <v>0</v>
      </c>
      <c r="E294" s="1" t="s">
        <v>2353</v>
      </c>
    </row>
    <row r="295" spans="1:5" hidden="1" x14ac:dyDescent="0.25">
      <c r="A295" s="1" t="s">
        <v>2394</v>
      </c>
      <c r="B295" s="1" t="s">
        <v>2395</v>
      </c>
      <c r="C295" s="1" t="s">
        <v>5</v>
      </c>
      <c r="D295">
        <v>0</v>
      </c>
      <c r="E295" s="1" t="s">
        <v>1472</v>
      </c>
    </row>
    <row r="296" spans="1:5" hidden="1" x14ac:dyDescent="0.25">
      <c r="A296" s="1" t="s">
        <v>2418</v>
      </c>
      <c r="B296" s="1" t="s">
        <v>2419</v>
      </c>
      <c r="C296" s="1" t="s">
        <v>5</v>
      </c>
      <c r="D296">
        <v>0</v>
      </c>
      <c r="E296" s="1" t="s">
        <v>2420</v>
      </c>
    </row>
    <row r="297" spans="1:5" hidden="1" x14ac:dyDescent="0.25">
      <c r="A297" s="1" t="s">
        <v>2421</v>
      </c>
      <c r="B297" s="1" t="s">
        <v>2422</v>
      </c>
      <c r="C297" s="1" t="s">
        <v>5</v>
      </c>
      <c r="D297">
        <v>0</v>
      </c>
      <c r="E297" s="1" t="s">
        <v>2420</v>
      </c>
    </row>
    <row r="298" spans="1:5" hidden="1" x14ac:dyDescent="0.25">
      <c r="A298" s="1" t="s">
        <v>2423</v>
      </c>
      <c r="B298" s="1" t="s">
        <v>2424</v>
      </c>
      <c r="C298" s="1" t="s">
        <v>5</v>
      </c>
      <c r="D298">
        <v>0</v>
      </c>
      <c r="E298" s="1" t="s">
        <v>2420</v>
      </c>
    </row>
    <row r="299" spans="1:5" hidden="1" x14ac:dyDescent="0.25">
      <c r="A299" s="1" t="s">
        <v>2425</v>
      </c>
      <c r="B299" s="1" t="s">
        <v>2426</v>
      </c>
      <c r="C299" s="1" t="s">
        <v>5</v>
      </c>
      <c r="D299">
        <v>0</v>
      </c>
      <c r="E299" s="1" t="s">
        <v>2420</v>
      </c>
    </row>
    <row r="300" spans="1:5" hidden="1" x14ac:dyDescent="0.25">
      <c r="A300" s="1" t="s">
        <v>2427</v>
      </c>
      <c r="B300" s="1" t="s">
        <v>2428</v>
      </c>
      <c r="C300" s="1" t="s">
        <v>5</v>
      </c>
      <c r="D300">
        <v>0</v>
      </c>
      <c r="E300" s="1" t="s">
        <v>2420</v>
      </c>
    </row>
    <row r="301" spans="1:5" hidden="1" x14ac:dyDescent="0.25">
      <c r="A301" s="1" t="s">
        <v>2429</v>
      </c>
      <c r="B301" s="1" t="s">
        <v>2430</v>
      </c>
      <c r="C301" s="1" t="s">
        <v>5</v>
      </c>
      <c r="D301">
        <v>0</v>
      </c>
      <c r="E301" s="1" t="s">
        <v>2420</v>
      </c>
    </row>
    <row r="302" spans="1:5" hidden="1" x14ac:dyDescent="0.25">
      <c r="A302" s="1" t="s">
        <v>2431</v>
      </c>
      <c r="B302" s="1" t="s">
        <v>2432</v>
      </c>
      <c r="C302" s="1" t="s">
        <v>5</v>
      </c>
      <c r="D302">
        <v>0</v>
      </c>
      <c r="E302" s="1" t="s">
        <v>2433</v>
      </c>
    </row>
    <row r="303" spans="1:5" hidden="1" x14ac:dyDescent="0.25">
      <c r="A303" s="1" t="s">
        <v>2434</v>
      </c>
      <c r="B303" s="1" t="s">
        <v>2435</v>
      </c>
      <c r="C303" s="1" t="s">
        <v>5</v>
      </c>
      <c r="D303">
        <v>0</v>
      </c>
      <c r="E303" s="1" t="s">
        <v>2433</v>
      </c>
    </row>
    <row r="304" spans="1:5" hidden="1" x14ac:dyDescent="0.25">
      <c r="A304" s="1" t="s">
        <v>2436</v>
      </c>
      <c r="B304" s="1" t="s">
        <v>2437</v>
      </c>
      <c r="C304" s="1" t="s">
        <v>5</v>
      </c>
      <c r="D304">
        <v>0</v>
      </c>
      <c r="E304" s="1" t="s">
        <v>2433</v>
      </c>
    </row>
    <row r="305" spans="1:5" hidden="1" x14ac:dyDescent="0.25">
      <c r="A305" s="1" t="s">
        <v>2438</v>
      </c>
      <c r="B305" s="1" t="s">
        <v>2439</v>
      </c>
      <c r="C305" s="1" t="s">
        <v>5</v>
      </c>
      <c r="D305">
        <v>0</v>
      </c>
      <c r="E305" s="1" t="s">
        <v>2433</v>
      </c>
    </row>
    <row r="306" spans="1:5" hidden="1" x14ac:dyDescent="0.25">
      <c r="A306" s="1" t="s">
        <v>2440</v>
      </c>
      <c r="B306" s="1" t="s">
        <v>2441</v>
      </c>
      <c r="C306" s="1" t="s">
        <v>5</v>
      </c>
      <c r="D306">
        <v>0</v>
      </c>
      <c r="E306" s="1" t="s">
        <v>2433</v>
      </c>
    </row>
    <row r="307" spans="1:5" hidden="1" x14ac:dyDescent="0.25">
      <c r="A307" s="1" t="s">
        <v>2442</v>
      </c>
      <c r="B307" s="1" t="s">
        <v>2443</v>
      </c>
      <c r="C307" s="1" t="s">
        <v>5</v>
      </c>
      <c r="D307">
        <v>0</v>
      </c>
      <c r="E307" s="1" t="s">
        <v>2433</v>
      </c>
    </row>
    <row r="308" spans="1:5" hidden="1" x14ac:dyDescent="0.25">
      <c r="A308" s="1" t="s">
        <v>2444</v>
      </c>
      <c r="B308" s="1" t="s">
        <v>2445</v>
      </c>
      <c r="C308" s="1" t="s">
        <v>5</v>
      </c>
      <c r="D308">
        <v>0</v>
      </c>
      <c r="E308" s="1" t="s">
        <v>2433</v>
      </c>
    </row>
    <row r="309" spans="1:5" hidden="1" x14ac:dyDescent="0.25">
      <c r="A309" s="1" t="s">
        <v>2446</v>
      </c>
      <c r="B309" s="1" t="s">
        <v>2447</v>
      </c>
      <c r="C309" s="1" t="s">
        <v>5</v>
      </c>
      <c r="D309">
        <v>0</v>
      </c>
      <c r="E309" s="1" t="s">
        <v>2433</v>
      </c>
    </row>
    <row r="310" spans="1:5" hidden="1" x14ac:dyDescent="0.25">
      <c r="A310" s="1" t="s">
        <v>2448</v>
      </c>
      <c r="B310" s="1" t="s">
        <v>2449</v>
      </c>
      <c r="C310" s="1" t="s">
        <v>5</v>
      </c>
      <c r="D310">
        <v>0</v>
      </c>
      <c r="E310" s="1" t="s">
        <v>2433</v>
      </c>
    </row>
    <row r="311" spans="1:5" hidden="1" x14ac:dyDescent="0.25">
      <c r="A311" s="1" t="s">
        <v>2450</v>
      </c>
      <c r="B311" s="1" t="s">
        <v>2451</v>
      </c>
      <c r="C311" s="1" t="s">
        <v>5</v>
      </c>
      <c r="D311">
        <v>0</v>
      </c>
      <c r="E311" s="1" t="s">
        <v>2433</v>
      </c>
    </row>
    <row r="312" spans="1:5" hidden="1" x14ac:dyDescent="0.25">
      <c r="A312" s="1" t="s">
        <v>2452</v>
      </c>
      <c r="B312" s="1" t="s">
        <v>2453</v>
      </c>
      <c r="C312" s="1" t="s">
        <v>5</v>
      </c>
      <c r="D312">
        <v>0</v>
      </c>
      <c r="E312" s="1" t="s">
        <v>2433</v>
      </c>
    </row>
    <row r="313" spans="1:5" hidden="1" x14ac:dyDescent="0.25">
      <c r="A313" s="1" t="s">
        <v>2454</v>
      </c>
      <c r="B313" s="1" t="s">
        <v>2455</v>
      </c>
      <c r="C313" s="1" t="s">
        <v>5</v>
      </c>
      <c r="D313">
        <v>0</v>
      </c>
      <c r="E313" s="1" t="s">
        <v>2433</v>
      </c>
    </row>
    <row r="314" spans="1:5" hidden="1" x14ac:dyDescent="0.25">
      <c r="A314" s="1" t="s">
        <v>2474</v>
      </c>
      <c r="B314" s="1" t="s">
        <v>2475</v>
      </c>
      <c r="C314" s="1" t="s">
        <v>5</v>
      </c>
      <c r="D314">
        <v>0</v>
      </c>
      <c r="E314" s="1" t="s">
        <v>1473</v>
      </c>
    </row>
    <row r="315" spans="1:5" hidden="1" x14ac:dyDescent="0.25">
      <c r="A315" s="1" t="s">
        <v>2517</v>
      </c>
      <c r="B315" s="1" t="s">
        <v>2518</v>
      </c>
      <c r="C315" s="1" t="s">
        <v>5</v>
      </c>
      <c r="D315">
        <v>0</v>
      </c>
      <c r="E315" s="1" t="s">
        <v>2433</v>
      </c>
    </row>
    <row r="316" spans="1:5" hidden="1" x14ac:dyDescent="0.25">
      <c r="A316" s="1" t="s">
        <v>2519</v>
      </c>
      <c r="B316" s="1" t="s">
        <v>2520</v>
      </c>
      <c r="C316" s="1" t="s">
        <v>5</v>
      </c>
      <c r="D316">
        <v>0</v>
      </c>
      <c r="E316" s="1" t="s">
        <v>2433</v>
      </c>
    </row>
    <row r="317" spans="1:5" hidden="1" x14ac:dyDescent="0.25">
      <c r="A317" s="1" t="s">
        <v>2538</v>
      </c>
      <c r="B317" s="1" t="s">
        <v>2539</v>
      </c>
      <c r="C317" s="1" t="s">
        <v>5</v>
      </c>
      <c r="D317">
        <v>0</v>
      </c>
      <c r="E317" s="1" t="s">
        <v>2353</v>
      </c>
    </row>
    <row r="318" spans="1:5" hidden="1" x14ac:dyDescent="0.25">
      <c r="A318" s="1" t="s">
        <v>2540</v>
      </c>
      <c r="B318" s="1" t="s">
        <v>2541</v>
      </c>
      <c r="C318" s="1" t="s">
        <v>5</v>
      </c>
      <c r="D318">
        <v>0</v>
      </c>
      <c r="E318" s="1" t="s">
        <v>2353</v>
      </c>
    </row>
    <row r="319" spans="1:5" hidden="1" x14ac:dyDescent="0.25">
      <c r="A319" s="1" t="s">
        <v>2542</v>
      </c>
      <c r="B319" s="1" t="s">
        <v>2543</v>
      </c>
      <c r="C319" s="1" t="s">
        <v>5</v>
      </c>
      <c r="D319">
        <v>0</v>
      </c>
      <c r="E319" s="1" t="s">
        <v>2353</v>
      </c>
    </row>
    <row r="320" spans="1:5" hidden="1" x14ac:dyDescent="0.25">
      <c r="A320" s="1" t="s">
        <v>2544</v>
      </c>
      <c r="B320" s="1" t="s">
        <v>2545</v>
      </c>
      <c r="C320" s="1" t="s">
        <v>5</v>
      </c>
      <c r="D320">
        <v>0</v>
      </c>
      <c r="E320" s="1" t="s">
        <v>2353</v>
      </c>
    </row>
    <row r="321" spans="1:5" hidden="1" x14ac:dyDescent="0.25">
      <c r="A321" s="1" t="s">
        <v>2548</v>
      </c>
      <c r="B321" s="1" t="s">
        <v>2549</v>
      </c>
      <c r="C321" s="1" t="s">
        <v>5</v>
      </c>
      <c r="D321">
        <v>0</v>
      </c>
      <c r="E321" s="1" t="s">
        <v>2353</v>
      </c>
    </row>
    <row r="322" spans="1:5" hidden="1" x14ac:dyDescent="0.25">
      <c r="A322" s="1" t="s">
        <v>2550</v>
      </c>
      <c r="B322" s="1" t="s">
        <v>2551</v>
      </c>
      <c r="C322" s="1" t="s">
        <v>5</v>
      </c>
      <c r="D322">
        <v>0</v>
      </c>
      <c r="E322" s="1" t="s">
        <v>2353</v>
      </c>
    </row>
    <row r="323" spans="1:5" hidden="1" x14ac:dyDescent="0.25">
      <c r="A323" s="1" t="s">
        <v>2567</v>
      </c>
      <c r="B323" s="1" t="s">
        <v>2568</v>
      </c>
      <c r="C323" s="1" t="s">
        <v>5</v>
      </c>
      <c r="D323">
        <v>0</v>
      </c>
      <c r="E323" s="1" t="s">
        <v>2564</v>
      </c>
    </row>
    <row r="324" spans="1:5" hidden="1" x14ac:dyDescent="0.25">
      <c r="A324" s="1" t="s">
        <v>2609</v>
      </c>
      <c r="B324" s="1" t="s">
        <v>2610</v>
      </c>
      <c r="C324" s="1" t="s">
        <v>5</v>
      </c>
      <c r="D324">
        <v>0</v>
      </c>
      <c r="E324" s="1" t="s">
        <v>2523</v>
      </c>
    </row>
    <row r="325" spans="1:5" hidden="1" x14ac:dyDescent="0.25">
      <c r="A325" s="1" t="s">
        <v>2611</v>
      </c>
      <c r="B325" s="1" t="s">
        <v>2612</v>
      </c>
      <c r="C325" s="1" t="s">
        <v>5</v>
      </c>
      <c r="D325">
        <v>0</v>
      </c>
      <c r="E325" s="1" t="s">
        <v>2523</v>
      </c>
    </row>
    <row r="326" spans="1:5" hidden="1" x14ac:dyDescent="0.25">
      <c r="A326" s="1" t="s">
        <v>2613</v>
      </c>
      <c r="B326" s="1" t="s">
        <v>2614</v>
      </c>
      <c r="C326" s="1" t="s">
        <v>5</v>
      </c>
      <c r="D326">
        <v>0</v>
      </c>
      <c r="E326" s="1" t="s">
        <v>2523</v>
      </c>
    </row>
    <row r="327" spans="1:5" hidden="1" x14ac:dyDescent="0.25">
      <c r="A327" s="1" t="s">
        <v>2615</v>
      </c>
      <c r="B327" s="1" t="s">
        <v>2616</v>
      </c>
      <c r="C327" s="1" t="s">
        <v>5</v>
      </c>
      <c r="D327">
        <v>0</v>
      </c>
      <c r="E327" s="1" t="s">
        <v>2523</v>
      </c>
    </row>
    <row r="328" spans="1:5" hidden="1" x14ac:dyDescent="0.25">
      <c r="A328" s="1" t="s">
        <v>2621</v>
      </c>
      <c r="B328" s="1" t="s">
        <v>2622</v>
      </c>
      <c r="C328" s="1" t="s">
        <v>5</v>
      </c>
      <c r="D328">
        <v>0</v>
      </c>
      <c r="E328" s="1" t="s">
        <v>2523</v>
      </c>
    </row>
    <row r="329" spans="1:5" hidden="1" x14ac:dyDescent="0.25">
      <c r="A329" s="1" t="s">
        <v>2623</v>
      </c>
      <c r="B329" s="1" t="s">
        <v>2624</v>
      </c>
      <c r="C329" s="1" t="s">
        <v>5</v>
      </c>
      <c r="D329">
        <v>0</v>
      </c>
      <c r="E329" s="1" t="s">
        <v>2523</v>
      </c>
    </row>
    <row r="330" spans="1:5" hidden="1" x14ac:dyDescent="0.25">
      <c r="A330" s="1" t="s">
        <v>2625</v>
      </c>
      <c r="B330" s="1" t="s">
        <v>2626</v>
      </c>
      <c r="C330" s="1" t="s">
        <v>5</v>
      </c>
      <c r="D330">
        <v>0</v>
      </c>
      <c r="E330" s="1" t="s">
        <v>2523</v>
      </c>
    </row>
    <row r="331" spans="1:5" hidden="1" x14ac:dyDescent="0.25">
      <c r="A331" s="1" t="s">
        <v>2627</v>
      </c>
      <c r="B331" s="1" t="s">
        <v>2628</v>
      </c>
      <c r="C331" s="1" t="s">
        <v>5</v>
      </c>
      <c r="D331">
        <v>0</v>
      </c>
      <c r="E331" s="1" t="s">
        <v>2523</v>
      </c>
    </row>
    <row r="332" spans="1:5" hidden="1" x14ac:dyDescent="0.25">
      <c r="A332" s="1" t="s">
        <v>2629</v>
      </c>
      <c r="B332" s="1" t="s">
        <v>2630</v>
      </c>
      <c r="C332" s="1" t="s">
        <v>5</v>
      </c>
      <c r="D332">
        <v>0</v>
      </c>
      <c r="E332" s="1" t="s">
        <v>2523</v>
      </c>
    </row>
    <row r="333" spans="1:5" hidden="1" x14ac:dyDescent="0.25">
      <c r="A333" s="1" t="s">
        <v>2631</v>
      </c>
      <c r="B333" s="1" t="s">
        <v>2632</v>
      </c>
      <c r="C333" s="1" t="s">
        <v>5</v>
      </c>
      <c r="D333">
        <v>0</v>
      </c>
      <c r="E333" s="1" t="s">
        <v>2523</v>
      </c>
    </row>
    <row r="334" spans="1:5" hidden="1" x14ac:dyDescent="0.25">
      <c r="A334" s="1" t="s">
        <v>2633</v>
      </c>
      <c r="B334" s="1" t="s">
        <v>2634</v>
      </c>
      <c r="C334" s="1" t="s">
        <v>5</v>
      </c>
      <c r="D334">
        <v>0</v>
      </c>
      <c r="E334" s="1" t="s">
        <v>2523</v>
      </c>
    </row>
    <row r="335" spans="1:5" hidden="1" x14ac:dyDescent="0.25">
      <c r="A335" s="1" t="s">
        <v>2635</v>
      </c>
      <c r="B335" s="1" t="s">
        <v>2636</v>
      </c>
      <c r="C335" s="1" t="s">
        <v>5</v>
      </c>
      <c r="D335">
        <v>0</v>
      </c>
      <c r="E335" s="1" t="s">
        <v>2523</v>
      </c>
    </row>
    <row r="336" spans="1:5" hidden="1" x14ac:dyDescent="0.25">
      <c r="A336" s="1" t="s">
        <v>2637</v>
      </c>
      <c r="B336" s="1" t="s">
        <v>2638</v>
      </c>
      <c r="C336" s="1" t="s">
        <v>5</v>
      </c>
      <c r="D336">
        <v>0</v>
      </c>
      <c r="E336" s="1" t="s">
        <v>2523</v>
      </c>
    </row>
    <row r="337" spans="1:5" hidden="1" x14ac:dyDescent="0.25">
      <c r="A337" s="1" t="s">
        <v>2639</v>
      </c>
      <c r="B337" s="1" t="s">
        <v>2640</v>
      </c>
      <c r="C337" s="1" t="s">
        <v>5</v>
      </c>
      <c r="D337">
        <v>0</v>
      </c>
      <c r="E337" s="1" t="s">
        <v>2523</v>
      </c>
    </row>
    <row r="338" spans="1:5" hidden="1" x14ac:dyDescent="0.25">
      <c r="A338" s="1" t="s">
        <v>2641</v>
      </c>
      <c r="B338" s="1" t="s">
        <v>2642</v>
      </c>
      <c r="C338" s="1" t="s">
        <v>5</v>
      </c>
      <c r="D338">
        <v>0</v>
      </c>
      <c r="E338" s="1" t="s">
        <v>2523</v>
      </c>
    </row>
    <row r="339" spans="1:5" hidden="1" x14ac:dyDescent="0.25">
      <c r="A339" s="1" t="s">
        <v>2643</v>
      </c>
      <c r="B339" s="1" t="s">
        <v>2644</v>
      </c>
      <c r="C339" s="1" t="s">
        <v>5</v>
      </c>
      <c r="D339">
        <v>0</v>
      </c>
      <c r="E339" s="1" t="s">
        <v>2523</v>
      </c>
    </row>
    <row r="340" spans="1:5" hidden="1" x14ac:dyDescent="0.25">
      <c r="A340" s="1" t="s">
        <v>2653</v>
      </c>
      <c r="B340" s="1" t="s">
        <v>2654</v>
      </c>
      <c r="C340" s="1" t="s">
        <v>5</v>
      </c>
      <c r="D340">
        <v>0</v>
      </c>
      <c r="E340" s="1" t="s">
        <v>2523</v>
      </c>
    </row>
    <row r="341" spans="1:5" hidden="1" x14ac:dyDescent="0.25">
      <c r="A341" s="1" t="s">
        <v>2655</v>
      </c>
      <c r="B341" s="1" t="s">
        <v>2656</v>
      </c>
      <c r="C341" s="1" t="s">
        <v>5</v>
      </c>
      <c r="D341">
        <v>0</v>
      </c>
      <c r="E341" s="1" t="s">
        <v>2523</v>
      </c>
    </row>
    <row r="342" spans="1:5" hidden="1" x14ac:dyDescent="0.25">
      <c r="A342" s="1" t="s">
        <v>2657</v>
      </c>
      <c r="B342" s="1" t="s">
        <v>2658</v>
      </c>
      <c r="C342" s="1" t="s">
        <v>5</v>
      </c>
      <c r="D342">
        <v>0</v>
      </c>
      <c r="E342" s="1" t="s">
        <v>2523</v>
      </c>
    </row>
    <row r="343" spans="1:5" hidden="1" x14ac:dyDescent="0.25">
      <c r="A343" s="1" t="s">
        <v>2659</v>
      </c>
      <c r="B343" s="1" t="s">
        <v>2660</v>
      </c>
      <c r="C343" s="1" t="s">
        <v>5</v>
      </c>
      <c r="D343">
        <v>0</v>
      </c>
      <c r="E343" s="1" t="s">
        <v>2523</v>
      </c>
    </row>
    <row r="344" spans="1:5" hidden="1" x14ac:dyDescent="0.25">
      <c r="A344" s="1" t="s">
        <v>2661</v>
      </c>
      <c r="B344" s="1" t="s">
        <v>2662</v>
      </c>
      <c r="C344" s="1" t="s">
        <v>5</v>
      </c>
      <c r="D344">
        <v>0</v>
      </c>
      <c r="E344" s="1" t="s">
        <v>2523</v>
      </c>
    </row>
    <row r="345" spans="1:5" hidden="1" x14ac:dyDescent="0.25">
      <c r="A345" s="1" t="s">
        <v>2663</v>
      </c>
      <c r="B345" s="1" t="s">
        <v>2664</v>
      </c>
      <c r="C345" s="1" t="s">
        <v>5</v>
      </c>
      <c r="D345">
        <v>0</v>
      </c>
      <c r="E345" s="1" t="s">
        <v>2523</v>
      </c>
    </row>
    <row r="346" spans="1:5" hidden="1" x14ac:dyDescent="0.25">
      <c r="A346" s="1" t="s">
        <v>2669</v>
      </c>
      <c r="B346" s="1" t="s">
        <v>2670</v>
      </c>
      <c r="C346" s="1" t="s">
        <v>5</v>
      </c>
      <c r="D346">
        <v>0</v>
      </c>
      <c r="E346" s="1" t="s">
        <v>2523</v>
      </c>
    </row>
    <row r="347" spans="1:5" hidden="1" x14ac:dyDescent="0.25">
      <c r="A347" s="1" t="s">
        <v>2671</v>
      </c>
      <c r="B347" s="1" t="s">
        <v>2672</v>
      </c>
      <c r="C347" s="1" t="s">
        <v>5</v>
      </c>
      <c r="D347">
        <v>0</v>
      </c>
      <c r="E347" s="1" t="s">
        <v>2523</v>
      </c>
    </row>
    <row r="348" spans="1:5" hidden="1" x14ac:dyDescent="0.25">
      <c r="A348" s="1" t="s">
        <v>2673</v>
      </c>
      <c r="B348" s="1" t="s">
        <v>2674</v>
      </c>
      <c r="C348" s="1" t="s">
        <v>5</v>
      </c>
      <c r="D348">
        <v>0</v>
      </c>
      <c r="E348" s="1" t="s">
        <v>2523</v>
      </c>
    </row>
    <row r="349" spans="1:5" hidden="1" x14ac:dyDescent="0.25">
      <c r="A349" s="1" t="s">
        <v>2675</v>
      </c>
      <c r="B349" s="1" t="s">
        <v>2676</v>
      </c>
      <c r="C349" s="1" t="s">
        <v>5</v>
      </c>
      <c r="D349">
        <v>0</v>
      </c>
      <c r="E349" s="1" t="s">
        <v>2523</v>
      </c>
    </row>
    <row r="350" spans="1:5" hidden="1" x14ac:dyDescent="0.25">
      <c r="A350" s="1" t="s">
        <v>2677</v>
      </c>
      <c r="B350" s="1" t="s">
        <v>2678</v>
      </c>
      <c r="C350" s="1" t="s">
        <v>5</v>
      </c>
      <c r="D350">
        <v>0</v>
      </c>
      <c r="E350" s="1" t="s">
        <v>2523</v>
      </c>
    </row>
    <row r="351" spans="1:5" hidden="1" x14ac:dyDescent="0.25">
      <c r="A351" s="1" t="s">
        <v>2679</v>
      </c>
      <c r="B351" s="1" t="s">
        <v>2680</v>
      </c>
      <c r="C351" s="1" t="s">
        <v>5</v>
      </c>
      <c r="D351">
        <v>0</v>
      </c>
      <c r="E351" s="1" t="s">
        <v>2523</v>
      </c>
    </row>
    <row r="352" spans="1:5" hidden="1" x14ac:dyDescent="0.25">
      <c r="A352" s="1" t="s">
        <v>2681</v>
      </c>
      <c r="B352" s="1" t="s">
        <v>2682</v>
      </c>
      <c r="C352" s="1" t="s">
        <v>5</v>
      </c>
      <c r="D352">
        <v>0</v>
      </c>
      <c r="E352" s="1" t="s">
        <v>2523</v>
      </c>
    </row>
    <row r="353" spans="1:5" hidden="1" x14ac:dyDescent="0.25">
      <c r="A353" s="1" t="s">
        <v>673</v>
      </c>
      <c r="B353" s="1" t="s">
        <v>674</v>
      </c>
      <c r="C353" s="1" t="s">
        <v>5</v>
      </c>
      <c r="D353">
        <v>0</v>
      </c>
      <c r="E353" s="1" t="s">
        <v>662</v>
      </c>
    </row>
    <row r="354" spans="1:5" hidden="1" x14ac:dyDescent="0.25">
      <c r="A354" s="1" t="s">
        <v>681</v>
      </c>
      <c r="B354" s="1" t="s">
        <v>682</v>
      </c>
      <c r="C354" s="1" t="s">
        <v>5</v>
      </c>
      <c r="D354">
        <v>0</v>
      </c>
      <c r="E354" s="1" t="s">
        <v>662</v>
      </c>
    </row>
    <row r="355" spans="1:5" hidden="1" x14ac:dyDescent="0.25">
      <c r="A355" s="1" t="s">
        <v>691</v>
      </c>
      <c r="B355" s="1" t="s">
        <v>692</v>
      </c>
      <c r="C355" s="1" t="s">
        <v>5</v>
      </c>
      <c r="D355">
        <v>0</v>
      </c>
      <c r="E355" s="1" t="s">
        <v>662</v>
      </c>
    </row>
    <row r="356" spans="1:5" hidden="1" x14ac:dyDescent="0.25">
      <c r="A356" s="1" t="s">
        <v>757</v>
      </c>
      <c r="B356" s="1" t="s">
        <v>758</v>
      </c>
      <c r="C356" s="1" t="s">
        <v>5</v>
      </c>
      <c r="D356">
        <v>0</v>
      </c>
      <c r="E356" s="1" t="s">
        <v>662</v>
      </c>
    </row>
    <row r="357" spans="1:5" hidden="1" x14ac:dyDescent="0.25">
      <c r="A357" s="1" t="s">
        <v>759</v>
      </c>
      <c r="B357" s="1" t="s">
        <v>760</v>
      </c>
      <c r="C357" s="1" t="s">
        <v>5</v>
      </c>
      <c r="D357">
        <v>0</v>
      </c>
      <c r="E357" s="1" t="s">
        <v>662</v>
      </c>
    </row>
    <row r="358" spans="1:5" hidden="1" x14ac:dyDescent="0.25">
      <c r="A358" s="1" t="s">
        <v>761</v>
      </c>
      <c r="B358" s="1" t="s">
        <v>762</v>
      </c>
      <c r="C358" s="1" t="s">
        <v>5</v>
      </c>
      <c r="D358">
        <v>0</v>
      </c>
      <c r="E358" s="1" t="s">
        <v>662</v>
      </c>
    </row>
    <row r="359" spans="1:5" hidden="1" x14ac:dyDescent="0.25">
      <c r="A359" s="1" t="s">
        <v>763</v>
      </c>
      <c r="B359" s="1" t="s">
        <v>764</v>
      </c>
      <c r="C359" s="1" t="s">
        <v>5</v>
      </c>
      <c r="D359">
        <v>0</v>
      </c>
      <c r="E359" s="1" t="s">
        <v>662</v>
      </c>
    </row>
    <row r="360" spans="1:5" hidden="1" x14ac:dyDescent="0.25">
      <c r="A360" s="1" t="s">
        <v>769</v>
      </c>
      <c r="B360" s="1" t="s">
        <v>770</v>
      </c>
      <c r="C360" s="1" t="s">
        <v>5</v>
      </c>
      <c r="D360">
        <v>0</v>
      </c>
      <c r="E360" s="1" t="s">
        <v>662</v>
      </c>
    </row>
    <row r="361" spans="1:5" hidden="1" x14ac:dyDescent="0.25">
      <c r="A361" s="1" t="s">
        <v>779</v>
      </c>
      <c r="B361" s="1" t="s">
        <v>780</v>
      </c>
      <c r="C361" s="1" t="s">
        <v>5</v>
      </c>
      <c r="D361">
        <v>0</v>
      </c>
      <c r="E361" s="1" t="s">
        <v>662</v>
      </c>
    </row>
    <row r="362" spans="1:5" hidden="1" x14ac:dyDescent="0.25">
      <c r="A362" s="1" t="s">
        <v>795</v>
      </c>
      <c r="B362" s="1" t="s">
        <v>796</v>
      </c>
      <c r="C362" s="1" t="s">
        <v>5</v>
      </c>
      <c r="D362">
        <v>0</v>
      </c>
      <c r="E362" s="1" t="s">
        <v>662</v>
      </c>
    </row>
    <row r="363" spans="1:5" hidden="1" x14ac:dyDescent="0.25">
      <c r="A363" s="1" t="s">
        <v>809</v>
      </c>
      <c r="B363" s="1" t="s">
        <v>810</v>
      </c>
      <c r="C363" s="1" t="s">
        <v>5</v>
      </c>
      <c r="D363">
        <v>0</v>
      </c>
      <c r="E363" s="1" t="s">
        <v>662</v>
      </c>
    </row>
    <row r="364" spans="1:5" hidden="1" x14ac:dyDescent="0.25">
      <c r="A364" s="1" t="s">
        <v>819</v>
      </c>
      <c r="B364" s="1" t="s">
        <v>820</v>
      </c>
      <c r="C364" s="1" t="s">
        <v>5</v>
      </c>
      <c r="D364">
        <v>0</v>
      </c>
      <c r="E364" s="1" t="s">
        <v>662</v>
      </c>
    </row>
    <row r="365" spans="1:5" hidden="1" x14ac:dyDescent="0.25">
      <c r="A365" s="1" t="s">
        <v>823</v>
      </c>
      <c r="B365" s="1" t="s">
        <v>824</v>
      </c>
      <c r="C365" s="1" t="s">
        <v>5</v>
      </c>
      <c r="D365">
        <v>0</v>
      </c>
      <c r="E365" s="1" t="s">
        <v>662</v>
      </c>
    </row>
    <row r="366" spans="1:5" hidden="1" x14ac:dyDescent="0.25">
      <c r="A366" s="1" t="s">
        <v>825</v>
      </c>
      <c r="B366" s="1" t="s">
        <v>826</v>
      </c>
      <c r="C366" s="1" t="s">
        <v>5</v>
      </c>
      <c r="D366">
        <v>0</v>
      </c>
      <c r="E366" s="1" t="s">
        <v>662</v>
      </c>
    </row>
    <row r="367" spans="1:5" hidden="1" x14ac:dyDescent="0.25">
      <c r="A367" s="1" t="s">
        <v>831</v>
      </c>
      <c r="B367" s="1" t="s">
        <v>832</v>
      </c>
      <c r="C367" s="1" t="s">
        <v>5</v>
      </c>
      <c r="D367">
        <v>0</v>
      </c>
      <c r="E367" s="1" t="s">
        <v>662</v>
      </c>
    </row>
    <row r="368" spans="1:5" hidden="1" x14ac:dyDescent="0.25">
      <c r="A368" s="1" t="s">
        <v>853</v>
      </c>
      <c r="B368" s="1" t="s">
        <v>854</v>
      </c>
      <c r="C368" s="1" t="s">
        <v>5</v>
      </c>
      <c r="D368">
        <v>0</v>
      </c>
      <c r="E368" s="1" t="s">
        <v>662</v>
      </c>
    </row>
    <row r="369" spans="1:5" hidden="1" x14ac:dyDescent="0.25">
      <c r="A369" s="1" t="s">
        <v>863</v>
      </c>
      <c r="B369" s="1" t="s">
        <v>864</v>
      </c>
      <c r="C369" s="1" t="s">
        <v>5</v>
      </c>
      <c r="D369">
        <v>0</v>
      </c>
      <c r="E369" s="1" t="s">
        <v>662</v>
      </c>
    </row>
    <row r="370" spans="1:5" hidden="1" x14ac:dyDescent="0.25">
      <c r="A370" s="1" t="s">
        <v>901</v>
      </c>
      <c r="B370" s="1" t="s">
        <v>902</v>
      </c>
      <c r="C370" s="1" t="s">
        <v>5</v>
      </c>
      <c r="D370">
        <v>0</v>
      </c>
      <c r="E370" s="1" t="s">
        <v>662</v>
      </c>
    </row>
    <row r="371" spans="1:5" hidden="1" x14ac:dyDescent="0.25">
      <c r="A371" s="1" t="s">
        <v>909</v>
      </c>
      <c r="B371" s="1" t="s">
        <v>910</v>
      </c>
      <c r="C371" s="1" t="s">
        <v>5</v>
      </c>
      <c r="D371">
        <v>0</v>
      </c>
      <c r="E371" s="1" t="s">
        <v>662</v>
      </c>
    </row>
    <row r="372" spans="1:5" hidden="1" x14ac:dyDescent="0.25">
      <c r="A372" s="1" t="s">
        <v>911</v>
      </c>
      <c r="B372" s="1" t="s">
        <v>912</v>
      </c>
      <c r="C372" s="1" t="s">
        <v>5</v>
      </c>
      <c r="D372">
        <v>0</v>
      </c>
      <c r="E372" s="1" t="s">
        <v>662</v>
      </c>
    </row>
    <row r="373" spans="1:5" hidden="1" x14ac:dyDescent="0.25">
      <c r="A373" s="1" t="s">
        <v>1021</v>
      </c>
      <c r="B373" s="1" t="s">
        <v>1022</v>
      </c>
      <c r="C373" s="1" t="s">
        <v>5</v>
      </c>
      <c r="D373">
        <v>0</v>
      </c>
      <c r="E373" s="1" t="s">
        <v>662</v>
      </c>
    </row>
    <row r="374" spans="1:5" hidden="1" x14ac:dyDescent="0.25">
      <c r="A374" s="1" t="s">
        <v>1107</v>
      </c>
      <c r="B374" s="1" t="s">
        <v>1108</v>
      </c>
      <c r="C374" s="1" t="s">
        <v>5</v>
      </c>
      <c r="D374">
        <v>0</v>
      </c>
      <c r="E374" s="1" t="s">
        <v>662</v>
      </c>
    </row>
    <row r="375" spans="1:5" hidden="1" x14ac:dyDescent="0.25">
      <c r="A375" s="1" t="s">
        <v>1123</v>
      </c>
      <c r="B375" s="1" t="s">
        <v>1124</v>
      </c>
      <c r="C375" s="1" t="s">
        <v>5</v>
      </c>
      <c r="D375">
        <v>0</v>
      </c>
      <c r="E375" s="1" t="s">
        <v>662</v>
      </c>
    </row>
    <row r="376" spans="1:5" hidden="1" x14ac:dyDescent="0.25">
      <c r="A376" s="1" t="s">
        <v>1253</v>
      </c>
      <c r="B376" s="1" t="s">
        <v>1254</v>
      </c>
      <c r="C376" s="1" t="s">
        <v>5</v>
      </c>
      <c r="D376">
        <v>0</v>
      </c>
      <c r="E376" s="1" t="s">
        <v>662</v>
      </c>
    </row>
    <row r="377" spans="1:5" hidden="1" x14ac:dyDescent="0.25">
      <c r="A377" s="1" t="s">
        <v>1257</v>
      </c>
      <c r="B377" s="1" t="s">
        <v>1258</v>
      </c>
      <c r="C377" s="1" t="s">
        <v>5</v>
      </c>
      <c r="D377">
        <v>0</v>
      </c>
      <c r="E377" s="1" t="s">
        <v>662</v>
      </c>
    </row>
    <row r="378" spans="1:5" hidden="1" x14ac:dyDescent="0.25">
      <c r="A378" s="1" t="s">
        <v>1305</v>
      </c>
      <c r="B378" s="1" t="s">
        <v>1306</v>
      </c>
      <c r="C378" s="1" t="s">
        <v>5</v>
      </c>
      <c r="D378">
        <v>0</v>
      </c>
      <c r="E378" s="1" t="s">
        <v>662</v>
      </c>
    </row>
    <row r="379" spans="1:5" hidden="1" x14ac:dyDescent="0.25">
      <c r="A379" s="1" t="s">
        <v>1311</v>
      </c>
      <c r="B379" s="1" t="s">
        <v>1312</v>
      </c>
      <c r="C379" s="1" t="s">
        <v>5</v>
      </c>
      <c r="D379">
        <v>0</v>
      </c>
      <c r="E379" s="1" t="s">
        <v>662</v>
      </c>
    </row>
    <row r="380" spans="1:5" hidden="1" x14ac:dyDescent="0.25">
      <c r="A380" s="1" t="s">
        <v>1315</v>
      </c>
      <c r="B380" s="1" t="s">
        <v>1316</v>
      </c>
      <c r="C380" s="1" t="s">
        <v>5</v>
      </c>
      <c r="D380">
        <v>0</v>
      </c>
      <c r="E380" s="1" t="s">
        <v>662</v>
      </c>
    </row>
    <row r="381" spans="1:5" hidden="1" x14ac:dyDescent="0.25">
      <c r="A381" s="1" t="s">
        <v>1317</v>
      </c>
      <c r="B381" s="1" t="s">
        <v>1318</v>
      </c>
      <c r="C381" s="1" t="s">
        <v>5</v>
      </c>
      <c r="D381">
        <v>0</v>
      </c>
      <c r="E381" s="1" t="s">
        <v>662</v>
      </c>
    </row>
    <row r="382" spans="1:5" hidden="1" x14ac:dyDescent="0.25">
      <c r="A382" s="1" t="s">
        <v>1329</v>
      </c>
      <c r="B382" s="1" t="s">
        <v>1330</v>
      </c>
      <c r="C382" s="1" t="s">
        <v>5</v>
      </c>
      <c r="D382">
        <v>0</v>
      </c>
      <c r="E382" s="1" t="s">
        <v>662</v>
      </c>
    </row>
    <row r="383" spans="1:5" hidden="1" x14ac:dyDescent="0.25">
      <c r="A383" s="1" t="s">
        <v>1331</v>
      </c>
      <c r="B383" s="1" t="s">
        <v>1332</v>
      </c>
      <c r="C383" s="1" t="s">
        <v>5</v>
      </c>
      <c r="D383">
        <v>0</v>
      </c>
      <c r="E383" s="1" t="s">
        <v>662</v>
      </c>
    </row>
    <row r="384" spans="1:5" hidden="1" x14ac:dyDescent="0.25">
      <c r="A384" s="1" t="s">
        <v>1389</v>
      </c>
      <c r="B384" s="1" t="s">
        <v>1390</v>
      </c>
      <c r="C384" s="1" t="s">
        <v>5</v>
      </c>
      <c r="D384">
        <v>0</v>
      </c>
      <c r="E384" s="1" t="s">
        <v>662</v>
      </c>
    </row>
    <row r="385" spans="1:5" hidden="1" x14ac:dyDescent="0.25">
      <c r="A385" s="1" t="s">
        <v>1395</v>
      </c>
      <c r="B385" s="1" t="s">
        <v>1396</v>
      </c>
      <c r="C385" s="1" t="s">
        <v>5</v>
      </c>
      <c r="D385">
        <v>0</v>
      </c>
      <c r="E385" s="1" t="s">
        <v>662</v>
      </c>
    </row>
    <row r="386" spans="1:5" hidden="1" x14ac:dyDescent="0.25">
      <c r="A386" s="1" t="s">
        <v>1397</v>
      </c>
      <c r="B386" s="1" t="s">
        <v>1398</v>
      </c>
      <c r="C386" s="1" t="s">
        <v>5</v>
      </c>
      <c r="D386">
        <v>0</v>
      </c>
      <c r="E386" s="1" t="s">
        <v>662</v>
      </c>
    </row>
    <row r="387" spans="1:5" hidden="1" x14ac:dyDescent="0.25">
      <c r="A387" s="1" t="s">
        <v>1399</v>
      </c>
      <c r="B387" s="1" t="s">
        <v>1400</v>
      </c>
      <c r="C387" s="1" t="s">
        <v>5</v>
      </c>
      <c r="D387">
        <v>0</v>
      </c>
      <c r="E387" s="1" t="s">
        <v>662</v>
      </c>
    </row>
    <row r="388" spans="1:5" hidden="1" x14ac:dyDescent="0.25">
      <c r="A388" s="1" t="s">
        <v>1409</v>
      </c>
      <c r="B388" s="1" t="s">
        <v>1410</v>
      </c>
      <c r="C388" s="1" t="s">
        <v>5</v>
      </c>
      <c r="D388">
        <v>0</v>
      </c>
      <c r="E388" s="1" t="s">
        <v>662</v>
      </c>
    </row>
    <row r="389" spans="1:5" hidden="1" x14ac:dyDescent="0.25">
      <c r="A389" s="1" t="s">
        <v>1411</v>
      </c>
      <c r="B389" s="1" t="s">
        <v>1412</v>
      </c>
      <c r="C389" s="1" t="s">
        <v>5</v>
      </c>
      <c r="D389">
        <v>0</v>
      </c>
      <c r="E389" s="1" t="s">
        <v>662</v>
      </c>
    </row>
    <row r="390" spans="1:5" hidden="1" x14ac:dyDescent="0.25">
      <c r="A390" s="1" t="s">
        <v>1413</v>
      </c>
      <c r="B390" s="1" t="s">
        <v>1414</v>
      </c>
      <c r="C390" s="1" t="s">
        <v>5</v>
      </c>
      <c r="D390">
        <v>0</v>
      </c>
      <c r="E390" s="1" t="s">
        <v>662</v>
      </c>
    </row>
    <row r="391" spans="1:5" hidden="1" x14ac:dyDescent="0.25">
      <c r="A391" s="1" t="s">
        <v>1415</v>
      </c>
      <c r="B391" s="1" t="s">
        <v>1416</v>
      </c>
      <c r="C391" s="1" t="s">
        <v>5</v>
      </c>
      <c r="D391">
        <v>0</v>
      </c>
      <c r="E391" s="1" t="s">
        <v>662</v>
      </c>
    </row>
    <row r="392" spans="1:5" hidden="1" x14ac:dyDescent="0.25">
      <c r="A392" s="1" t="s">
        <v>2693</v>
      </c>
      <c r="B392" s="1" t="s">
        <v>2694</v>
      </c>
      <c r="C392" s="1" t="s">
        <v>5</v>
      </c>
      <c r="D392">
        <v>0</v>
      </c>
      <c r="E392" s="1" t="s">
        <v>2695</v>
      </c>
    </row>
    <row r="393" spans="1:5" hidden="1" x14ac:dyDescent="0.25">
      <c r="A393" s="1" t="s">
        <v>2710</v>
      </c>
      <c r="B393" s="1" t="s">
        <v>2711</v>
      </c>
      <c r="C393" s="1" t="s">
        <v>5</v>
      </c>
      <c r="D393">
        <v>0</v>
      </c>
      <c r="E393" s="1" t="s">
        <v>1518</v>
      </c>
    </row>
    <row r="394" spans="1:5" hidden="1" x14ac:dyDescent="0.25">
      <c r="A394" s="1" t="s">
        <v>2714</v>
      </c>
      <c r="B394" s="1" t="s">
        <v>2715</v>
      </c>
      <c r="C394" s="1" t="s">
        <v>5</v>
      </c>
      <c r="D394">
        <v>0</v>
      </c>
      <c r="E394" s="1" t="s">
        <v>1518</v>
      </c>
    </row>
    <row r="395" spans="1:5" hidden="1" x14ac:dyDescent="0.25">
      <c r="A395" s="1" t="s">
        <v>2716</v>
      </c>
      <c r="B395" s="1" t="s">
        <v>2717</v>
      </c>
      <c r="C395" s="1" t="s">
        <v>5</v>
      </c>
      <c r="D395">
        <v>0</v>
      </c>
      <c r="E395" s="1" t="s">
        <v>1518</v>
      </c>
    </row>
    <row r="396" spans="1:5" hidden="1" x14ac:dyDescent="0.25">
      <c r="A396" s="1" t="s">
        <v>2718</v>
      </c>
      <c r="B396" s="1" t="s">
        <v>2719</v>
      </c>
      <c r="C396" s="1" t="s">
        <v>5</v>
      </c>
      <c r="D396">
        <v>0</v>
      </c>
      <c r="E396" s="1" t="s">
        <v>1518</v>
      </c>
    </row>
    <row r="397" spans="1:5" hidden="1" x14ac:dyDescent="0.25">
      <c r="A397" s="1" t="s">
        <v>2726</v>
      </c>
      <c r="B397" s="1" t="s">
        <v>2727</v>
      </c>
      <c r="C397" s="1" t="s">
        <v>5</v>
      </c>
      <c r="D397">
        <v>0</v>
      </c>
      <c r="E397" s="1" t="s">
        <v>1518</v>
      </c>
    </row>
    <row r="398" spans="1:5" hidden="1" x14ac:dyDescent="0.25">
      <c r="A398" s="1" t="s">
        <v>2732</v>
      </c>
      <c r="B398" s="1" t="s">
        <v>2733</v>
      </c>
      <c r="C398" s="1" t="s">
        <v>5</v>
      </c>
      <c r="D398">
        <v>0</v>
      </c>
      <c r="E398" s="1" t="s">
        <v>1518</v>
      </c>
    </row>
    <row r="399" spans="1:5" hidden="1" x14ac:dyDescent="0.25">
      <c r="A399" s="1" t="s">
        <v>2746</v>
      </c>
      <c r="B399" s="1" t="s">
        <v>2747</v>
      </c>
      <c r="C399" s="1" t="s">
        <v>5</v>
      </c>
      <c r="D399">
        <v>0</v>
      </c>
      <c r="E399" s="1" t="s">
        <v>2433</v>
      </c>
    </row>
    <row r="400" spans="1:5" hidden="1" x14ac:dyDescent="0.25">
      <c r="A400" s="1" t="s">
        <v>2748</v>
      </c>
      <c r="B400" s="1" t="s">
        <v>2749</v>
      </c>
      <c r="C400" s="1" t="s">
        <v>5</v>
      </c>
      <c r="D400">
        <v>0</v>
      </c>
      <c r="E400" s="1" t="s">
        <v>2433</v>
      </c>
    </row>
    <row r="401" spans="1:5" hidden="1" x14ac:dyDescent="0.25">
      <c r="A401" s="1" t="s">
        <v>2750</v>
      </c>
      <c r="B401" s="1" t="s">
        <v>2751</v>
      </c>
      <c r="C401" s="1" t="s">
        <v>5</v>
      </c>
      <c r="D401">
        <v>0</v>
      </c>
      <c r="E401" s="1" t="s">
        <v>2433</v>
      </c>
    </row>
    <row r="402" spans="1:5" hidden="1" x14ac:dyDescent="0.25">
      <c r="A402" s="1" t="s">
        <v>2752</v>
      </c>
      <c r="B402" s="1" t="s">
        <v>2753</v>
      </c>
      <c r="C402" s="1" t="s">
        <v>5</v>
      </c>
      <c r="D402">
        <v>0</v>
      </c>
      <c r="E402" s="1" t="s">
        <v>2433</v>
      </c>
    </row>
    <row r="403" spans="1:5" hidden="1" x14ac:dyDescent="0.25">
      <c r="A403" s="1" t="s">
        <v>2754</v>
      </c>
      <c r="B403" s="1" t="s">
        <v>2755</v>
      </c>
      <c r="C403" s="1" t="s">
        <v>5</v>
      </c>
      <c r="D403">
        <v>0</v>
      </c>
      <c r="E403" s="1" t="s">
        <v>2433</v>
      </c>
    </row>
    <row r="404" spans="1:5" hidden="1" x14ac:dyDescent="0.25">
      <c r="A404" s="1" t="s">
        <v>2756</v>
      </c>
      <c r="B404" s="1" t="s">
        <v>2757</v>
      </c>
      <c r="C404" s="1" t="s">
        <v>5</v>
      </c>
      <c r="D404">
        <v>0</v>
      </c>
      <c r="E404" s="1" t="s">
        <v>2433</v>
      </c>
    </row>
    <row r="405" spans="1:5" hidden="1" x14ac:dyDescent="0.25">
      <c r="A405" s="1" t="s">
        <v>2758</v>
      </c>
      <c r="B405" s="1" t="s">
        <v>2759</v>
      </c>
      <c r="C405" s="1" t="s">
        <v>5</v>
      </c>
      <c r="D405">
        <v>0</v>
      </c>
      <c r="E405" s="1" t="s">
        <v>2433</v>
      </c>
    </row>
    <row r="406" spans="1:5" hidden="1" x14ac:dyDescent="0.25">
      <c r="A406" s="1" t="s">
        <v>2760</v>
      </c>
      <c r="B406" s="1" t="s">
        <v>2761</v>
      </c>
      <c r="C406" s="1" t="s">
        <v>5</v>
      </c>
      <c r="D406">
        <v>0</v>
      </c>
      <c r="E406" s="1" t="s">
        <v>2433</v>
      </c>
    </row>
    <row r="407" spans="1:5" hidden="1" x14ac:dyDescent="0.25">
      <c r="A407" s="1" t="s">
        <v>2762</v>
      </c>
      <c r="B407" s="1" t="s">
        <v>2763</v>
      </c>
      <c r="C407" s="1" t="s">
        <v>5</v>
      </c>
      <c r="D407">
        <v>0</v>
      </c>
      <c r="E407" s="1" t="s">
        <v>2433</v>
      </c>
    </row>
    <row r="408" spans="1:5" hidden="1" x14ac:dyDescent="0.25">
      <c r="A408" s="1" t="s">
        <v>2764</v>
      </c>
      <c r="B408" s="1" t="s">
        <v>2765</v>
      </c>
      <c r="C408" s="1" t="s">
        <v>5</v>
      </c>
      <c r="D408">
        <v>0</v>
      </c>
      <c r="E408" s="1" t="s">
        <v>2433</v>
      </c>
    </row>
    <row r="409" spans="1:5" hidden="1" x14ac:dyDescent="0.25">
      <c r="A409" s="1" t="s">
        <v>2766</v>
      </c>
      <c r="B409" s="1" t="s">
        <v>2767</v>
      </c>
      <c r="C409" s="1" t="s">
        <v>5</v>
      </c>
      <c r="D409">
        <v>0</v>
      </c>
      <c r="E409" s="1" t="s">
        <v>2433</v>
      </c>
    </row>
    <row r="410" spans="1:5" hidden="1" x14ac:dyDescent="0.25">
      <c r="A410" s="1" t="s">
        <v>2768</v>
      </c>
      <c r="B410" s="1" t="s">
        <v>2769</v>
      </c>
      <c r="C410" s="1" t="s">
        <v>5</v>
      </c>
      <c r="D410">
        <v>0</v>
      </c>
      <c r="E410" s="1" t="s">
        <v>2433</v>
      </c>
    </row>
    <row r="411" spans="1:5" hidden="1" x14ac:dyDescent="0.25">
      <c r="A411" s="1" t="s">
        <v>2770</v>
      </c>
      <c r="B411" s="1" t="s">
        <v>2771</v>
      </c>
      <c r="C411" s="1" t="s">
        <v>5</v>
      </c>
      <c r="D411">
        <v>0</v>
      </c>
      <c r="E411" s="1" t="s">
        <v>2433</v>
      </c>
    </row>
    <row r="412" spans="1:5" hidden="1" x14ac:dyDescent="0.25">
      <c r="A412" s="1" t="s">
        <v>2772</v>
      </c>
      <c r="B412" s="1" t="s">
        <v>2773</v>
      </c>
      <c r="C412" s="1" t="s">
        <v>5</v>
      </c>
      <c r="D412">
        <v>0</v>
      </c>
      <c r="E412" s="1" t="s">
        <v>2433</v>
      </c>
    </row>
    <row r="413" spans="1:5" hidden="1" x14ac:dyDescent="0.25">
      <c r="A413" s="1" t="s">
        <v>2774</v>
      </c>
      <c r="B413" s="1" t="s">
        <v>2775</v>
      </c>
      <c r="C413" s="1" t="s">
        <v>5</v>
      </c>
      <c r="D413">
        <v>0</v>
      </c>
      <c r="E413" s="1" t="s">
        <v>2433</v>
      </c>
    </row>
    <row r="414" spans="1:5" hidden="1" x14ac:dyDescent="0.25">
      <c r="A414" s="1" t="s">
        <v>2776</v>
      </c>
      <c r="B414" s="1" t="s">
        <v>2777</v>
      </c>
      <c r="C414" s="1" t="s">
        <v>5</v>
      </c>
      <c r="D414">
        <v>0</v>
      </c>
      <c r="E414" s="1" t="s">
        <v>2433</v>
      </c>
    </row>
    <row r="415" spans="1:5" hidden="1" x14ac:dyDescent="0.25">
      <c r="A415" s="1" t="s">
        <v>2778</v>
      </c>
      <c r="B415" s="1" t="s">
        <v>2779</v>
      </c>
      <c r="C415" s="1" t="s">
        <v>5</v>
      </c>
      <c r="D415">
        <v>0</v>
      </c>
      <c r="E415" s="1" t="s">
        <v>2433</v>
      </c>
    </row>
    <row r="416" spans="1:5" hidden="1" x14ac:dyDescent="0.25">
      <c r="A416" s="1" t="s">
        <v>2780</v>
      </c>
      <c r="B416" s="1" t="s">
        <v>2781</v>
      </c>
      <c r="C416" s="1" t="s">
        <v>5</v>
      </c>
      <c r="D416">
        <v>0</v>
      </c>
      <c r="E416" s="1" t="s">
        <v>2433</v>
      </c>
    </row>
    <row r="417" spans="1:5" hidden="1" x14ac:dyDescent="0.25">
      <c r="A417" s="1" t="s">
        <v>2782</v>
      </c>
      <c r="B417" s="1" t="s">
        <v>2783</v>
      </c>
      <c r="C417" s="1" t="s">
        <v>5</v>
      </c>
      <c r="D417">
        <v>0</v>
      </c>
      <c r="E417" s="1" t="s">
        <v>2433</v>
      </c>
    </row>
    <row r="418" spans="1:5" hidden="1" x14ac:dyDescent="0.25">
      <c r="A418" s="1" t="s">
        <v>2822</v>
      </c>
      <c r="B418" s="1" t="s">
        <v>2823</v>
      </c>
      <c r="C418" s="1" t="s">
        <v>5</v>
      </c>
      <c r="D418">
        <v>0</v>
      </c>
      <c r="E418" s="1" t="s">
        <v>1545</v>
      </c>
    </row>
    <row r="419" spans="1:5" hidden="1" x14ac:dyDescent="0.25">
      <c r="A419" s="1" t="s">
        <v>2824</v>
      </c>
      <c r="B419" s="1" t="s">
        <v>2825</v>
      </c>
      <c r="C419" s="1" t="s">
        <v>5</v>
      </c>
      <c r="D419">
        <v>0</v>
      </c>
      <c r="E419" s="1" t="s">
        <v>1545</v>
      </c>
    </row>
    <row r="420" spans="1:5" hidden="1" x14ac:dyDescent="0.25">
      <c r="A420" s="1" t="s">
        <v>2826</v>
      </c>
      <c r="B420" s="1" t="s">
        <v>2827</v>
      </c>
      <c r="C420" s="1" t="s">
        <v>5</v>
      </c>
      <c r="D420">
        <v>0</v>
      </c>
      <c r="E420" s="1" t="s">
        <v>1545</v>
      </c>
    </row>
    <row r="421" spans="1:5" hidden="1" x14ac:dyDescent="0.25">
      <c r="A421" s="1" t="s">
        <v>2828</v>
      </c>
      <c r="B421" s="1" t="s">
        <v>2829</v>
      </c>
      <c r="C421" s="1" t="s">
        <v>5</v>
      </c>
      <c r="D421">
        <v>0</v>
      </c>
      <c r="E421" s="1" t="s">
        <v>1545</v>
      </c>
    </row>
    <row r="422" spans="1:5" hidden="1" x14ac:dyDescent="0.25">
      <c r="A422" s="1" t="s">
        <v>2834</v>
      </c>
      <c r="B422" s="1" t="s">
        <v>2835</v>
      </c>
      <c r="C422" s="1" t="s">
        <v>5</v>
      </c>
      <c r="D422">
        <v>0</v>
      </c>
      <c r="E422" s="1" t="s">
        <v>1545</v>
      </c>
    </row>
    <row r="423" spans="1:5" hidden="1" x14ac:dyDescent="0.25">
      <c r="A423" s="1" t="s">
        <v>2836</v>
      </c>
      <c r="B423" s="1" t="s">
        <v>2837</v>
      </c>
      <c r="C423" s="1" t="s">
        <v>5</v>
      </c>
      <c r="D423">
        <v>0</v>
      </c>
      <c r="E423" s="1" t="s">
        <v>1545</v>
      </c>
    </row>
    <row r="424" spans="1:5" hidden="1" x14ac:dyDescent="0.25">
      <c r="A424" s="1" t="s">
        <v>2838</v>
      </c>
      <c r="B424" s="1" t="s">
        <v>2839</v>
      </c>
      <c r="C424" s="1" t="s">
        <v>5</v>
      </c>
      <c r="D424">
        <v>0</v>
      </c>
      <c r="E424" s="1" t="s">
        <v>1545</v>
      </c>
    </row>
    <row r="425" spans="1:5" hidden="1" x14ac:dyDescent="0.25">
      <c r="A425" s="1" t="s">
        <v>2840</v>
      </c>
      <c r="B425" s="1" t="s">
        <v>2841</v>
      </c>
      <c r="C425" s="1" t="s">
        <v>5</v>
      </c>
      <c r="D425">
        <v>0</v>
      </c>
      <c r="E425" s="1" t="s">
        <v>1545</v>
      </c>
    </row>
    <row r="426" spans="1:5" hidden="1" x14ac:dyDescent="0.25">
      <c r="A426" s="1" t="s">
        <v>2842</v>
      </c>
      <c r="B426" s="1" t="s">
        <v>2843</v>
      </c>
      <c r="C426" s="1" t="s">
        <v>5</v>
      </c>
      <c r="D426">
        <v>0</v>
      </c>
      <c r="E426" s="1" t="s">
        <v>1545</v>
      </c>
    </row>
    <row r="427" spans="1:5" hidden="1" x14ac:dyDescent="0.25">
      <c r="A427" s="1" t="s">
        <v>2844</v>
      </c>
      <c r="B427" s="1" t="s">
        <v>2845</v>
      </c>
      <c r="C427" s="1" t="s">
        <v>5</v>
      </c>
      <c r="D427">
        <v>0</v>
      </c>
      <c r="E427" s="1" t="s">
        <v>1545</v>
      </c>
    </row>
    <row r="428" spans="1:5" hidden="1" x14ac:dyDescent="0.25">
      <c r="A428" s="1" t="s">
        <v>2846</v>
      </c>
      <c r="B428" s="1" t="s">
        <v>2847</v>
      </c>
      <c r="C428" s="1" t="s">
        <v>5</v>
      </c>
      <c r="D428">
        <v>0</v>
      </c>
      <c r="E428" s="1" t="s">
        <v>1545</v>
      </c>
    </row>
    <row r="429" spans="1:5" hidden="1" x14ac:dyDescent="0.25">
      <c r="A429" s="1" t="s">
        <v>2848</v>
      </c>
      <c r="B429" s="1" t="s">
        <v>2849</v>
      </c>
      <c r="C429" s="1" t="s">
        <v>5</v>
      </c>
      <c r="D429">
        <v>0</v>
      </c>
      <c r="E429" s="1" t="s">
        <v>1545</v>
      </c>
    </row>
    <row r="430" spans="1:5" hidden="1" x14ac:dyDescent="0.25">
      <c r="A430" s="1" t="s">
        <v>2850</v>
      </c>
      <c r="B430" s="1" t="s">
        <v>2851</v>
      </c>
      <c r="C430" s="1" t="s">
        <v>5</v>
      </c>
      <c r="D430">
        <v>0</v>
      </c>
      <c r="E430" s="1" t="s">
        <v>1545</v>
      </c>
    </row>
    <row r="431" spans="1:5" hidden="1" x14ac:dyDescent="0.25">
      <c r="A431" s="1" t="s">
        <v>2852</v>
      </c>
      <c r="B431" s="1" t="s">
        <v>2853</v>
      </c>
      <c r="C431" s="1" t="s">
        <v>5</v>
      </c>
      <c r="D431">
        <v>0</v>
      </c>
      <c r="E431" s="1" t="s">
        <v>1545</v>
      </c>
    </row>
    <row r="432" spans="1:5" hidden="1" x14ac:dyDescent="0.25">
      <c r="A432" s="1" t="s">
        <v>2854</v>
      </c>
      <c r="B432" s="1" t="s">
        <v>2855</v>
      </c>
      <c r="C432" s="1" t="s">
        <v>5</v>
      </c>
      <c r="D432">
        <v>0</v>
      </c>
      <c r="E432" s="1" t="s">
        <v>1545</v>
      </c>
    </row>
    <row r="433" spans="1:5" hidden="1" x14ac:dyDescent="0.25">
      <c r="A433" s="1" t="s">
        <v>2856</v>
      </c>
      <c r="B433" s="1" t="s">
        <v>2857</v>
      </c>
      <c r="C433" s="1" t="s">
        <v>5</v>
      </c>
      <c r="D433">
        <v>0</v>
      </c>
      <c r="E433" s="1" t="s">
        <v>1545</v>
      </c>
    </row>
    <row r="434" spans="1:5" hidden="1" x14ac:dyDescent="0.25">
      <c r="A434" s="1" t="s">
        <v>2858</v>
      </c>
      <c r="B434" s="1" t="s">
        <v>2859</v>
      </c>
      <c r="C434" s="1" t="s">
        <v>5</v>
      </c>
      <c r="D434">
        <v>0</v>
      </c>
      <c r="E434" s="1" t="s">
        <v>1545</v>
      </c>
    </row>
    <row r="435" spans="1:5" hidden="1" x14ac:dyDescent="0.25">
      <c r="A435" s="1" t="s">
        <v>2860</v>
      </c>
      <c r="B435" s="1" t="s">
        <v>2861</v>
      </c>
      <c r="C435" s="1" t="s">
        <v>5</v>
      </c>
      <c r="D435">
        <v>0</v>
      </c>
      <c r="E435" s="1" t="s">
        <v>1545</v>
      </c>
    </row>
    <row r="436" spans="1:5" hidden="1" x14ac:dyDescent="0.25">
      <c r="A436" s="1" t="s">
        <v>2862</v>
      </c>
      <c r="B436" s="1" t="s">
        <v>2863</v>
      </c>
      <c r="C436" s="1" t="s">
        <v>5</v>
      </c>
      <c r="D436">
        <v>0</v>
      </c>
      <c r="E436" s="1" t="s">
        <v>1545</v>
      </c>
    </row>
    <row r="437" spans="1:5" hidden="1" x14ac:dyDescent="0.25">
      <c r="A437" s="1" t="s">
        <v>2864</v>
      </c>
      <c r="B437" s="1" t="s">
        <v>2865</v>
      </c>
      <c r="C437" s="1" t="s">
        <v>5</v>
      </c>
      <c r="D437">
        <v>0</v>
      </c>
      <c r="E437" s="1" t="s">
        <v>1545</v>
      </c>
    </row>
    <row r="438" spans="1:5" hidden="1" x14ac:dyDescent="0.25">
      <c r="A438" s="1" t="s">
        <v>2866</v>
      </c>
      <c r="B438" s="1" t="s">
        <v>2867</v>
      </c>
      <c r="C438" s="1" t="s">
        <v>5</v>
      </c>
      <c r="D438">
        <v>0</v>
      </c>
      <c r="E438" s="1" t="s">
        <v>1545</v>
      </c>
    </row>
    <row r="439" spans="1:5" hidden="1" x14ac:dyDescent="0.25">
      <c r="A439" s="1" t="s">
        <v>2868</v>
      </c>
      <c r="B439" s="1" t="s">
        <v>2869</v>
      </c>
      <c r="C439" s="1" t="s">
        <v>5</v>
      </c>
      <c r="D439">
        <v>0</v>
      </c>
      <c r="E439" s="1" t="s">
        <v>1545</v>
      </c>
    </row>
    <row r="440" spans="1:5" hidden="1" x14ac:dyDescent="0.25">
      <c r="A440" s="1" t="s">
        <v>2870</v>
      </c>
      <c r="B440" s="1" t="s">
        <v>2871</v>
      </c>
      <c r="C440" s="1" t="s">
        <v>5</v>
      </c>
      <c r="D440">
        <v>0</v>
      </c>
      <c r="E440" s="1" t="s">
        <v>1545</v>
      </c>
    </row>
    <row r="441" spans="1:5" hidden="1" x14ac:dyDescent="0.25">
      <c r="A441" s="1" t="s">
        <v>1492</v>
      </c>
      <c r="B441" s="1" t="s">
        <v>1493</v>
      </c>
      <c r="C441" s="1" t="s">
        <v>5</v>
      </c>
      <c r="D441">
        <v>5.0003200000000003</v>
      </c>
      <c r="E441" s="1" t="s">
        <v>1459</v>
      </c>
    </row>
    <row r="442" spans="1:5" hidden="1" x14ac:dyDescent="0.25">
      <c r="A442" s="1" t="s">
        <v>1826</v>
      </c>
      <c r="B442" s="1" t="s">
        <v>1827</v>
      </c>
      <c r="C442" s="1" t="s">
        <v>5</v>
      </c>
      <c r="D442">
        <v>5.0022399999999996</v>
      </c>
      <c r="E442" s="1" t="s">
        <v>1473</v>
      </c>
    </row>
    <row r="443" spans="1:5" hidden="1" x14ac:dyDescent="0.25">
      <c r="A443" s="1" t="s">
        <v>1474</v>
      </c>
      <c r="B443" s="1" t="s">
        <v>1475</v>
      </c>
      <c r="C443" s="1" t="s">
        <v>5</v>
      </c>
      <c r="D443">
        <v>5.0022399999999996</v>
      </c>
      <c r="E443" s="1" t="s">
        <v>1458</v>
      </c>
    </row>
    <row r="444" spans="1:5" hidden="1" x14ac:dyDescent="0.25">
      <c r="A444" s="1" t="s">
        <v>1494</v>
      </c>
      <c r="B444" s="1" t="s">
        <v>1495</v>
      </c>
      <c r="C444" s="1" t="s">
        <v>5</v>
      </c>
      <c r="D444">
        <v>5.0105279999999999</v>
      </c>
      <c r="E444" s="1" t="s">
        <v>1459</v>
      </c>
    </row>
    <row r="445" spans="1:5" hidden="1" x14ac:dyDescent="0.25">
      <c r="A445" s="1" t="s">
        <v>2532</v>
      </c>
      <c r="B445" s="1" t="s">
        <v>2533</v>
      </c>
      <c r="C445" s="1" t="s">
        <v>5</v>
      </c>
      <c r="D445">
        <v>5.0111999999999997</v>
      </c>
      <c r="E445" s="1" t="s">
        <v>2523</v>
      </c>
    </row>
    <row r="446" spans="1:5" hidden="1" x14ac:dyDescent="0.25">
      <c r="A446" s="1" t="s">
        <v>1462</v>
      </c>
      <c r="B446" s="1" t="s">
        <v>1463</v>
      </c>
      <c r="C446" s="1" t="s">
        <v>5</v>
      </c>
      <c r="D446">
        <v>5.0121792000000003</v>
      </c>
      <c r="E446" s="1" t="s">
        <v>1461</v>
      </c>
    </row>
    <row r="447" spans="1:5" hidden="1" x14ac:dyDescent="0.25">
      <c r="A447" s="1" t="s">
        <v>1516</v>
      </c>
      <c r="B447" s="1" t="s">
        <v>1517</v>
      </c>
      <c r="C447" s="1" t="s">
        <v>5</v>
      </c>
      <c r="D447">
        <v>5.0121792000000003</v>
      </c>
      <c r="E447" s="1" t="s">
        <v>1461</v>
      </c>
    </row>
    <row r="448" spans="1:5" hidden="1" x14ac:dyDescent="0.25">
      <c r="A448" s="1" t="s">
        <v>1639</v>
      </c>
      <c r="B448" s="1" t="s">
        <v>1640</v>
      </c>
      <c r="C448" s="1" t="s">
        <v>5</v>
      </c>
      <c r="D448">
        <v>5.0144799999999998</v>
      </c>
      <c r="E448" s="1" t="s">
        <v>1641</v>
      </c>
    </row>
    <row r="449" spans="1:5" hidden="1" x14ac:dyDescent="0.25">
      <c r="A449" s="1" t="s">
        <v>2202</v>
      </c>
      <c r="B449" s="1" t="s">
        <v>2203</v>
      </c>
      <c r="C449" s="1" t="s">
        <v>5</v>
      </c>
      <c r="D449">
        <v>5.0205440000000001</v>
      </c>
      <c r="E449" s="1" t="s">
        <v>2006</v>
      </c>
    </row>
    <row r="450" spans="1:5" hidden="1" x14ac:dyDescent="0.25">
      <c r="A450" s="1" t="s">
        <v>2482</v>
      </c>
      <c r="B450" s="1" t="s">
        <v>2483</v>
      </c>
      <c r="C450" s="1" t="s">
        <v>5</v>
      </c>
      <c r="D450">
        <v>5.1486476000000003</v>
      </c>
      <c r="E450" s="1" t="s">
        <v>1473</v>
      </c>
    </row>
    <row r="451" spans="1:5" hidden="1" x14ac:dyDescent="0.25">
      <c r="A451" s="1" t="s">
        <v>2022</v>
      </c>
      <c r="B451" s="1" t="s">
        <v>2023</v>
      </c>
      <c r="C451" s="1" t="s">
        <v>5</v>
      </c>
      <c r="D451">
        <v>5.3304575999999999</v>
      </c>
      <c r="E451" s="1" t="s">
        <v>2021</v>
      </c>
    </row>
    <row r="452" spans="1:5" hidden="1" x14ac:dyDescent="0.25">
      <c r="A452" s="1" t="s">
        <v>2207</v>
      </c>
      <c r="B452" s="1" t="s">
        <v>2208</v>
      </c>
      <c r="C452" s="1" t="s">
        <v>5</v>
      </c>
      <c r="D452">
        <v>5.3523788799999998</v>
      </c>
      <c r="E452" s="1" t="s">
        <v>2206</v>
      </c>
    </row>
    <row r="453" spans="1:5" hidden="1" x14ac:dyDescent="0.25">
      <c r="A453" s="1" t="s">
        <v>2466</v>
      </c>
      <c r="B453" s="1" t="s">
        <v>2467</v>
      </c>
      <c r="C453" s="1" t="s">
        <v>5</v>
      </c>
      <c r="D453">
        <v>5.4106623999999996</v>
      </c>
      <c r="E453" s="1" t="s">
        <v>1538</v>
      </c>
    </row>
    <row r="454" spans="1:5" hidden="1" x14ac:dyDescent="0.25">
      <c r="A454" s="1" t="s">
        <v>2667</v>
      </c>
      <c r="B454" s="1" t="s">
        <v>2668</v>
      </c>
      <c r="C454" s="1" t="s">
        <v>5</v>
      </c>
      <c r="D454">
        <v>5.5009895999999996</v>
      </c>
      <c r="E454" s="1" t="s">
        <v>2596</v>
      </c>
    </row>
    <row r="455" spans="1:5" hidden="1" x14ac:dyDescent="0.25">
      <c r="A455" s="1" t="s">
        <v>1909</v>
      </c>
      <c r="B455" s="1" t="s">
        <v>1910</v>
      </c>
      <c r="C455" s="1" t="s">
        <v>5</v>
      </c>
      <c r="D455">
        <v>5.5297999999999998</v>
      </c>
      <c r="E455" s="1" t="s">
        <v>1518</v>
      </c>
    </row>
    <row r="456" spans="1:5" hidden="1" x14ac:dyDescent="0.25">
      <c r="A456" s="1" t="s">
        <v>2720</v>
      </c>
      <c r="B456" s="1" t="s">
        <v>2721</v>
      </c>
      <c r="C456" s="1" t="s">
        <v>5</v>
      </c>
      <c r="D456">
        <v>5.5991416000000003</v>
      </c>
      <c r="E456" s="1" t="s">
        <v>1518</v>
      </c>
    </row>
    <row r="457" spans="1:5" hidden="1" x14ac:dyDescent="0.25">
      <c r="A457" s="1" t="s">
        <v>2607</v>
      </c>
      <c r="B457" s="1" t="s">
        <v>2608</v>
      </c>
      <c r="C457" s="1" t="s">
        <v>5</v>
      </c>
      <c r="D457">
        <v>5.6510480000000003</v>
      </c>
      <c r="E457" s="1" t="s">
        <v>2596</v>
      </c>
    </row>
    <row r="458" spans="1:5" hidden="1" x14ac:dyDescent="0.25">
      <c r="A458" s="1" t="s">
        <v>2584</v>
      </c>
      <c r="B458" s="1" t="s">
        <v>2585</v>
      </c>
      <c r="C458" s="1" t="s">
        <v>5</v>
      </c>
      <c r="D458">
        <v>5.7496320000000001</v>
      </c>
      <c r="E458" s="1" t="s">
        <v>2579</v>
      </c>
    </row>
    <row r="459" spans="1:5" hidden="1" x14ac:dyDescent="0.25">
      <c r="A459" s="1" t="s">
        <v>2190</v>
      </c>
      <c r="B459" s="1" t="s">
        <v>2191</v>
      </c>
      <c r="C459" s="1" t="s">
        <v>5</v>
      </c>
      <c r="D459">
        <v>6.0070432</v>
      </c>
      <c r="E459" s="1" t="s">
        <v>1997</v>
      </c>
    </row>
    <row r="460" spans="1:5" hidden="1" x14ac:dyDescent="0.25">
      <c r="A460" s="1" t="s">
        <v>2480</v>
      </c>
      <c r="B460" s="1" t="s">
        <v>2481</v>
      </c>
      <c r="C460" s="1" t="s">
        <v>5</v>
      </c>
      <c r="D460">
        <v>6.0928000000000004</v>
      </c>
      <c r="E460" s="1" t="s">
        <v>1473</v>
      </c>
    </row>
    <row r="461" spans="1:5" hidden="1" x14ac:dyDescent="0.25">
      <c r="A461" s="1" t="s">
        <v>1539</v>
      </c>
      <c r="B461" s="1" t="s">
        <v>1540</v>
      </c>
      <c r="C461" s="1" t="s">
        <v>5</v>
      </c>
      <c r="D461">
        <v>6.2450080000000003</v>
      </c>
      <c r="E461" s="1" t="s">
        <v>1529</v>
      </c>
    </row>
    <row r="462" spans="1:5" hidden="1" x14ac:dyDescent="0.25">
      <c r="A462" s="1" t="s">
        <v>2317</v>
      </c>
      <c r="B462" s="1" t="s">
        <v>2318</v>
      </c>
      <c r="C462" s="1" t="s">
        <v>5</v>
      </c>
      <c r="D462">
        <v>6.2489600000000003</v>
      </c>
      <c r="E462" s="1" t="s">
        <v>1472</v>
      </c>
    </row>
    <row r="463" spans="1:5" hidden="1" x14ac:dyDescent="0.25">
      <c r="A463" s="1" t="s">
        <v>2588</v>
      </c>
      <c r="B463" s="1" t="s">
        <v>2589</v>
      </c>
      <c r="C463" s="1" t="s">
        <v>5</v>
      </c>
      <c r="D463">
        <v>6.2500171550000001</v>
      </c>
      <c r="E463" s="1" t="s">
        <v>1538</v>
      </c>
    </row>
    <row r="464" spans="1:5" hidden="1" x14ac:dyDescent="0.25">
      <c r="A464" s="1" t="s">
        <v>2730</v>
      </c>
      <c r="B464" s="1" t="s">
        <v>2731</v>
      </c>
      <c r="C464" s="1" t="s">
        <v>5</v>
      </c>
      <c r="D464">
        <v>6.2502399999999998</v>
      </c>
      <c r="E464" s="1" t="s">
        <v>1518</v>
      </c>
    </row>
    <row r="465" spans="1:5" hidden="1" x14ac:dyDescent="0.25">
      <c r="A465" s="1" t="s">
        <v>1510</v>
      </c>
      <c r="B465" s="1" t="s">
        <v>1511</v>
      </c>
      <c r="C465" s="1" t="s">
        <v>5</v>
      </c>
      <c r="D465">
        <v>6.2574627999999999</v>
      </c>
      <c r="E465" s="1" t="s">
        <v>1459</v>
      </c>
    </row>
    <row r="466" spans="1:5" hidden="1" x14ac:dyDescent="0.25">
      <c r="A466" s="1" t="s">
        <v>1933</v>
      </c>
      <c r="B466" s="1" t="s">
        <v>1934</v>
      </c>
      <c r="C466" s="1" t="s">
        <v>5</v>
      </c>
      <c r="D466">
        <v>6.2781000000000002</v>
      </c>
      <c r="E466" s="1" t="s">
        <v>1518</v>
      </c>
    </row>
    <row r="467" spans="1:5" hidden="1" x14ac:dyDescent="0.25">
      <c r="A467" s="1" t="s">
        <v>1691</v>
      </c>
      <c r="B467" s="1" t="s">
        <v>1692</v>
      </c>
      <c r="C467" s="1" t="s">
        <v>5</v>
      </c>
      <c r="D467">
        <v>6.3711350400000004</v>
      </c>
      <c r="E467" s="1" t="s">
        <v>1690</v>
      </c>
    </row>
    <row r="468" spans="1:5" hidden="1" x14ac:dyDescent="0.25">
      <c r="A468" s="1" t="s">
        <v>2580</v>
      </c>
      <c r="B468" s="1" t="s">
        <v>2581</v>
      </c>
      <c r="C468" s="1" t="s">
        <v>5</v>
      </c>
      <c r="D468">
        <v>6.4657600000000004</v>
      </c>
      <c r="E468" s="1" t="s">
        <v>2579</v>
      </c>
    </row>
    <row r="469" spans="1:5" hidden="1" x14ac:dyDescent="0.25">
      <c r="A469" s="1" t="s">
        <v>1929</v>
      </c>
      <c r="B469" s="1" t="s">
        <v>1930</v>
      </c>
      <c r="C469" s="1" t="s">
        <v>5</v>
      </c>
      <c r="D469">
        <v>6.4683359999999999</v>
      </c>
      <c r="E469" s="1" t="s">
        <v>1518</v>
      </c>
    </row>
    <row r="470" spans="1:5" hidden="1" x14ac:dyDescent="0.25">
      <c r="A470" s="1" t="s">
        <v>1464</v>
      </c>
      <c r="B470" s="1" t="s">
        <v>1465</v>
      </c>
      <c r="C470" s="1" t="s">
        <v>5</v>
      </c>
      <c r="D470">
        <v>6.5417535999999998</v>
      </c>
      <c r="E470" s="1" t="s">
        <v>1461</v>
      </c>
    </row>
    <row r="471" spans="1:5" hidden="1" x14ac:dyDescent="0.25">
      <c r="A471" s="1" t="s">
        <v>1789</v>
      </c>
      <c r="B471" s="1" t="s">
        <v>1790</v>
      </c>
      <c r="C471" s="1" t="s">
        <v>5</v>
      </c>
      <c r="D471">
        <v>6.5638399999999999</v>
      </c>
      <c r="E471" s="1" t="s">
        <v>1784</v>
      </c>
    </row>
    <row r="472" spans="1:5" hidden="1" x14ac:dyDescent="0.25">
      <c r="A472" s="1" t="s">
        <v>1839</v>
      </c>
      <c r="B472" s="1" t="s">
        <v>1840</v>
      </c>
      <c r="C472" s="1" t="s">
        <v>5</v>
      </c>
      <c r="D472">
        <v>6.6662400000000002</v>
      </c>
      <c r="E472" s="1" t="s">
        <v>1834</v>
      </c>
    </row>
    <row r="473" spans="1:5" hidden="1" x14ac:dyDescent="0.25">
      <c r="A473" s="1" t="s">
        <v>2379</v>
      </c>
      <c r="B473" s="1" t="s">
        <v>2380</v>
      </c>
      <c r="C473" s="1" t="s">
        <v>5</v>
      </c>
      <c r="D473">
        <v>6.7749188800000004</v>
      </c>
      <c r="E473" s="1" t="s">
        <v>2378</v>
      </c>
    </row>
    <row r="474" spans="1:5" hidden="1" x14ac:dyDescent="0.25">
      <c r="A474" s="1" t="s">
        <v>2381</v>
      </c>
      <c r="B474" s="1" t="s">
        <v>2382</v>
      </c>
      <c r="C474" s="1" t="s">
        <v>5</v>
      </c>
      <c r="D474">
        <v>6.8008812000000001</v>
      </c>
      <c r="E474" s="1" t="s">
        <v>2378</v>
      </c>
    </row>
    <row r="475" spans="1:5" hidden="1" x14ac:dyDescent="0.25">
      <c r="A475" s="1" t="s">
        <v>1512</v>
      </c>
      <c r="B475" s="1" t="s">
        <v>1513</v>
      </c>
      <c r="C475" s="1" t="s">
        <v>5</v>
      </c>
      <c r="D475">
        <v>6.9337600000000004</v>
      </c>
      <c r="E475" s="1" t="s">
        <v>1459</v>
      </c>
    </row>
    <row r="476" spans="1:5" hidden="1" x14ac:dyDescent="0.25">
      <c r="A476" s="1" t="s">
        <v>2028</v>
      </c>
      <c r="B476" s="1" t="s">
        <v>2029</v>
      </c>
      <c r="C476" s="1" t="s">
        <v>5</v>
      </c>
      <c r="D476">
        <v>7.08352</v>
      </c>
      <c r="E476" s="1" t="s">
        <v>2021</v>
      </c>
    </row>
    <row r="477" spans="1:5" hidden="1" x14ac:dyDescent="0.25">
      <c r="A477" s="1" t="s">
        <v>2582</v>
      </c>
      <c r="B477" s="1" t="s">
        <v>2583</v>
      </c>
      <c r="C477" s="1" t="s">
        <v>5</v>
      </c>
      <c r="D477">
        <v>7.1921920000000004</v>
      </c>
      <c r="E477" s="1" t="s">
        <v>2579</v>
      </c>
    </row>
    <row r="478" spans="1:5" hidden="1" x14ac:dyDescent="0.25">
      <c r="A478" s="1" t="s">
        <v>2617</v>
      </c>
      <c r="B478" s="1" t="s">
        <v>2618</v>
      </c>
      <c r="C478" s="1" t="s">
        <v>5</v>
      </c>
      <c r="D478">
        <v>7.3052295200000001</v>
      </c>
      <c r="E478" s="1" t="s">
        <v>2523</v>
      </c>
    </row>
    <row r="479" spans="1:5" hidden="1" x14ac:dyDescent="0.25">
      <c r="A479" s="1" t="s">
        <v>2209</v>
      </c>
      <c r="B479" s="1" t="s">
        <v>2210</v>
      </c>
      <c r="C479" s="1" t="s">
        <v>5</v>
      </c>
      <c r="D479">
        <v>7.3319573599999996</v>
      </c>
      <c r="E479" s="1" t="s">
        <v>2206</v>
      </c>
    </row>
    <row r="480" spans="1:5" hidden="1" x14ac:dyDescent="0.25">
      <c r="A480" s="1" t="s">
        <v>2366</v>
      </c>
      <c r="B480" s="1" t="s">
        <v>2367</v>
      </c>
      <c r="C480" s="1" t="s">
        <v>5</v>
      </c>
      <c r="D480">
        <v>7.4522719999999998</v>
      </c>
      <c r="E480" s="1" t="s">
        <v>441</v>
      </c>
    </row>
    <row r="481" spans="1:5" hidden="1" x14ac:dyDescent="0.25">
      <c r="A481" s="1" t="s">
        <v>1468</v>
      </c>
      <c r="B481" s="1" t="s">
        <v>1469</v>
      </c>
      <c r="C481" s="1" t="s">
        <v>5</v>
      </c>
      <c r="D481">
        <v>7.4986904000000001</v>
      </c>
      <c r="E481" s="1" t="s">
        <v>1461</v>
      </c>
    </row>
    <row r="482" spans="1:5" hidden="1" x14ac:dyDescent="0.25">
      <c r="A482" s="1" t="s">
        <v>2036</v>
      </c>
      <c r="B482" s="1" t="s">
        <v>2037</v>
      </c>
      <c r="C482" s="1" t="s">
        <v>5</v>
      </c>
      <c r="D482">
        <v>7.4995200000000004</v>
      </c>
      <c r="E482" s="1" t="s">
        <v>1834</v>
      </c>
    </row>
    <row r="483" spans="1:5" hidden="1" x14ac:dyDescent="0.25">
      <c r="A483" s="1" t="s">
        <v>2002</v>
      </c>
      <c r="B483" s="1" t="s">
        <v>2003</v>
      </c>
      <c r="C483" s="1" t="s">
        <v>5</v>
      </c>
      <c r="D483">
        <v>7.5007999999999999</v>
      </c>
      <c r="E483" s="1" t="s">
        <v>1997</v>
      </c>
    </row>
    <row r="484" spans="1:5" hidden="1" x14ac:dyDescent="0.25">
      <c r="A484" s="1" t="s">
        <v>1523</v>
      </c>
      <c r="B484" s="1" t="s">
        <v>1524</v>
      </c>
      <c r="C484" s="1" t="s">
        <v>5</v>
      </c>
      <c r="D484">
        <v>7.5007999999999999</v>
      </c>
      <c r="E484" s="1" t="s">
        <v>1461</v>
      </c>
    </row>
    <row r="485" spans="1:5" hidden="1" x14ac:dyDescent="0.25">
      <c r="A485" s="1" t="s">
        <v>2728</v>
      </c>
      <c r="B485" s="1" t="s">
        <v>2729</v>
      </c>
      <c r="C485" s="1" t="s">
        <v>5</v>
      </c>
      <c r="D485">
        <v>7.5967491200000001</v>
      </c>
      <c r="E485" s="1" t="s">
        <v>1518</v>
      </c>
    </row>
    <row r="486" spans="1:5" hidden="1" x14ac:dyDescent="0.25">
      <c r="A486" s="1" t="s">
        <v>2196</v>
      </c>
      <c r="B486" s="1" t="s">
        <v>2197</v>
      </c>
      <c r="C486" s="1" t="s">
        <v>5</v>
      </c>
      <c r="D486">
        <v>7.7772800000000002</v>
      </c>
      <c r="E486" s="1" t="s">
        <v>1997</v>
      </c>
    </row>
    <row r="487" spans="1:5" hidden="1" x14ac:dyDescent="0.25">
      <c r="A487" s="1" t="s">
        <v>1843</v>
      </c>
      <c r="B487" s="1" t="s">
        <v>1844</v>
      </c>
      <c r="C487" s="1" t="s">
        <v>5</v>
      </c>
      <c r="D487">
        <v>7.8438923200000001</v>
      </c>
      <c r="E487" s="1" t="s">
        <v>1834</v>
      </c>
    </row>
    <row r="488" spans="1:5" hidden="1" x14ac:dyDescent="0.25">
      <c r="A488" s="1" t="s">
        <v>1959</v>
      </c>
      <c r="B488" s="1" t="s">
        <v>1960</v>
      </c>
      <c r="C488" s="1" t="s">
        <v>5</v>
      </c>
      <c r="D488">
        <v>7.8758400000000002</v>
      </c>
      <c r="E488" s="1" t="s">
        <v>1518</v>
      </c>
    </row>
    <row r="489" spans="1:5" hidden="1" x14ac:dyDescent="0.25">
      <c r="A489" s="1" t="s">
        <v>2645</v>
      </c>
      <c r="B489" s="1" t="s">
        <v>2646</v>
      </c>
      <c r="C489" s="1" t="s">
        <v>5</v>
      </c>
      <c r="D489">
        <v>7.9592815999999997</v>
      </c>
      <c r="E489" s="1" t="s">
        <v>2596</v>
      </c>
    </row>
    <row r="490" spans="1:5" hidden="1" x14ac:dyDescent="0.25">
      <c r="A490" s="1" t="s">
        <v>1835</v>
      </c>
      <c r="B490" s="1" t="s">
        <v>1836</v>
      </c>
      <c r="C490" s="1" t="s">
        <v>5</v>
      </c>
      <c r="D490">
        <v>7.9858216000000004</v>
      </c>
      <c r="E490" s="1" t="s">
        <v>1834</v>
      </c>
    </row>
    <row r="491" spans="1:5" hidden="1" x14ac:dyDescent="0.25">
      <c r="A491" s="1" t="s">
        <v>2573</v>
      </c>
      <c r="B491" s="1" t="s">
        <v>2574</v>
      </c>
      <c r="C491" s="1" t="s">
        <v>5</v>
      </c>
      <c r="D491">
        <v>8.0696302400000004</v>
      </c>
      <c r="E491" s="1" t="s">
        <v>2564</v>
      </c>
    </row>
    <row r="492" spans="1:5" hidden="1" x14ac:dyDescent="0.25">
      <c r="A492" s="1" t="s">
        <v>2408</v>
      </c>
      <c r="B492" s="1" t="s">
        <v>2409</v>
      </c>
      <c r="C492" s="1" t="s">
        <v>5</v>
      </c>
      <c r="D492">
        <v>8.1415089599999995</v>
      </c>
      <c r="E492" s="1" t="s">
        <v>1473</v>
      </c>
    </row>
    <row r="493" spans="1:5" hidden="1" x14ac:dyDescent="0.25">
      <c r="A493" s="1" t="s">
        <v>2651</v>
      </c>
      <c r="B493" s="1" t="s">
        <v>2652</v>
      </c>
      <c r="C493" s="1" t="s">
        <v>5</v>
      </c>
      <c r="D493">
        <v>8.153912</v>
      </c>
      <c r="E493" s="1" t="s">
        <v>2596</v>
      </c>
    </row>
    <row r="494" spans="1:5" hidden="1" x14ac:dyDescent="0.25">
      <c r="A494" s="1" t="s">
        <v>1945</v>
      </c>
      <c r="B494" s="1" t="s">
        <v>1946</v>
      </c>
      <c r="C494" s="1" t="s">
        <v>5</v>
      </c>
      <c r="D494">
        <v>8.1715199999999992</v>
      </c>
      <c r="E494" s="1" t="s">
        <v>1518</v>
      </c>
    </row>
    <row r="495" spans="1:5" hidden="1" x14ac:dyDescent="0.25">
      <c r="A495" s="1" t="s">
        <v>1500</v>
      </c>
      <c r="B495" s="1" t="s">
        <v>1501</v>
      </c>
      <c r="C495" s="1" t="s">
        <v>5</v>
      </c>
      <c r="D495">
        <v>8.2485672000000001</v>
      </c>
      <c r="E495" s="1" t="s">
        <v>1461</v>
      </c>
    </row>
    <row r="496" spans="1:5" hidden="1" x14ac:dyDescent="0.25">
      <c r="A496" s="1" t="s">
        <v>2647</v>
      </c>
      <c r="B496" s="1" t="s">
        <v>2648</v>
      </c>
      <c r="C496" s="1" t="s">
        <v>5</v>
      </c>
      <c r="D496">
        <v>8.3917347200000005</v>
      </c>
      <c r="E496" s="1" t="s">
        <v>2596</v>
      </c>
    </row>
    <row r="497" spans="1:5" hidden="1" x14ac:dyDescent="0.25">
      <c r="A497" s="1" t="s">
        <v>1470</v>
      </c>
      <c r="B497" s="1" t="s">
        <v>1471</v>
      </c>
      <c r="C497" s="1" t="s">
        <v>5</v>
      </c>
      <c r="D497">
        <v>8.4013823999999993</v>
      </c>
      <c r="E497" s="1" t="s">
        <v>1461</v>
      </c>
    </row>
    <row r="498" spans="1:5" hidden="1" x14ac:dyDescent="0.25">
      <c r="A498" s="1" t="s">
        <v>2404</v>
      </c>
      <c r="B498" s="1" t="s">
        <v>2405</v>
      </c>
      <c r="C498" s="1" t="s">
        <v>5</v>
      </c>
      <c r="D498">
        <v>8.6604159999999997</v>
      </c>
      <c r="E498" s="1" t="s">
        <v>1472</v>
      </c>
    </row>
    <row r="499" spans="1:5" hidden="1" x14ac:dyDescent="0.25">
      <c r="A499" s="1" t="s">
        <v>1947</v>
      </c>
      <c r="B499" s="1" t="s">
        <v>1948</v>
      </c>
      <c r="C499" s="1" t="s">
        <v>5</v>
      </c>
      <c r="D499">
        <v>8.7270400000000006</v>
      </c>
      <c r="E499" s="1" t="s">
        <v>1518</v>
      </c>
    </row>
    <row r="500" spans="1:5" hidden="1" x14ac:dyDescent="0.25">
      <c r="A500" s="1" t="s">
        <v>1993</v>
      </c>
      <c r="B500" s="1" t="s">
        <v>1994</v>
      </c>
      <c r="C500" s="1" t="s">
        <v>5</v>
      </c>
      <c r="D500">
        <v>8.7270400000000006</v>
      </c>
      <c r="E500" s="1" t="s">
        <v>1518</v>
      </c>
    </row>
    <row r="501" spans="1:5" hidden="1" x14ac:dyDescent="0.25">
      <c r="A501" s="1" t="s">
        <v>1506</v>
      </c>
      <c r="B501" s="1" t="s">
        <v>1507</v>
      </c>
      <c r="C501" s="1" t="s">
        <v>5</v>
      </c>
      <c r="D501">
        <v>8.7614955999999999</v>
      </c>
      <c r="E501" s="1" t="s">
        <v>1461</v>
      </c>
    </row>
    <row r="502" spans="1:5" hidden="1" x14ac:dyDescent="0.25">
      <c r="A502" s="1" t="s">
        <v>1525</v>
      </c>
      <c r="B502" s="1" t="s">
        <v>1526</v>
      </c>
      <c r="C502" s="1" t="s">
        <v>5</v>
      </c>
      <c r="D502">
        <v>8.8883200000000002</v>
      </c>
      <c r="E502" s="1" t="s">
        <v>1461</v>
      </c>
    </row>
    <row r="503" spans="1:5" hidden="1" x14ac:dyDescent="0.25">
      <c r="A503" s="1" t="s">
        <v>1498</v>
      </c>
      <c r="B503" s="1" t="s">
        <v>1499</v>
      </c>
      <c r="C503" s="1" t="s">
        <v>5</v>
      </c>
      <c r="D503">
        <v>8.8895999999999997</v>
      </c>
      <c r="E503" s="1" t="s">
        <v>1459</v>
      </c>
    </row>
    <row r="504" spans="1:5" hidden="1" x14ac:dyDescent="0.25">
      <c r="A504" s="1" t="s">
        <v>1949</v>
      </c>
      <c r="B504" s="1" t="s">
        <v>1950</v>
      </c>
      <c r="C504" s="1" t="s">
        <v>5</v>
      </c>
      <c r="D504">
        <v>8.9996799999999997</v>
      </c>
      <c r="E504" s="1" t="s">
        <v>1518</v>
      </c>
    </row>
    <row r="505" spans="1:5" hidden="1" x14ac:dyDescent="0.25">
      <c r="A505" s="1" t="s">
        <v>1504</v>
      </c>
      <c r="B505" s="1" t="s">
        <v>1505</v>
      </c>
      <c r="C505" s="1" t="s">
        <v>5</v>
      </c>
      <c r="D505">
        <v>9.0189275999999996</v>
      </c>
      <c r="E505" s="1" t="s">
        <v>1461</v>
      </c>
    </row>
    <row r="506" spans="1:5" hidden="1" x14ac:dyDescent="0.25">
      <c r="A506" s="1" t="s">
        <v>1490</v>
      </c>
      <c r="B506" s="1" t="s">
        <v>1491</v>
      </c>
      <c r="C506" s="1" t="s">
        <v>5</v>
      </c>
      <c r="D506">
        <v>9.1160832000000003</v>
      </c>
      <c r="E506" s="1" t="s">
        <v>1461</v>
      </c>
    </row>
    <row r="507" spans="1:5" hidden="1" x14ac:dyDescent="0.25">
      <c r="A507" s="1" t="s">
        <v>2724</v>
      </c>
      <c r="B507" s="1" t="s">
        <v>2725</v>
      </c>
      <c r="C507" s="1" t="s">
        <v>5</v>
      </c>
      <c r="D507">
        <v>9.2196639999999999</v>
      </c>
      <c r="E507" s="1" t="s">
        <v>1518</v>
      </c>
    </row>
    <row r="508" spans="1:5" hidden="1" x14ac:dyDescent="0.25">
      <c r="A508" s="1" t="s">
        <v>2017</v>
      </c>
      <c r="B508" s="1" t="s">
        <v>2018</v>
      </c>
      <c r="C508" s="1" t="s">
        <v>5</v>
      </c>
      <c r="D508">
        <v>9.3563679999999998</v>
      </c>
      <c r="E508" s="1" t="s">
        <v>2006</v>
      </c>
    </row>
    <row r="509" spans="1:5" hidden="1" x14ac:dyDescent="0.25">
      <c r="A509" s="1" t="s">
        <v>1937</v>
      </c>
      <c r="B509" s="1" t="s">
        <v>1938</v>
      </c>
      <c r="C509" s="1" t="s">
        <v>5</v>
      </c>
      <c r="D509">
        <v>9.4924800000000005</v>
      </c>
      <c r="E509" s="1" t="s">
        <v>1518</v>
      </c>
    </row>
    <row r="510" spans="1:5" hidden="1" x14ac:dyDescent="0.25">
      <c r="A510" s="1" t="s">
        <v>1519</v>
      </c>
      <c r="B510" s="1" t="s">
        <v>1520</v>
      </c>
      <c r="C510" s="1" t="s">
        <v>5</v>
      </c>
      <c r="D510">
        <v>9.5237231999999992</v>
      </c>
      <c r="E510" s="1" t="s">
        <v>1461</v>
      </c>
    </row>
    <row r="511" spans="1:5" hidden="1" x14ac:dyDescent="0.25">
      <c r="A511" s="1" t="s">
        <v>1661</v>
      </c>
      <c r="B511" s="1" t="s">
        <v>1662</v>
      </c>
      <c r="C511" s="1" t="s">
        <v>5</v>
      </c>
      <c r="D511">
        <v>9.7138852799999995</v>
      </c>
      <c r="E511" s="1" t="s">
        <v>1650</v>
      </c>
    </row>
    <row r="512" spans="1:5" hidden="1" x14ac:dyDescent="0.25">
      <c r="A512" s="1" t="s">
        <v>1484</v>
      </c>
      <c r="B512" s="1" t="s">
        <v>1485</v>
      </c>
      <c r="C512" s="1" t="s">
        <v>5</v>
      </c>
      <c r="D512">
        <v>9.8126303999999998</v>
      </c>
      <c r="E512" s="1" t="s">
        <v>1461</v>
      </c>
    </row>
    <row r="513" spans="1:5" hidden="1" x14ac:dyDescent="0.25">
      <c r="A513" s="1" t="s">
        <v>2406</v>
      </c>
      <c r="B513" s="1" t="s">
        <v>2407</v>
      </c>
      <c r="C513" s="1" t="s">
        <v>5</v>
      </c>
      <c r="D513">
        <v>9.9942399999999996</v>
      </c>
      <c r="E513" s="1" t="s">
        <v>1472</v>
      </c>
    </row>
    <row r="514" spans="1:5" hidden="1" x14ac:dyDescent="0.25">
      <c r="A514" s="1" t="s">
        <v>1486</v>
      </c>
      <c r="B514" s="1" t="s">
        <v>1487</v>
      </c>
      <c r="C514" s="1" t="s">
        <v>5</v>
      </c>
      <c r="D514">
        <v>9.9956102399999995</v>
      </c>
      <c r="E514" s="1" t="s">
        <v>1461</v>
      </c>
    </row>
    <row r="515" spans="1:5" hidden="1" x14ac:dyDescent="0.25">
      <c r="A515" s="1" t="s">
        <v>2313</v>
      </c>
      <c r="B515" s="1" t="s">
        <v>2314</v>
      </c>
      <c r="C515" s="1" t="s">
        <v>5</v>
      </c>
      <c r="D515">
        <v>25.024999999999999</v>
      </c>
      <c r="E515" s="1" t="s">
        <v>1461</v>
      </c>
    </row>
    <row r="516" spans="1:5" hidden="1" x14ac:dyDescent="0.25">
      <c r="A516" s="1" t="s">
        <v>2577</v>
      </c>
      <c r="B516" s="1" t="s">
        <v>2578</v>
      </c>
      <c r="C516" s="1" t="s">
        <v>5</v>
      </c>
      <c r="D516">
        <v>25.152063999999999</v>
      </c>
      <c r="E516" s="1" t="s">
        <v>2579</v>
      </c>
    </row>
    <row r="517" spans="1:5" hidden="1" x14ac:dyDescent="0.25">
      <c r="A517" s="1" t="s">
        <v>2341</v>
      </c>
      <c r="B517" s="1" t="s">
        <v>2342</v>
      </c>
      <c r="C517" s="1" t="s">
        <v>5</v>
      </c>
      <c r="D517">
        <v>25.487397436999998</v>
      </c>
      <c r="E517" s="1" t="s">
        <v>1681</v>
      </c>
    </row>
    <row r="518" spans="1:5" hidden="1" x14ac:dyDescent="0.25">
      <c r="A518" s="1" t="s">
        <v>1669</v>
      </c>
      <c r="B518" s="1" t="s">
        <v>1670</v>
      </c>
      <c r="C518" s="1" t="s">
        <v>5</v>
      </c>
      <c r="D518">
        <v>25.6</v>
      </c>
      <c r="E518" s="1" t="s">
        <v>1472</v>
      </c>
    </row>
    <row r="519" spans="1:5" hidden="1" x14ac:dyDescent="0.25">
      <c r="A519" s="1" t="s">
        <v>2398</v>
      </c>
      <c r="B519" s="1" t="s">
        <v>2399</v>
      </c>
      <c r="C519" s="1" t="s">
        <v>5</v>
      </c>
      <c r="D519">
        <v>25.6</v>
      </c>
      <c r="E519" s="1" t="s">
        <v>1472</v>
      </c>
    </row>
    <row r="520" spans="1:5" hidden="1" x14ac:dyDescent="0.25">
      <c r="A520" s="1" t="s">
        <v>2019</v>
      </c>
      <c r="B520" s="1" t="s">
        <v>2020</v>
      </c>
      <c r="C520" s="1" t="s">
        <v>5</v>
      </c>
      <c r="D520">
        <v>25.82570368</v>
      </c>
      <c r="E520" s="1" t="s">
        <v>2021</v>
      </c>
    </row>
    <row r="521" spans="1:5" hidden="1" x14ac:dyDescent="0.25">
      <c r="A521" s="1" t="s">
        <v>2183</v>
      </c>
      <c r="B521" s="1" t="s">
        <v>2184</v>
      </c>
      <c r="C521" s="1" t="s">
        <v>5</v>
      </c>
      <c r="D521">
        <v>25.92201472</v>
      </c>
      <c r="E521" s="1" t="s">
        <v>2185</v>
      </c>
    </row>
    <row r="522" spans="1:5" hidden="1" x14ac:dyDescent="0.25">
      <c r="A522" s="1" t="s">
        <v>2192</v>
      </c>
      <c r="B522" s="1" t="s">
        <v>2193</v>
      </c>
      <c r="C522" s="1" t="s">
        <v>5</v>
      </c>
      <c r="D522">
        <v>26.250240000000002</v>
      </c>
      <c r="E522" s="1" t="s">
        <v>1997</v>
      </c>
    </row>
    <row r="523" spans="1:5" hidden="1" x14ac:dyDescent="0.25">
      <c r="A523" s="1" t="s">
        <v>2687</v>
      </c>
      <c r="B523" s="1" t="s">
        <v>2688</v>
      </c>
      <c r="C523" s="1" t="s">
        <v>5</v>
      </c>
      <c r="D523">
        <v>26.74335576</v>
      </c>
      <c r="E523" s="1" t="s">
        <v>1461</v>
      </c>
    </row>
    <row r="524" spans="1:5" hidden="1" x14ac:dyDescent="0.25">
      <c r="A524" s="1" t="s">
        <v>2476</v>
      </c>
      <c r="B524" s="1" t="s">
        <v>2477</v>
      </c>
      <c r="C524" s="1" t="s">
        <v>5</v>
      </c>
      <c r="D524">
        <v>27.216000000000001</v>
      </c>
      <c r="E524" s="1" t="s">
        <v>1473</v>
      </c>
    </row>
    <row r="525" spans="1:5" hidden="1" x14ac:dyDescent="0.25">
      <c r="A525" s="1" t="s">
        <v>2708</v>
      </c>
      <c r="B525" s="1" t="s">
        <v>2709</v>
      </c>
      <c r="C525" s="1" t="s">
        <v>5</v>
      </c>
      <c r="D525">
        <v>27.51987136</v>
      </c>
      <c r="E525" s="1" t="s">
        <v>1473</v>
      </c>
    </row>
    <row r="526" spans="1:5" hidden="1" x14ac:dyDescent="0.25">
      <c r="A526" s="1" t="s">
        <v>2742</v>
      </c>
      <c r="B526" s="1" t="s">
        <v>2743</v>
      </c>
      <c r="C526" s="1" t="s">
        <v>5</v>
      </c>
      <c r="D526">
        <v>27.612784000000001</v>
      </c>
      <c r="E526" s="1" t="s">
        <v>1538</v>
      </c>
    </row>
    <row r="527" spans="1:5" hidden="1" x14ac:dyDescent="0.25">
      <c r="A527" s="1" t="s">
        <v>1541</v>
      </c>
      <c r="B527" s="1" t="s">
        <v>1542</v>
      </c>
      <c r="C527" s="1" t="s">
        <v>5</v>
      </c>
      <c r="D527">
        <v>27.7301088</v>
      </c>
      <c r="E527" s="1" t="s">
        <v>1529</v>
      </c>
    </row>
    <row r="528" spans="1:5" hidden="1" x14ac:dyDescent="0.25">
      <c r="A528" s="1" t="s">
        <v>2808</v>
      </c>
      <c r="B528" s="1" t="s">
        <v>2809</v>
      </c>
      <c r="C528" s="1" t="s">
        <v>5</v>
      </c>
      <c r="D528">
        <v>28.883098400000002</v>
      </c>
      <c r="E528" s="1" t="s">
        <v>1545</v>
      </c>
    </row>
    <row r="529" spans="1:5" hidden="1" x14ac:dyDescent="0.25">
      <c r="A529" s="1" t="s">
        <v>2592</v>
      </c>
      <c r="B529" s="1" t="s">
        <v>2593</v>
      </c>
      <c r="C529" s="1" t="s">
        <v>5</v>
      </c>
      <c r="D529">
        <v>29.314733279999999</v>
      </c>
      <c r="E529" s="1" t="s">
        <v>1538</v>
      </c>
    </row>
    <row r="530" spans="1:5" hidden="1" x14ac:dyDescent="0.25">
      <c r="A530" s="1" t="s">
        <v>2472</v>
      </c>
      <c r="B530" s="1" t="s">
        <v>2473</v>
      </c>
      <c r="C530" s="1" t="s">
        <v>5</v>
      </c>
      <c r="D530">
        <v>29.878112959999999</v>
      </c>
      <c r="E530" s="1" t="s">
        <v>1538</v>
      </c>
    </row>
    <row r="531" spans="1:5" hidden="1" x14ac:dyDescent="0.25">
      <c r="A531" s="1" t="s">
        <v>1646</v>
      </c>
      <c r="B531" s="1" t="s">
        <v>1647</v>
      </c>
      <c r="C531" s="1" t="s">
        <v>5</v>
      </c>
      <c r="D531">
        <v>29.98272</v>
      </c>
      <c r="E531" s="1" t="s">
        <v>1472</v>
      </c>
    </row>
    <row r="532" spans="1:5" hidden="1" x14ac:dyDescent="0.25">
      <c r="A532" s="1" t="s">
        <v>1686</v>
      </c>
      <c r="B532" s="1" t="s">
        <v>1687</v>
      </c>
      <c r="C532" s="1" t="s">
        <v>5</v>
      </c>
      <c r="D532">
        <v>29.998080000000002</v>
      </c>
      <c r="E532" s="1" t="s">
        <v>1472</v>
      </c>
    </row>
    <row r="533" spans="1:5" x14ac:dyDescent="0.25">
      <c r="A533" s="1" t="s">
        <v>2554</v>
      </c>
      <c r="B533" s="1" t="s">
        <v>2555</v>
      </c>
      <c r="C533" s="1" t="s">
        <v>5</v>
      </c>
      <c r="D533">
        <v>30.069078959999999</v>
      </c>
      <c r="E533" s="1" t="s">
        <v>1461</v>
      </c>
    </row>
    <row r="534" spans="1:5" x14ac:dyDescent="0.25">
      <c r="A534" s="1" t="s">
        <v>1989</v>
      </c>
      <c r="B534" s="1" t="s">
        <v>1990</v>
      </c>
      <c r="C534" s="1" t="s">
        <v>5</v>
      </c>
      <c r="D534">
        <v>30.082896000000002</v>
      </c>
      <c r="E534" s="1" t="s">
        <v>1518</v>
      </c>
    </row>
    <row r="535" spans="1:5" x14ac:dyDescent="0.25">
      <c r="A535" s="1" t="s">
        <v>2722</v>
      </c>
      <c r="B535" s="1" t="s">
        <v>2723</v>
      </c>
      <c r="C535" s="1" t="s">
        <v>5</v>
      </c>
      <c r="D535">
        <v>30.107144000000002</v>
      </c>
      <c r="E535" s="1" t="s">
        <v>1518</v>
      </c>
    </row>
    <row r="536" spans="1:5" x14ac:dyDescent="0.25">
      <c r="A536" s="1" t="s">
        <v>2484</v>
      </c>
      <c r="B536" s="1" t="s">
        <v>2485</v>
      </c>
      <c r="C536" s="1" t="s">
        <v>5</v>
      </c>
      <c r="D536">
        <v>30.243839999999999</v>
      </c>
      <c r="E536" s="1" t="s">
        <v>1473</v>
      </c>
    </row>
    <row r="537" spans="1:5" x14ac:dyDescent="0.25">
      <c r="A537" s="1" t="s">
        <v>2683</v>
      </c>
      <c r="B537" s="1" t="s">
        <v>2684</v>
      </c>
      <c r="C537" s="1" t="s">
        <v>5</v>
      </c>
      <c r="D537">
        <v>30.776410559999999</v>
      </c>
      <c r="E537" s="1" t="s">
        <v>2512</v>
      </c>
    </row>
    <row r="538" spans="1:5" x14ac:dyDescent="0.25">
      <c r="A538" s="1" t="s">
        <v>2685</v>
      </c>
      <c r="B538" s="1" t="s">
        <v>2686</v>
      </c>
      <c r="C538" s="1" t="s">
        <v>5</v>
      </c>
      <c r="D538">
        <v>30.777686559999999</v>
      </c>
      <c r="E538" s="1" t="s">
        <v>2512</v>
      </c>
    </row>
    <row r="539" spans="1:5" x14ac:dyDescent="0.25">
      <c r="A539" s="1" t="s">
        <v>2790</v>
      </c>
      <c r="B539" s="1" t="s">
        <v>2791</v>
      </c>
      <c r="C539" s="1" t="s">
        <v>5</v>
      </c>
      <c r="D539">
        <v>30.954239999999999</v>
      </c>
      <c r="E539" s="1" t="s">
        <v>1681</v>
      </c>
    </row>
    <row r="540" spans="1:5" x14ac:dyDescent="0.25">
      <c r="A540" s="1" t="s">
        <v>1991</v>
      </c>
      <c r="B540" s="1" t="s">
        <v>1992</v>
      </c>
      <c r="C540" s="1" t="s">
        <v>5</v>
      </c>
      <c r="D540">
        <v>31.050355199999998</v>
      </c>
      <c r="E540" s="1" t="s">
        <v>1518</v>
      </c>
    </row>
    <row r="541" spans="1:5" x14ac:dyDescent="0.25">
      <c r="A541" s="1" t="s">
        <v>2740</v>
      </c>
      <c r="B541" s="1" t="s">
        <v>2741</v>
      </c>
      <c r="C541" s="1" t="s">
        <v>5</v>
      </c>
      <c r="D541">
        <v>31.460352</v>
      </c>
      <c r="E541" s="1" t="s">
        <v>1538</v>
      </c>
    </row>
    <row r="542" spans="1:5" x14ac:dyDescent="0.25">
      <c r="A542" s="1" t="s">
        <v>1705</v>
      </c>
      <c r="B542" s="1" t="s">
        <v>1706</v>
      </c>
      <c r="C542" s="1" t="s">
        <v>5</v>
      </c>
      <c r="D542">
        <v>31.69792</v>
      </c>
      <c r="E542" s="1" t="s">
        <v>1690</v>
      </c>
    </row>
    <row r="543" spans="1:5" x14ac:dyDescent="0.25">
      <c r="A543" s="1" t="s">
        <v>1907</v>
      </c>
      <c r="B543" s="1" t="s">
        <v>1908</v>
      </c>
      <c r="C543" s="1" t="s">
        <v>5</v>
      </c>
      <c r="D543">
        <v>32</v>
      </c>
      <c r="E543" s="1" t="s">
        <v>1518</v>
      </c>
    </row>
    <row r="544" spans="1:5" x14ac:dyDescent="0.25">
      <c r="A544" s="1" t="s">
        <v>2702</v>
      </c>
      <c r="B544" s="1" t="s">
        <v>2703</v>
      </c>
      <c r="C544" s="1" t="s">
        <v>5</v>
      </c>
      <c r="D544">
        <v>32</v>
      </c>
      <c r="E544" s="1" t="s">
        <v>1473</v>
      </c>
    </row>
    <row r="545" spans="1:5" x14ac:dyDescent="0.25">
      <c r="A545" s="1" t="s">
        <v>2818</v>
      </c>
      <c r="B545" s="1" t="s">
        <v>2819</v>
      </c>
      <c r="C545" s="1" t="s">
        <v>5</v>
      </c>
      <c r="D545">
        <v>32.200000000000003</v>
      </c>
      <c r="E545" s="1" t="s">
        <v>1461</v>
      </c>
    </row>
    <row r="546" spans="1:5" x14ac:dyDescent="0.25">
      <c r="A546" s="1" t="s">
        <v>2534</v>
      </c>
      <c r="B546" s="1" t="s">
        <v>2535</v>
      </c>
      <c r="C546" s="1" t="s">
        <v>5</v>
      </c>
      <c r="D546">
        <v>32.514712000000003</v>
      </c>
      <c r="E546" s="1" t="s">
        <v>1461</v>
      </c>
    </row>
    <row r="547" spans="1:5" x14ac:dyDescent="0.25">
      <c r="A547" s="1" t="s">
        <v>1684</v>
      </c>
      <c r="B547" s="1" t="s">
        <v>1685</v>
      </c>
      <c r="C547" s="1" t="s">
        <v>5</v>
      </c>
      <c r="D547">
        <v>32.555298399999998</v>
      </c>
      <c r="E547" s="1" t="s">
        <v>1681</v>
      </c>
    </row>
    <row r="548" spans="1:5" x14ac:dyDescent="0.25">
      <c r="A548" s="1" t="s">
        <v>2586</v>
      </c>
      <c r="B548" s="1" t="s">
        <v>2587</v>
      </c>
      <c r="C548" s="1" t="s">
        <v>5</v>
      </c>
      <c r="D548">
        <v>32.914560000000002</v>
      </c>
      <c r="E548" s="1" t="s">
        <v>1538</v>
      </c>
    </row>
    <row r="549" spans="1:5" x14ac:dyDescent="0.25">
      <c r="A549" s="1" t="s">
        <v>1508</v>
      </c>
      <c r="B549" s="1" t="s">
        <v>1509</v>
      </c>
      <c r="C549" s="1" t="s">
        <v>5</v>
      </c>
      <c r="D549">
        <v>32.997312000000001</v>
      </c>
      <c r="E549" s="1" t="s">
        <v>1461</v>
      </c>
    </row>
    <row r="550" spans="1:5" x14ac:dyDescent="0.25">
      <c r="A550" s="1" t="s">
        <v>2368</v>
      </c>
      <c r="B550" s="1" t="s">
        <v>2369</v>
      </c>
      <c r="C550" s="1" t="s">
        <v>5</v>
      </c>
      <c r="D550">
        <v>33.001951200000001</v>
      </c>
      <c r="E550" s="1" t="s">
        <v>1461</v>
      </c>
    </row>
    <row r="551" spans="1:5" x14ac:dyDescent="0.25">
      <c r="A551" s="1" t="s">
        <v>1973</v>
      </c>
      <c r="B551" s="1" t="s">
        <v>1974</v>
      </c>
      <c r="C551" s="1" t="s">
        <v>5</v>
      </c>
      <c r="D551">
        <v>33.122880000000002</v>
      </c>
      <c r="E551" s="1" t="s">
        <v>1518</v>
      </c>
    </row>
    <row r="552" spans="1:5" x14ac:dyDescent="0.25">
      <c r="A552" s="1" t="s">
        <v>2798</v>
      </c>
      <c r="B552" s="1" t="s">
        <v>2799</v>
      </c>
      <c r="C552" s="1" t="s">
        <v>5</v>
      </c>
      <c r="D552">
        <v>33.556991199999999</v>
      </c>
      <c r="E552" s="1" t="s">
        <v>1545</v>
      </c>
    </row>
    <row r="553" spans="1:5" x14ac:dyDescent="0.25">
      <c r="A553" s="1" t="s">
        <v>2601</v>
      </c>
      <c r="B553" s="1" t="s">
        <v>2602</v>
      </c>
      <c r="C553" s="1" t="s">
        <v>5</v>
      </c>
      <c r="D553">
        <v>34.001919999999998</v>
      </c>
      <c r="E553" s="1" t="s">
        <v>1538</v>
      </c>
    </row>
    <row r="554" spans="1:5" x14ac:dyDescent="0.25">
      <c r="A554" s="1" t="s">
        <v>2402</v>
      </c>
      <c r="B554" s="1" t="s">
        <v>2403</v>
      </c>
      <c r="C554" s="1" t="s">
        <v>5</v>
      </c>
      <c r="D554">
        <v>34.05312</v>
      </c>
      <c r="E554" s="1" t="s">
        <v>1472</v>
      </c>
    </row>
    <row r="555" spans="1:5" x14ac:dyDescent="0.25">
      <c r="A555" s="1" t="s">
        <v>2700</v>
      </c>
      <c r="B555" s="1" t="s">
        <v>2701</v>
      </c>
      <c r="C555" s="1" t="s">
        <v>5</v>
      </c>
      <c r="D555">
        <v>34.283520000000003</v>
      </c>
      <c r="E555" s="1" t="s">
        <v>1473</v>
      </c>
    </row>
    <row r="556" spans="1:5" x14ac:dyDescent="0.25">
      <c r="A556" s="1" t="s">
        <v>2372</v>
      </c>
      <c r="B556" s="1" t="s">
        <v>2373</v>
      </c>
      <c r="C556" s="1" t="s">
        <v>5</v>
      </c>
      <c r="D556">
        <v>34.286079999999998</v>
      </c>
      <c r="E556" s="1" t="s">
        <v>1461</v>
      </c>
    </row>
    <row r="557" spans="1:5" x14ac:dyDescent="0.25">
      <c r="A557" s="1" t="s">
        <v>2383</v>
      </c>
      <c r="B557" s="1" t="s">
        <v>2384</v>
      </c>
      <c r="C557" s="1" t="s">
        <v>5</v>
      </c>
      <c r="D557">
        <v>34.286079999999998</v>
      </c>
      <c r="E557" s="1" t="s">
        <v>2385</v>
      </c>
    </row>
    <row r="558" spans="1:5" x14ac:dyDescent="0.25">
      <c r="A558" s="1" t="s">
        <v>2311</v>
      </c>
      <c r="B558" s="1" t="s">
        <v>2312</v>
      </c>
      <c r="C558" s="1" t="s">
        <v>5</v>
      </c>
      <c r="D558">
        <v>34.343868880000002</v>
      </c>
      <c r="E558" s="1" t="s">
        <v>1461</v>
      </c>
    </row>
    <row r="559" spans="1:5" x14ac:dyDescent="0.25">
      <c r="A559" s="1" t="s">
        <v>2410</v>
      </c>
      <c r="B559" s="1" t="s">
        <v>2411</v>
      </c>
      <c r="C559" s="1" t="s">
        <v>5</v>
      </c>
      <c r="D559">
        <v>35.409550240000002</v>
      </c>
      <c r="E559" s="1" t="s">
        <v>1473</v>
      </c>
    </row>
    <row r="560" spans="1:5" x14ac:dyDescent="0.25">
      <c r="A560" s="1" t="s">
        <v>2309</v>
      </c>
      <c r="B560" s="1" t="s">
        <v>2310</v>
      </c>
      <c r="C560" s="1" t="s">
        <v>5</v>
      </c>
      <c r="D560">
        <v>36.001280000000001</v>
      </c>
      <c r="E560" s="1" t="s">
        <v>1461</v>
      </c>
    </row>
    <row r="561" spans="1:5" x14ac:dyDescent="0.25">
      <c r="A561" s="1" t="s">
        <v>2026</v>
      </c>
      <c r="B561" s="1" t="s">
        <v>2027</v>
      </c>
      <c r="C561" s="1" t="s">
        <v>5</v>
      </c>
      <c r="D561">
        <v>36.767686400000002</v>
      </c>
      <c r="E561" s="1" t="s">
        <v>2021</v>
      </c>
    </row>
    <row r="562" spans="1:5" x14ac:dyDescent="0.25">
      <c r="A562" s="1" t="s">
        <v>1671</v>
      </c>
      <c r="B562" s="1" t="s">
        <v>1672</v>
      </c>
      <c r="C562" s="1" t="s">
        <v>5</v>
      </c>
      <c r="D562">
        <v>36.771839999999997</v>
      </c>
      <c r="E562" s="1" t="s">
        <v>1472</v>
      </c>
    </row>
    <row r="563" spans="1:5" x14ac:dyDescent="0.25">
      <c r="A563" s="1" t="s">
        <v>2806</v>
      </c>
      <c r="B563" s="1" t="s">
        <v>2807</v>
      </c>
      <c r="C563" s="1" t="s">
        <v>5</v>
      </c>
      <c r="D563">
        <v>37.019903999999997</v>
      </c>
      <c r="E563" s="1" t="s">
        <v>1545</v>
      </c>
    </row>
    <row r="564" spans="1:5" x14ac:dyDescent="0.25">
      <c r="A564" s="1" t="s">
        <v>1478</v>
      </c>
      <c r="B564" s="1" t="s">
        <v>1479</v>
      </c>
      <c r="C564" s="1" t="s">
        <v>5</v>
      </c>
      <c r="D564">
        <v>38.123519999999999</v>
      </c>
      <c r="E564" s="1" t="s">
        <v>1458</v>
      </c>
    </row>
    <row r="565" spans="1:5" x14ac:dyDescent="0.25">
      <c r="A565" s="1" t="s">
        <v>1657</v>
      </c>
      <c r="B565" s="1" t="s">
        <v>1658</v>
      </c>
      <c r="C565" s="1" t="s">
        <v>5</v>
      </c>
      <c r="D565">
        <v>38.4</v>
      </c>
      <c r="E565" s="1" t="s">
        <v>1472</v>
      </c>
    </row>
    <row r="566" spans="1:5" x14ac:dyDescent="0.25">
      <c r="A566" s="1" t="s">
        <v>1941</v>
      </c>
      <c r="B566" s="1" t="s">
        <v>1942</v>
      </c>
      <c r="C566" s="1" t="s">
        <v>5</v>
      </c>
      <c r="D566">
        <v>38.622528000000003</v>
      </c>
      <c r="E566" s="1" t="s">
        <v>1518</v>
      </c>
    </row>
    <row r="567" spans="1:5" x14ac:dyDescent="0.25">
      <c r="A567" s="1" t="s">
        <v>1911</v>
      </c>
      <c r="B567" s="1" t="s">
        <v>1912</v>
      </c>
      <c r="C567" s="1" t="s">
        <v>5</v>
      </c>
      <c r="D567">
        <v>38.643360000000001</v>
      </c>
      <c r="E567" s="1" t="s">
        <v>1518</v>
      </c>
    </row>
    <row r="568" spans="1:5" x14ac:dyDescent="0.25">
      <c r="A568" s="1" t="s">
        <v>2464</v>
      </c>
      <c r="B568" s="1" t="s">
        <v>2465</v>
      </c>
      <c r="C568" s="1" t="s">
        <v>5</v>
      </c>
      <c r="D568">
        <v>38.898485440000002</v>
      </c>
      <c r="E568" s="1" t="s">
        <v>1538</v>
      </c>
    </row>
    <row r="569" spans="1:5" x14ac:dyDescent="0.25">
      <c r="A569" s="1" t="s">
        <v>1502</v>
      </c>
      <c r="B569" s="1" t="s">
        <v>1503</v>
      </c>
      <c r="C569" s="1" t="s">
        <v>5</v>
      </c>
      <c r="D569">
        <v>39.237192</v>
      </c>
      <c r="E569" s="1" t="s">
        <v>1461</v>
      </c>
    </row>
    <row r="570" spans="1:5" x14ac:dyDescent="0.25">
      <c r="A570" s="1" t="s">
        <v>2665</v>
      </c>
      <c r="B570" s="1" t="s">
        <v>2666</v>
      </c>
      <c r="C570" s="1" t="s">
        <v>5</v>
      </c>
      <c r="D570">
        <v>39.668632719999998</v>
      </c>
      <c r="E570" s="1" t="s">
        <v>2596</v>
      </c>
    </row>
    <row r="571" spans="1:5" x14ac:dyDescent="0.25">
      <c r="A571" s="1" t="s">
        <v>2830</v>
      </c>
      <c r="B571" s="1" t="s">
        <v>2831</v>
      </c>
      <c r="C571" s="1" t="s">
        <v>5</v>
      </c>
      <c r="D571">
        <v>40</v>
      </c>
      <c r="E571" s="1" t="s">
        <v>1461</v>
      </c>
    </row>
    <row r="572" spans="1:5" x14ac:dyDescent="0.25">
      <c r="A572" s="1" t="s">
        <v>2376</v>
      </c>
      <c r="B572" s="1" t="s">
        <v>2377</v>
      </c>
      <c r="C572" s="1" t="s">
        <v>5</v>
      </c>
      <c r="D572">
        <v>40.034999999999997</v>
      </c>
      <c r="E572" s="1" t="s">
        <v>2378</v>
      </c>
    </row>
    <row r="573" spans="1:5" x14ac:dyDescent="0.25">
      <c r="A573" s="1" t="s">
        <v>1935</v>
      </c>
      <c r="B573" s="1" t="s">
        <v>1936</v>
      </c>
      <c r="C573" s="1" t="s">
        <v>5</v>
      </c>
      <c r="D573">
        <v>40.577114559999998</v>
      </c>
      <c r="E573" s="1" t="s">
        <v>1518</v>
      </c>
    </row>
    <row r="574" spans="1:5" x14ac:dyDescent="0.25">
      <c r="A574" s="1" t="s">
        <v>2011</v>
      </c>
      <c r="B574" s="1" t="s">
        <v>2012</v>
      </c>
      <c r="C574" s="1" t="s">
        <v>5</v>
      </c>
      <c r="D574">
        <v>40.599290879999998</v>
      </c>
      <c r="E574" s="1" t="s">
        <v>2006</v>
      </c>
    </row>
    <row r="575" spans="1:5" x14ac:dyDescent="0.25">
      <c r="A575" s="1" t="s">
        <v>1476</v>
      </c>
      <c r="B575" s="1" t="s">
        <v>1477</v>
      </c>
      <c r="C575" s="1" t="s">
        <v>5</v>
      </c>
      <c r="D575">
        <v>40.632898400000002</v>
      </c>
      <c r="E575" s="1" t="s">
        <v>1458</v>
      </c>
    </row>
    <row r="576" spans="1:5" x14ac:dyDescent="0.25">
      <c r="A576" s="1" t="s">
        <v>1642</v>
      </c>
      <c r="B576" s="1" t="s">
        <v>1643</v>
      </c>
      <c r="C576" s="1" t="s">
        <v>5</v>
      </c>
      <c r="D576">
        <v>41.033907200000002</v>
      </c>
      <c r="E576" s="1" t="s">
        <v>1472</v>
      </c>
    </row>
    <row r="577" spans="1:5" x14ac:dyDescent="0.25">
      <c r="A577" s="1" t="s">
        <v>2515</v>
      </c>
      <c r="B577" s="1" t="s">
        <v>2516</v>
      </c>
      <c r="C577" s="1" t="s">
        <v>5</v>
      </c>
      <c r="D577">
        <v>41.0382192</v>
      </c>
      <c r="E577" s="1" t="s">
        <v>2512</v>
      </c>
    </row>
    <row r="578" spans="1:5" x14ac:dyDescent="0.25">
      <c r="A578" s="1" t="s">
        <v>1921</v>
      </c>
      <c r="B578" s="1" t="s">
        <v>1922</v>
      </c>
      <c r="C578" s="1" t="s">
        <v>5</v>
      </c>
      <c r="D578">
        <v>41.198352</v>
      </c>
      <c r="E578" s="1" t="s">
        <v>1518</v>
      </c>
    </row>
    <row r="579" spans="1:5" x14ac:dyDescent="0.25">
      <c r="A579" s="1" t="s">
        <v>2462</v>
      </c>
      <c r="B579" s="1" t="s">
        <v>2463</v>
      </c>
      <c r="C579" s="1" t="s">
        <v>5</v>
      </c>
      <c r="D579">
        <v>41.546284</v>
      </c>
      <c r="E579" s="1" t="s">
        <v>1538</v>
      </c>
    </row>
    <row r="580" spans="1:5" x14ac:dyDescent="0.25">
      <c r="A580" s="1" t="s">
        <v>2562</v>
      </c>
      <c r="B580" s="1" t="s">
        <v>2563</v>
      </c>
      <c r="C580" s="1" t="s">
        <v>5</v>
      </c>
      <c r="D580">
        <v>41.846015999999999</v>
      </c>
      <c r="E580" s="1" t="s">
        <v>2564</v>
      </c>
    </row>
    <row r="581" spans="1:5" x14ac:dyDescent="0.25">
      <c r="A581" s="1" t="s">
        <v>1814</v>
      </c>
      <c r="B581" s="1" t="s">
        <v>1815</v>
      </c>
      <c r="C581" s="1" t="s">
        <v>5</v>
      </c>
      <c r="D581">
        <v>42.484842559999997</v>
      </c>
      <c r="E581" s="1" t="s">
        <v>1784</v>
      </c>
    </row>
    <row r="582" spans="1:5" x14ac:dyDescent="0.25">
      <c r="A582" s="1" t="s">
        <v>1955</v>
      </c>
      <c r="B582" s="1" t="s">
        <v>1956</v>
      </c>
      <c r="C582" s="1" t="s">
        <v>5</v>
      </c>
      <c r="D582">
        <v>43.113284800000002</v>
      </c>
      <c r="E582" s="1" t="s">
        <v>1518</v>
      </c>
    </row>
    <row r="583" spans="1:5" x14ac:dyDescent="0.25">
      <c r="A583" s="1" t="s">
        <v>1998</v>
      </c>
      <c r="B583" s="1" t="s">
        <v>1999</v>
      </c>
      <c r="C583" s="1" t="s">
        <v>5</v>
      </c>
      <c r="D583">
        <v>43.678719999999998</v>
      </c>
      <c r="E583" s="1" t="s">
        <v>1997</v>
      </c>
    </row>
    <row r="584" spans="1:5" x14ac:dyDescent="0.25">
      <c r="A584" s="1" t="s">
        <v>2536</v>
      </c>
      <c r="B584" s="1" t="s">
        <v>2537</v>
      </c>
      <c r="C584" s="1" t="s">
        <v>5</v>
      </c>
      <c r="D584">
        <v>43.816103759999997</v>
      </c>
      <c r="E584" s="1" t="s">
        <v>1681</v>
      </c>
    </row>
    <row r="585" spans="1:5" x14ac:dyDescent="0.25">
      <c r="A585" s="1" t="s">
        <v>1534</v>
      </c>
      <c r="B585" s="1" t="s">
        <v>1535</v>
      </c>
      <c r="C585" s="1" t="s">
        <v>5</v>
      </c>
      <c r="D585">
        <v>44.877119999999998</v>
      </c>
      <c r="E585" s="1" t="s">
        <v>1529</v>
      </c>
    </row>
    <row r="586" spans="1:5" x14ac:dyDescent="0.25">
      <c r="A586" s="1" t="s">
        <v>1530</v>
      </c>
      <c r="B586" s="1" t="s">
        <v>1531</v>
      </c>
      <c r="C586" s="1" t="s">
        <v>5</v>
      </c>
      <c r="D586">
        <v>45.414018400000003</v>
      </c>
      <c r="E586" s="1" t="s">
        <v>1529</v>
      </c>
    </row>
    <row r="587" spans="1:5" x14ac:dyDescent="0.25">
      <c r="A587" s="1" t="s">
        <v>2414</v>
      </c>
      <c r="B587" s="1" t="s">
        <v>2415</v>
      </c>
      <c r="C587" s="1" t="s">
        <v>5</v>
      </c>
      <c r="D587">
        <v>45.854452000000002</v>
      </c>
      <c r="E587" s="1" t="s">
        <v>1473</v>
      </c>
    </row>
    <row r="588" spans="1:5" x14ac:dyDescent="0.25">
      <c r="A588" s="1" t="s">
        <v>2004</v>
      </c>
      <c r="B588" s="1" t="s">
        <v>2005</v>
      </c>
      <c r="C588" s="1" t="s">
        <v>5</v>
      </c>
      <c r="D588">
        <v>46.08</v>
      </c>
      <c r="E588" s="1" t="s">
        <v>2006</v>
      </c>
    </row>
    <row r="589" spans="1:5" x14ac:dyDescent="0.25">
      <c r="A589" s="1" t="s">
        <v>1845</v>
      </c>
      <c r="B589" s="1" t="s">
        <v>1846</v>
      </c>
      <c r="C589" s="1" t="s">
        <v>5</v>
      </c>
      <c r="D589">
        <v>47.08352</v>
      </c>
      <c r="E589" s="1" t="s">
        <v>1834</v>
      </c>
    </row>
    <row r="590" spans="1:5" x14ac:dyDescent="0.25">
      <c r="A590" s="1" t="s">
        <v>2599</v>
      </c>
      <c r="B590" s="1" t="s">
        <v>2600</v>
      </c>
      <c r="C590" s="1" t="s">
        <v>5</v>
      </c>
      <c r="D590">
        <v>47.255760000000002</v>
      </c>
      <c r="E590" s="1" t="s">
        <v>1538</v>
      </c>
    </row>
    <row r="591" spans="1:5" x14ac:dyDescent="0.25">
      <c r="A591" s="1" t="s">
        <v>2812</v>
      </c>
      <c r="B591" s="1" t="s">
        <v>2813</v>
      </c>
      <c r="C591" s="1" t="s">
        <v>5</v>
      </c>
      <c r="D591">
        <v>47.901760000000003</v>
      </c>
      <c r="E591" s="1" t="s">
        <v>1545</v>
      </c>
    </row>
    <row r="592" spans="1:5" x14ac:dyDescent="0.25">
      <c r="A592" s="1" t="s">
        <v>2416</v>
      </c>
      <c r="B592" s="1" t="s">
        <v>2417</v>
      </c>
      <c r="C592" s="1" t="s">
        <v>5</v>
      </c>
      <c r="D592">
        <v>48</v>
      </c>
      <c r="E592" s="1" t="s">
        <v>1461</v>
      </c>
    </row>
    <row r="593" spans="1:5" x14ac:dyDescent="0.25">
      <c r="A593" s="1" t="s">
        <v>2528</v>
      </c>
      <c r="B593" s="1" t="s">
        <v>2529</v>
      </c>
      <c r="C593" s="1" t="s">
        <v>5</v>
      </c>
      <c r="D593">
        <v>48</v>
      </c>
      <c r="E593" s="1" t="s">
        <v>2523</v>
      </c>
    </row>
    <row r="594" spans="1:5" x14ac:dyDescent="0.25">
      <c r="A594" s="1" t="s">
        <v>2832</v>
      </c>
      <c r="B594" s="1" t="s">
        <v>2833</v>
      </c>
      <c r="C594" s="1" t="s">
        <v>5</v>
      </c>
      <c r="D594">
        <v>49.671299279999999</v>
      </c>
      <c r="E594" s="1" t="s">
        <v>1461</v>
      </c>
    </row>
    <row r="595" spans="1:5" x14ac:dyDescent="0.25">
      <c r="A595" s="1" t="s">
        <v>2470</v>
      </c>
      <c r="B595" s="1" t="s">
        <v>2471</v>
      </c>
      <c r="C595" s="1" t="s">
        <v>5</v>
      </c>
      <c r="D595">
        <v>49.683918720000001</v>
      </c>
      <c r="E595" s="1" t="s">
        <v>1538</v>
      </c>
    </row>
    <row r="596" spans="1:5" hidden="1" x14ac:dyDescent="0.25">
      <c r="A596" s="1" t="s">
        <v>1644</v>
      </c>
      <c r="B596" s="1" t="s">
        <v>1645</v>
      </c>
      <c r="C596" s="1" t="s">
        <v>5</v>
      </c>
      <c r="D596">
        <v>50.614331999999997</v>
      </c>
      <c r="E596" s="1" t="s">
        <v>1472</v>
      </c>
    </row>
    <row r="597" spans="1:5" hidden="1" x14ac:dyDescent="0.25">
      <c r="A597" s="1" t="s">
        <v>1995</v>
      </c>
      <c r="B597" s="1" t="s">
        <v>1996</v>
      </c>
      <c r="C597" s="1" t="s">
        <v>5</v>
      </c>
      <c r="D597">
        <v>50.719831999999997</v>
      </c>
      <c r="E597" s="1" t="s">
        <v>1997</v>
      </c>
    </row>
    <row r="598" spans="1:5" hidden="1" x14ac:dyDescent="0.25">
      <c r="A598" s="1" t="s">
        <v>2738</v>
      </c>
      <c r="B598" s="1" t="s">
        <v>2739</v>
      </c>
      <c r="C598" s="1" t="s">
        <v>5</v>
      </c>
      <c r="D598">
        <v>51.992455839999998</v>
      </c>
      <c r="E598" s="1" t="s">
        <v>1538</v>
      </c>
    </row>
    <row r="599" spans="1:5" hidden="1" x14ac:dyDescent="0.25">
      <c r="A599" s="1" t="s">
        <v>2490</v>
      </c>
      <c r="B599" s="1" t="s">
        <v>2491</v>
      </c>
      <c r="C599" s="1" t="s">
        <v>5</v>
      </c>
      <c r="D599">
        <v>52.003839999999997</v>
      </c>
      <c r="E599" s="1" t="s">
        <v>1473</v>
      </c>
    </row>
    <row r="600" spans="1:5" hidden="1" x14ac:dyDescent="0.25">
      <c r="A600" s="1" t="s">
        <v>2400</v>
      </c>
      <c r="B600" s="1" t="s">
        <v>2401</v>
      </c>
      <c r="C600" s="1" t="s">
        <v>5</v>
      </c>
      <c r="D600">
        <v>52.425519999999999</v>
      </c>
      <c r="E600" s="1" t="s">
        <v>1472</v>
      </c>
    </row>
    <row r="601" spans="1:5" hidden="1" x14ac:dyDescent="0.25">
      <c r="A601" s="1" t="s">
        <v>1466</v>
      </c>
      <c r="B601" s="1" t="s">
        <v>1467</v>
      </c>
      <c r="C601" s="1" t="s">
        <v>5</v>
      </c>
      <c r="D601">
        <v>53.410919999999997</v>
      </c>
      <c r="E601" s="1" t="s">
        <v>1461</v>
      </c>
    </row>
    <row r="602" spans="1:5" hidden="1" x14ac:dyDescent="0.25">
      <c r="A602" s="1" t="s">
        <v>2734</v>
      </c>
      <c r="B602" s="1" t="s">
        <v>2735</v>
      </c>
      <c r="C602" s="1" t="s">
        <v>5</v>
      </c>
      <c r="D602">
        <v>53.766592000000003</v>
      </c>
      <c r="E602" s="1" t="s">
        <v>1538</v>
      </c>
    </row>
    <row r="603" spans="1:5" hidden="1" x14ac:dyDescent="0.25">
      <c r="A603" s="1" t="s">
        <v>2744</v>
      </c>
      <c r="B603" s="1" t="s">
        <v>2745</v>
      </c>
      <c r="C603" s="1" t="s">
        <v>5</v>
      </c>
      <c r="D603">
        <v>53.835056000000002</v>
      </c>
      <c r="E603" s="1" t="s">
        <v>1538</v>
      </c>
    </row>
    <row r="604" spans="1:5" hidden="1" x14ac:dyDescent="0.25">
      <c r="A604" s="1" t="s">
        <v>2698</v>
      </c>
      <c r="B604" s="1" t="s">
        <v>2699</v>
      </c>
      <c r="C604" s="1" t="s">
        <v>5</v>
      </c>
      <c r="D604">
        <v>53.924824000000001</v>
      </c>
      <c r="E604" s="1" t="s">
        <v>1473</v>
      </c>
    </row>
    <row r="605" spans="1:5" hidden="1" x14ac:dyDescent="0.25">
      <c r="A605" s="1" t="s">
        <v>2000</v>
      </c>
      <c r="B605" s="1" t="s">
        <v>2001</v>
      </c>
      <c r="C605" s="1" t="s">
        <v>5</v>
      </c>
      <c r="D605">
        <v>54.005760000000002</v>
      </c>
      <c r="E605" s="1" t="s">
        <v>1997</v>
      </c>
    </row>
    <row r="606" spans="1:5" hidden="1" x14ac:dyDescent="0.25">
      <c r="A606" s="1" t="s">
        <v>1987</v>
      </c>
      <c r="B606" s="1" t="s">
        <v>1988</v>
      </c>
      <c r="C606" s="1" t="s">
        <v>5</v>
      </c>
      <c r="D606">
        <v>54.011912639999998</v>
      </c>
      <c r="E606" s="1" t="s">
        <v>1518</v>
      </c>
    </row>
    <row r="607" spans="1:5" hidden="1" x14ac:dyDescent="0.25">
      <c r="A607" s="1" t="s">
        <v>2032</v>
      </c>
      <c r="B607" s="1" t="s">
        <v>2033</v>
      </c>
      <c r="C607" s="1" t="s">
        <v>5</v>
      </c>
      <c r="D607">
        <v>54.144444479999997</v>
      </c>
      <c r="E607" s="1" t="s">
        <v>1834</v>
      </c>
    </row>
    <row r="608" spans="1:5" hidden="1" x14ac:dyDescent="0.25">
      <c r="A608" s="1" t="s">
        <v>1913</v>
      </c>
      <c r="B608" s="1" t="s">
        <v>1914</v>
      </c>
      <c r="C608" s="1" t="s">
        <v>5</v>
      </c>
      <c r="D608">
        <v>54.703165439999999</v>
      </c>
      <c r="E608" s="1" t="s">
        <v>1518</v>
      </c>
    </row>
    <row r="609" spans="1:5" hidden="1" x14ac:dyDescent="0.25">
      <c r="A609" s="1" t="s">
        <v>1532</v>
      </c>
      <c r="B609" s="1" t="s">
        <v>1533</v>
      </c>
      <c r="C609" s="1" t="s">
        <v>5</v>
      </c>
      <c r="D609">
        <v>55.477552000000003</v>
      </c>
      <c r="E609" s="1" t="s">
        <v>1529</v>
      </c>
    </row>
    <row r="610" spans="1:5" hidden="1" x14ac:dyDescent="0.25">
      <c r="A610" s="1" t="s">
        <v>2605</v>
      </c>
      <c r="B610" s="1" t="s">
        <v>2606</v>
      </c>
      <c r="C610" s="1" t="s">
        <v>5</v>
      </c>
      <c r="D610">
        <v>56.130779199999999</v>
      </c>
      <c r="E610" s="1" t="s">
        <v>1529</v>
      </c>
    </row>
    <row r="611" spans="1:5" hidden="1" x14ac:dyDescent="0.25">
      <c r="A611" s="1" t="s">
        <v>2015</v>
      </c>
      <c r="B611" s="1" t="s">
        <v>2016</v>
      </c>
      <c r="C611" s="1" t="s">
        <v>5</v>
      </c>
      <c r="D611">
        <v>56.501759999999997</v>
      </c>
      <c r="E611" s="1" t="s">
        <v>2006</v>
      </c>
    </row>
    <row r="612" spans="1:5" hidden="1" x14ac:dyDescent="0.25">
      <c r="A612" s="1" t="s">
        <v>2412</v>
      </c>
      <c r="B612" s="1" t="s">
        <v>2413</v>
      </c>
      <c r="C612" s="1" t="s">
        <v>5</v>
      </c>
      <c r="D612">
        <v>57.503682640000001</v>
      </c>
      <c r="E612" s="1" t="s">
        <v>1473</v>
      </c>
    </row>
    <row r="613" spans="1:5" hidden="1" x14ac:dyDescent="0.25">
      <c r="A613" s="1" t="s">
        <v>2501</v>
      </c>
      <c r="B613" s="1" t="s">
        <v>2502</v>
      </c>
      <c r="C613" s="1" t="s">
        <v>5</v>
      </c>
      <c r="D613">
        <v>57.6</v>
      </c>
      <c r="E613" s="1" t="s">
        <v>2494</v>
      </c>
    </row>
    <row r="614" spans="1:5" hidden="1" x14ac:dyDescent="0.25">
      <c r="A614" s="1" t="s">
        <v>1482</v>
      </c>
      <c r="B614" s="1" t="s">
        <v>1483</v>
      </c>
      <c r="C614" s="1" t="s">
        <v>5</v>
      </c>
      <c r="D614">
        <v>57.756791200000002</v>
      </c>
      <c r="E614" s="1" t="s">
        <v>1461</v>
      </c>
    </row>
    <row r="615" spans="1:5" hidden="1" x14ac:dyDescent="0.25">
      <c r="A615" s="1" t="s">
        <v>2396</v>
      </c>
      <c r="B615" s="1" t="s">
        <v>2397</v>
      </c>
      <c r="C615" s="1" t="s">
        <v>5</v>
      </c>
      <c r="D615">
        <v>57.821685119999998</v>
      </c>
      <c r="E615" s="1" t="s">
        <v>1472</v>
      </c>
    </row>
    <row r="616" spans="1:5" hidden="1" x14ac:dyDescent="0.25">
      <c r="A616" s="1" t="s">
        <v>1943</v>
      </c>
      <c r="B616" s="1" t="s">
        <v>1944</v>
      </c>
      <c r="C616" s="1" t="s">
        <v>5</v>
      </c>
      <c r="D616">
        <v>59.220480000000002</v>
      </c>
      <c r="E616" s="1" t="s">
        <v>1518</v>
      </c>
    </row>
    <row r="617" spans="1:5" hidden="1" x14ac:dyDescent="0.25">
      <c r="A617" s="1" t="s">
        <v>2794</v>
      </c>
      <c r="B617" s="1" t="s">
        <v>2795</v>
      </c>
      <c r="C617" s="1" t="s">
        <v>5</v>
      </c>
      <c r="D617">
        <v>59.321919280000003</v>
      </c>
      <c r="E617" s="1" t="s">
        <v>1681</v>
      </c>
    </row>
    <row r="618" spans="1:5" hidden="1" x14ac:dyDescent="0.25">
      <c r="A618" s="1" t="s">
        <v>2034</v>
      </c>
      <c r="B618" s="1" t="s">
        <v>2035</v>
      </c>
      <c r="C618" s="1" t="s">
        <v>5</v>
      </c>
      <c r="D618">
        <v>60.252604480000002</v>
      </c>
      <c r="E618" s="1" t="s">
        <v>1834</v>
      </c>
    </row>
    <row r="619" spans="1:5" hidden="1" x14ac:dyDescent="0.25">
      <c r="A619" s="1" t="s">
        <v>2329</v>
      </c>
      <c r="B619" s="1" t="s">
        <v>2330</v>
      </c>
      <c r="C619" s="1" t="s">
        <v>5</v>
      </c>
      <c r="D619">
        <v>60.379292</v>
      </c>
      <c r="E619" s="1" t="s">
        <v>1472</v>
      </c>
    </row>
    <row r="620" spans="1:5" hidden="1" x14ac:dyDescent="0.25">
      <c r="A620" s="1" t="s">
        <v>2198</v>
      </c>
      <c r="B620" s="1" t="s">
        <v>2199</v>
      </c>
      <c r="C620" s="1" t="s">
        <v>5</v>
      </c>
      <c r="D620">
        <v>60.665931200000003</v>
      </c>
      <c r="E620" s="1" t="s">
        <v>1997</v>
      </c>
    </row>
    <row r="621" spans="1:5" hidden="1" x14ac:dyDescent="0.25">
      <c r="A621" s="1" t="s">
        <v>2513</v>
      </c>
      <c r="B621" s="1" t="s">
        <v>2514</v>
      </c>
      <c r="C621" s="1" t="s">
        <v>5</v>
      </c>
      <c r="D621">
        <v>61.556699360000003</v>
      </c>
      <c r="E621" s="1" t="s">
        <v>2512</v>
      </c>
    </row>
    <row r="622" spans="1:5" hidden="1" x14ac:dyDescent="0.25">
      <c r="A622" s="1" t="s">
        <v>2510</v>
      </c>
      <c r="B622" s="1" t="s">
        <v>2511</v>
      </c>
      <c r="C622" s="1" t="s">
        <v>5</v>
      </c>
      <c r="D622">
        <v>62.251518246000003</v>
      </c>
      <c r="E622" s="1" t="s">
        <v>2512</v>
      </c>
    </row>
    <row r="623" spans="1:5" hidden="1" x14ac:dyDescent="0.25">
      <c r="A623" s="1" t="s">
        <v>2810</v>
      </c>
      <c r="B623" s="1" t="s">
        <v>2811</v>
      </c>
      <c r="C623" s="1" t="s">
        <v>5</v>
      </c>
      <c r="D623">
        <v>62.397740400000004</v>
      </c>
      <c r="E623" s="1" t="s">
        <v>1461</v>
      </c>
    </row>
    <row r="624" spans="1:5" hidden="1" x14ac:dyDescent="0.25">
      <c r="A624" s="1" t="s">
        <v>2575</v>
      </c>
      <c r="B624" s="1" t="s">
        <v>2576</v>
      </c>
      <c r="C624" s="1" t="s">
        <v>5</v>
      </c>
      <c r="D624">
        <v>62.909624000000001</v>
      </c>
      <c r="E624" s="1" t="s">
        <v>2564</v>
      </c>
    </row>
    <row r="625" spans="1:5" hidden="1" x14ac:dyDescent="0.25">
      <c r="A625" s="1" t="s">
        <v>1679</v>
      </c>
      <c r="B625" s="1" t="s">
        <v>1680</v>
      </c>
      <c r="C625" s="1" t="s">
        <v>5</v>
      </c>
      <c r="D625">
        <v>63.882023189999998</v>
      </c>
      <c r="E625" s="1" t="s">
        <v>1681</v>
      </c>
    </row>
    <row r="626" spans="1:5" hidden="1" x14ac:dyDescent="0.25">
      <c r="A626" s="1" t="s">
        <v>2800</v>
      </c>
      <c r="B626" s="1" t="s">
        <v>2801</v>
      </c>
      <c r="C626" s="1" t="s">
        <v>5</v>
      </c>
      <c r="D626">
        <v>64.526800399999999</v>
      </c>
      <c r="E626" s="1" t="s">
        <v>1461</v>
      </c>
    </row>
    <row r="627" spans="1:5" hidden="1" x14ac:dyDescent="0.25">
      <c r="A627" s="1" t="s">
        <v>2007</v>
      </c>
      <c r="B627" s="1" t="s">
        <v>2008</v>
      </c>
      <c r="C627" s="1" t="s">
        <v>5</v>
      </c>
      <c r="D627">
        <v>65.459872000000004</v>
      </c>
      <c r="E627" s="1" t="s">
        <v>2006</v>
      </c>
    </row>
    <row r="628" spans="1:5" hidden="1" x14ac:dyDescent="0.25">
      <c r="A628" s="1" t="s">
        <v>2816</v>
      </c>
      <c r="B628" s="1" t="s">
        <v>2817</v>
      </c>
      <c r="C628" s="1" t="s">
        <v>5</v>
      </c>
      <c r="D628">
        <v>65.565557760000004</v>
      </c>
      <c r="E628" s="1" t="s">
        <v>1461</v>
      </c>
    </row>
    <row r="629" spans="1:5" hidden="1" x14ac:dyDescent="0.25">
      <c r="A629" s="1" t="s">
        <v>1832</v>
      </c>
      <c r="B629" s="1" t="s">
        <v>1833</v>
      </c>
      <c r="C629" s="1" t="s">
        <v>5</v>
      </c>
      <c r="D629">
        <v>67.101690880000007</v>
      </c>
      <c r="E629" s="1" t="s">
        <v>1834</v>
      </c>
    </row>
    <row r="630" spans="1:5" hidden="1" x14ac:dyDescent="0.25">
      <c r="A630" s="1" t="s">
        <v>2712</v>
      </c>
      <c r="B630" s="1" t="s">
        <v>2713</v>
      </c>
      <c r="C630" s="1" t="s">
        <v>5</v>
      </c>
      <c r="D630">
        <v>67.231180800000004</v>
      </c>
      <c r="E630" s="1" t="s">
        <v>1518</v>
      </c>
    </row>
    <row r="631" spans="1:5" hidden="1" x14ac:dyDescent="0.25">
      <c r="A631" s="1" t="s">
        <v>2546</v>
      </c>
      <c r="B631" s="1" t="s">
        <v>2547</v>
      </c>
      <c r="C631" s="1" t="s">
        <v>5</v>
      </c>
      <c r="D631">
        <v>67.340637830000006</v>
      </c>
      <c r="E631" s="1" t="s">
        <v>1473</v>
      </c>
    </row>
    <row r="632" spans="1:5" hidden="1" x14ac:dyDescent="0.25">
      <c r="A632" s="1" t="s">
        <v>2188</v>
      </c>
      <c r="B632" s="1" t="s">
        <v>2189</v>
      </c>
      <c r="C632" s="1" t="s">
        <v>5</v>
      </c>
      <c r="D632">
        <v>67.499487999999999</v>
      </c>
      <c r="E632" s="1" t="s">
        <v>1997</v>
      </c>
    </row>
    <row r="633" spans="1:5" hidden="1" x14ac:dyDescent="0.25">
      <c r="A633" s="1" t="s">
        <v>2571</v>
      </c>
      <c r="B633" s="1" t="s">
        <v>2572</v>
      </c>
      <c r="C633" s="1" t="s">
        <v>5</v>
      </c>
      <c r="D633">
        <v>71.890195199999994</v>
      </c>
      <c r="E633" s="1" t="s">
        <v>2564</v>
      </c>
    </row>
    <row r="634" spans="1:5" hidden="1" x14ac:dyDescent="0.25">
      <c r="A634" s="1" t="s">
        <v>2386</v>
      </c>
      <c r="B634" s="1" t="s">
        <v>2387</v>
      </c>
      <c r="C634" s="1" t="s">
        <v>5</v>
      </c>
      <c r="D634">
        <v>73.099507200000005</v>
      </c>
      <c r="E634" s="1" t="s">
        <v>1472</v>
      </c>
    </row>
    <row r="635" spans="1:5" hidden="1" x14ac:dyDescent="0.25">
      <c r="A635" s="1" t="s">
        <v>1977</v>
      </c>
      <c r="B635" s="1" t="s">
        <v>1978</v>
      </c>
      <c r="C635" s="1" t="s">
        <v>5</v>
      </c>
      <c r="D635">
        <v>73.139200000000002</v>
      </c>
      <c r="E635" s="1" t="s">
        <v>1518</v>
      </c>
    </row>
    <row r="636" spans="1:5" hidden="1" x14ac:dyDescent="0.25">
      <c r="A636" s="1" t="s">
        <v>2333</v>
      </c>
      <c r="B636" s="1" t="s">
        <v>2334</v>
      </c>
      <c r="C636" s="1" t="s">
        <v>5</v>
      </c>
      <c r="D636">
        <v>77.627784000000005</v>
      </c>
      <c r="E636" s="1" t="s">
        <v>1681</v>
      </c>
    </row>
    <row r="637" spans="1:5" hidden="1" x14ac:dyDescent="0.25">
      <c r="A637" s="1" t="s">
        <v>2347</v>
      </c>
      <c r="B637" s="1" t="s">
        <v>2348</v>
      </c>
      <c r="C637" s="1" t="s">
        <v>5</v>
      </c>
      <c r="D637">
        <v>78.378872000000001</v>
      </c>
      <c r="E637" s="1" t="s">
        <v>1681</v>
      </c>
    </row>
    <row r="638" spans="1:5" hidden="1" x14ac:dyDescent="0.25">
      <c r="A638" s="1" t="s">
        <v>1923</v>
      </c>
      <c r="B638" s="1" t="s">
        <v>1924</v>
      </c>
      <c r="C638" s="1" t="s">
        <v>5</v>
      </c>
      <c r="D638">
        <v>80</v>
      </c>
      <c r="E638" s="1" t="s">
        <v>1518</v>
      </c>
    </row>
    <row r="639" spans="1:5" hidden="1" x14ac:dyDescent="0.25">
      <c r="A639" s="1" t="s">
        <v>2194</v>
      </c>
      <c r="B639" s="1" t="s">
        <v>2195</v>
      </c>
      <c r="C639" s="1" t="s">
        <v>5</v>
      </c>
      <c r="D639">
        <v>80</v>
      </c>
      <c r="E639" s="1" t="s">
        <v>1997</v>
      </c>
    </row>
    <row r="640" spans="1:5" hidden="1" x14ac:dyDescent="0.25">
      <c r="A640" s="1" t="s">
        <v>2696</v>
      </c>
      <c r="B640" s="1" t="s">
        <v>2697</v>
      </c>
      <c r="C640" s="1" t="s">
        <v>5</v>
      </c>
      <c r="D640">
        <v>80.011509200000006</v>
      </c>
      <c r="E640" s="1" t="s">
        <v>1473</v>
      </c>
    </row>
    <row r="641" spans="1:5" hidden="1" x14ac:dyDescent="0.25">
      <c r="A641" s="1" t="s">
        <v>2374</v>
      </c>
      <c r="B641" s="1" t="s">
        <v>2375</v>
      </c>
      <c r="C641" s="1" t="s">
        <v>5</v>
      </c>
      <c r="D641">
        <v>80.5</v>
      </c>
      <c r="E641" s="1" t="s">
        <v>1461</v>
      </c>
    </row>
    <row r="642" spans="1:5" hidden="1" x14ac:dyDescent="0.25">
      <c r="A642" s="1" t="s">
        <v>1902</v>
      </c>
      <c r="B642" s="1" t="s">
        <v>1903</v>
      </c>
      <c r="C642" s="1" t="s">
        <v>5</v>
      </c>
      <c r="D642">
        <v>80.507537040000003</v>
      </c>
      <c r="E642" s="1" t="s">
        <v>1904</v>
      </c>
    </row>
    <row r="643" spans="1:5" hidden="1" x14ac:dyDescent="0.25">
      <c r="A643" s="1" t="s">
        <v>1951</v>
      </c>
      <c r="B643" s="1" t="s">
        <v>1952</v>
      </c>
      <c r="C643" s="1" t="s">
        <v>5</v>
      </c>
      <c r="D643">
        <v>81.741636799999995</v>
      </c>
      <c r="E643" s="1" t="s">
        <v>1518</v>
      </c>
    </row>
    <row r="644" spans="1:5" hidden="1" x14ac:dyDescent="0.25">
      <c r="A644" s="1" t="s">
        <v>2388</v>
      </c>
      <c r="B644" s="1" t="s">
        <v>2389</v>
      </c>
      <c r="C644" s="1" t="s">
        <v>5</v>
      </c>
      <c r="D644">
        <v>81.868799999999993</v>
      </c>
      <c r="E644" s="1" t="s">
        <v>1472</v>
      </c>
    </row>
    <row r="645" spans="1:5" hidden="1" x14ac:dyDescent="0.25">
      <c r="A645" s="1" t="s">
        <v>2796</v>
      </c>
      <c r="B645" s="1" t="s">
        <v>2797</v>
      </c>
      <c r="C645" s="1" t="s">
        <v>5</v>
      </c>
      <c r="D645">
        <v>81.972716559999995</v>
      </c>
      <c r="E645" s="1" t="s">
        <v>1681</v>
      </c>
    </row>
    <row r="646" spans="1:5" hidden="1" x14ac:dyDescent="0.25">
      <c r="A646" s="1" t="s">
        <v>2488</v>
      </c>
      <c r="B646" s="1" t="s">
        <v>2489</v>
      </c>
      <c r="C646" s="1" t="s">
        <v>5</v>
      </c>
      <c r="D646">
        <v>82.466431999999998</v>
      </c>
      <c r="E646" s="1" t="s">
        <v>1473</v>
      </c>
    </row>
    <row r="647" spans="1:5" hidden="1" x14ac:dyDescent="0.25">
      <c r="A647" s="1" t="s">
        <v>2456</v>
      </c>
      <c r="B647" s="1" t="s">
        <v>2457</v>
      </c>
      <c r="C647" s="1" t="s">
        <v>5</v>
      </c>
      <c r="D647">
        <v>82.540779999999998</v>
      </c>
      <c r="E647" s="1" t="s">
        <v>1538</v>
      </c>
    </row>
    <row r="648" spans="1:5" hidden="1" x14ac:dyDescent="0.25">
      <c r="A648" s="1" t="s">
        <v>2590</v>
      </c>
      <c r="B648" s="1" t="s">
        <v>2591</v>
      </c>
      <c r="C648" s="1" t="s">
        <v>5</v>
      </c>
      <c r="D648">
        <v>82.540779999999998</v>
      </c>
      <c r="E648" s="1" t="s">
        <v>1538</v>
      </c>
    </row>
    <row r="649" spans="1:5" hidden="1" x14ac:dyDescent="0.25">
      <c r="A649" s="1" t="s">
        <v>1536</v>
      </c>
      <c r="B649" s="1" t="s">
        <v>1537</v>
      </c>
      <c r="C649" s="1" t="s">
        <v>5</v>
      </c>
      <c r="D649">
        <v>82.587519999999998</v>
      </c>
      <c r="E649" s="1" t="s">
        <v>1538</v>
      </c>
    </row>
    <row r="650" spans="1:5" hidden="1" x14ac:dyDescent="0.25">
      <c r="A650" s="1" t="s">
        <v>2345</v>
      </c>
      <c r="B650" s="1" t="s">
        <v>2346</v>
      </c>
      <c r="C650" s="1" t="s">
        <v>5</v>
      </c>
      <c r="D650">
        <v>83.118574719999998</v>
      </c>
      <c r="E650" s="1" t="s">
        <v>1681</v>
      </c>
    </row>
    <row r="651" spans="1:5" hidden="1" x14ac:dyDescent="0.25">
      <c r="A651" s="1" t="s">
        <v>2565</v>
      </c>
      <c r="B651" s="1" t="s">
        <v>2566</v>
      </c>
      <c r="C651" s="1" t="s">
        <v>5</v>
      </c>
      <c r="D651">
        <v>84.128954879999995</v>
      </c>
      <c r="E651" s="1" t="s">
        <v>2564</v>
      </c>
    </row>
    <row r="652" spans="1:5" hidden="1" x14ac:dyDescent="0.25">
      <c r="A652" s="1" t="s">
        <v>2458</v>
      </c>
      <c r="B652" s="1" t="s">
        <v>2459</v>
      </c>
      <c r="C652" s="1" t="s">
        <v>5</v>
      </c>
      <c r="D652">
        <v>84.220148640000005</v>
      </c>
      <c r="E652" s="1" t="s">
        <v>1538</v>
      </c>
    </row>
    <row r="653" spans="1:5" hidden="1" x14ac:dyDescent="0.25">
      <c r="A653" s="1" t="s">
        <v>2804</v>
      </c>
      <c r="B653" s="1" t="s">
        <v>2805</v>
      </c>
      <c r="C653" s="1" t="s">
        <v>5</v>
      </c>
      <c r="D653">
        <v>87.351269119999998</v>
      </c>
      <c r="E653" s="1" t="s">
        <v>1545</v>
      </c>
    </row>
    <row r="654" spans="1:5" hidden="1" x14ac:dyDescent="0.25">
      <c r="A654" s="1" t="s">
        <v>2594</v>
      </c>
      <c r="B654" s="1" t="s">
        <v>2595</v>
      </c>
      <c r="C654" s="1" t="s">
        <v>5</v>
      </c>
      <c r="D654">
        <v>89.376622080000004</v>
      </c>
      <c r="E654" s="1" t="s">
        <v>2596</v>
      </c>
    </row>
    <row r="655" spans="1:5" hidden="1" x14ac:dyDescent="0.25">
      <c r="A655" s="1" t="s">
        <v>1514</v>
      </c>
      <c r="B655" s="1" t="s">
        <v>1515</v>
      </c>
      <c r="C655" s="1" t="s">
        <v>5</v>
      </c>
      <c r="D655">
        <v>89.731382400000001</v>
      </c>
      <c r="E655" s="1" t="s">
        <v>1461</v>
      </c>
    </row>
    <row r="656" spans="1:5" hidden="1" x14ac:dyDescent="0.25">
      <c r="A656" s="1" t="s">
        <v>2319</v>
      </c>
      <c r="B656" s="1" t="s">
        <v>2320</v>
      </c>
      <c r="C656" s="1" t="s">
        <v>5</v>
      </c>
      <c r="D656">
        <v>90.272176000000002</v>
      </c>
      <c r="E656" s="1" t="s">
        <v>1472</v>
      </c>
    </row>
    <row r="657" spans="1:5" hidden="1" x14ac:dyDescent="0.25">
      <c r="A657" s="1" t="s">
        <v>2323</v>
      </c>
      <c r="B657" s="1" t="s">
        <v>2324</v>
      </c>
      <c r="C657" s="1" t="s">
        <v>5</v>
      </c>
      <c r="D657">
        <v>90.545996000000002</v>
      </c>
      <c r="E657" s="1" t="s">
        <v>1472</v>
      </c>
    </row>
    <row r="658" spans="1:5" hidden="1" x14ac:dyDescent="0.25">
      <c r="A658" s="1" t="s">
        <v>2478</v>
      </c>
      <c r="B658" s="1" t="s">
        <v>2479</v>
      </c>
      <c r="C658" s="1" t="s">
        <v>5</v>
      </c>
      <c r="D658">
        <v>92.586624</v>
      </c>
      <c r="E658" s="1" t="s">
        <v>1473</v>
      </c>
    </row>
    <row r="659" spans="1:5" hidden="1" x14ac:dyDescent="0.25">
      <c r="A659" s="1" t="s">
        <v>2370</v>
      </c>
      <c r="B659" s="1" t="s">
        <v>2371</v>
      </c>
      <c r="C659" s="1" t="s">
        <v>5</v>
      </c>
      <c r="D659">
        <v>93.498503999999997</v>
      </c>
      <c r="E659" s="1" t="s">
        <v>1461</v>
      </c>
    </row>
    <row r="660" spans="1:5" hidden="1" x14ac:dyDescent="0.25">
      <c r="A660" s="1" t="s">
        <v>2013</v>
      </c>
      <c r="B660" s="1" t="s">
        <v>2014</v>
      </c>
      <c r="C660" s="1" t="s">
        <v>5</v>
      </c>
      <c r="D660">
        <v>93.514848000000001</v>
      </c>
      <c r="E660" s="1" t="s">
        <v>2006</v>
      </c>
    </row>
    <row r="661" spans="1:5" hidden="1" x14ac:dyDescent="0.25">
      <c r="A661" s="1" t="s">
        <v>2820</v>
      </c>
      <c r="B661" s="1" t="s">
        <v>2821</v>
      </c>
      <c r="C661" s="1" t="s">
        <v>5</v>
      </c>
      <c r="D661">
        <v>95.979933599999995</v>
      </c>
      <c r="E661" s="1" t="s">
        <v>1545</v>
      </c>
    </row>
    <row r="662" spans="1:5" hidden="1" x14ac:dyDescent="0.25">
      <c r="A662" s="1" t="s">
        <v>2204</v>
      </c>
      <c r="B662" s="1" t="s">
        <v>2205</v>
      </c>
      <c r="C662" s="1" t="s">
        <v>5</v>
      </c>
      <c r="D662">
        <v>96</v>
      </c>
      <c r="E662" s="1" t="s">
        <v>2206</v>
      </c>
    </row>
    <row r="663" spans="1:5" hidden="1" x14ac:dyDescent="0.25">
      <c r="A663" s="1" t="s">
        <v>2390</v>
      </c>
      <c r="B663" s="1" t="s">
        <v>2391</v>
      </c>
      <c r="C663" s="1" t="s">
        <v>5</v>
      </c>
      <c r="D663">
        <v>97.227353600000001</v>
      </c>
      <c r="E663" s="1" t="s">
        <v>1472</v>
      </c>
    </row>
    <row r="664" spans="1:5" hidden="1" x14ac:dyDescent="0.25">
      <c r="A664" s="1" t="s">
        <v>2603</v>
      </c>
      <c r="B664" s="1" t="s">
        <v>2604</v>
      </c>
      <c r="C664" s="1" t="s">
        <v>5</v>
      </c>
      <c r="D664">
        <v>99.999986629999995</v>
      </c>
      <c r="E664" s="1" t="s">
        <v>1538</v>
      </c>
    </row>
    <row r="665" spans="1:5" hidden="1" x14ac:dyDescent="0.25">
      <c r="A665" s="1" t="s">
        <v>2706</v>
      </c>
      <c r="B665" s="1" t="s">
        <v>2707</v>
      </c>
      <c r="C665" s="1" t="s">
        <v>5</v>
      </c>
      <c r="D665">
        <v>102.05693119999999</v>
      </c>
      <c r="E665" s="1" t="s">
        <v>1473</v>
      </c>
    </row>
    <row r="666" spans="1:5" hidden="1" x14ac:dyDescent="0.25">
      <c r="A666" s="1" t="s">
        <v>2786</v>
      </c>
      <c r="B666" s="1" t="s">
        <v>2787</v>
      </c>
      <c r="C666" s="1" t="s">
        <v>5</v>
      </c>
      <c r="D666">
        <v>102.10220016</v>
      </c>
      <c r="E666" s="1" t="s">
        <v>1681</v>
      </c>
    </row>
    <row r="667" spans="1:5" hidden="1" x14ac:dyDescent="0.25">
      <c r="A667" s="1" t="s">
        <v>1703</v>
      </c>
      <c r="B667" s="1" t="s">
        <v>1704</v>
      </c>
      <c r="C667" s="1" t="s">
        <v>5</v>
      </c>
      <c r="D667">
        <v>102.6096</v>
      </c>
      <c r="E667" s="1" t="s">
        <v>1690</v>
      </c>
    </row>
    <row r="668" spans="1:5" hidden="1" x14ac:dyDescent="0.25">
      <c r="A668" s="1" t="s">
        <v>2649</v>
      </c>
      <c r="B668" s="1" t="s">
        <v>2650</v>
      </c>
      <c r="C668" s="1" t="s">
        <v>5</v>
      </c>
      <c r="D668">
        <v>103.47512</v>
      </c>
      <c r="E668" s="1" t="s">
        <v>2596</v>
      </c>
    </row>
    <row r="669" spans="1:5" hidden="1" x14ac:dyDescent="0.25">
      <c r="A669" s="1" t="s">
        <v>2497</v>
      </c>
      <c r="B669" s="1" t="s">
        <v>2498</v>
      </c>
      <c r="C669" s="1" t="s">
        <v>5</v>
      </c>
      <c r="D669">
        <v>104.12012128000001</v>
      </c>
      <c r="E669" s="1" t="s">
        <v>2494</v>
      </c>
    </row>
    <row r="670" spans="1:5" hidden="1" x14ac:dyDescent="0.25">
      <c r="A670" s="1" t="s">
        <v>1688</v>
      </c>
      <c r="B670" s="1" t="s">
        <v>1689</v>
      </c>
      <c r="C670" s="1" t="s">
        <v>5</v>
      </c>
      <c r="D670">
        <v>106.41538416</v>
      </c>
      <c r="E670" s="1" t="s">
        <v>1690</v>
      </c>
    </row>
    <row r="671" spans="1:5" hidden="1" x14ac:dyDescent="0.25">
      <c r="A671" s="1" t="s">
        <v>1636</v>
      </c>
      <c r="B671" s="1" t="s">
        <v>1637</v>
      </c>
      <c r="C671" s="1" t="s">
        <v>5</v>
      </c>
      <c r="D671">
        <v>106.53414544</v>
      </c>
      <c r="E671" s="1" t="s">
        <v>1638</v>
      </c>
    </row>
    <row r="672" spans="1:5" hidden="1" x14ac:dyDescent="0.25">
      <c r="A672" s="1" t="s">
        <v>2030</v>
      </c>
      <c r="B672" s="1" t="s">
        <v>2031</v>
      </c>
      <c r="C672" s="1" t="s">
        <v>5</v>
      </c>
      <c r="D672">
        <v>106.66752</v>
      </c>
      <c r="E672" s="1" t="s">
        <v>2021</v>
      </c>
    </row>
    <row r="673" spans="1:5" hidden="1" x14ac:dyDescent="0.25">
      <c r="A673" s="1" t="s">
        <v>2337</v>
      </c>
      <c r="B673" s="1" t="s">
        <v>2338</v>
      </c>
      <c r="C673" s="1" t="s">
        <v>5</v>
      </c>
      <c r="D673">
        <v>107.1783836</v>
      </c>
      <c r="E673" s="1" t="s">
        <v>1681</v>
      </c>
    </row>
    <row r="674" spans="1:5" hidden="1" x14ac:dyDescent="0.25">
      <c r="A674" s="1" t="s">
        <v>2392</v>
      </c>
      <c r="B674" s="1" t="s">
        <v>2393</v>
      </c>
      <c r="C674" s="1" t="s">
        <v>5</v>
      </c>
      <c r="D674">
        <v>108.8</v>
      </c>
      <c r="E674" s="1" t="s">
        <v>1472</v>
      </c>
    </row>
    <row r="675" spans="1:5" hidden="1" x14ac:dyDescent="0.25">
      <c r="A675" s="1" t="s">
        <v>2526</v>
      </c>
      <c r="B675" s="1" t="s">
        <v>2527</v>
      </c>
      <c r="C675" s="1" t="s">
        <v>5</v>
      </c>
      <c r="D675">
        <v>109.02016</v>
      </c>
      <c r="E675" s="1" t="s">
        <v>2523</v>
      </c>
    </row>
    <row r="676" spans="1:5" hidden="1" x14ac:dyDescent="0.25">
      <c r="A676" s="1" t="s">
        <v>2524</v>
      </c>
      <c r="B676" s="1" t="s">
        <v>2525</v>
      </c>
      <c r="C676" s="1" t="s">
        <v>5</v>
      </c>
      <c r="D676">
        <v>112</v>
      </c>
      <c r="E676" s="1" t="s">
        <v>2523</v>
      </c>
    </row>
    <row r="677" spans="1:5" hidden="1" x14ac:dyDescent="0.25">
      <c r="A677" s="1" t="s">
        <v>2321</v>
      </c>
      <c r="B677" s="1" t="s">
        <v>2322</v>
      </c>
      <c r="C677" s="1" t="s">
        <v>5</v>
      </c>
      <c r="D677">
        <v>112.08692000000001</v>
      </c>
      <c r="E677" s="1" t="s">
        <v>1472</v>
      </c>
    </row>
    <row r="678" spans="1:5" hidden="1" x14ac:dyDescent="0.25">
      <c r="A678" s="1" t="s">
        <v>2689</v>
      </c>
      <c r="B678" s="1" t="s">
        <v>2690</v>
      </c>
      <c r="C678" s="1" t="s">
        <v>5</v>
      </c>
      <c r="D678">
        <v>113.15299520000001</v>
      </c>
      <c r="E678" s="1" t="s">
        <v>1461</v>
      </c>
    </row>
    <row r="679" spans="1:5" hidden="1" x14ac:dyDescent="0.25">
      <c r="A679" s="1" t="s">
        <v>2495</v>
      </c>
      <c r="B679" s="1" t="s">
        <v>2496</v>
      </c>
      <c r="C679" s="1" t="s">
        <v>5</v>
      </c>
      <c r="D679">
        <v>114.87724128000001</v>
      </c>
      <c r="E679" s="1" t="s">
        <v>2494</v>
      </c>
    </row>
    <row r="680" spans="1:5" hidden="1" x14ac:dyDescent="0.25">
      <c r="A680" s="1" t="s">
        <v>2460</v>
      </c>
      <c r="B680" s="1" t="s">
        <v>2461</v>
      </c>
      <c r="C680" s="1" t="s">
        <v>5</v>
      </c>
      <c r="D680">
        <v>115.6200552</v>
      </c>
      <c r="E680" s="1" t="s">
        <v>1538</v>
      </c>
    </row>
    <row r="681" spans="1:5" hidden="1" x14ac:dyDescent="0.25">
      <c r="A681" s="1" t="s">
        <v>1905</v>
      </c>
      <c r="B681" s="1" t="s">
        <v>1906</v>
      </c>
      <c r="C681" s="1" t="s">
        <v>5</v>
      </c>
      <c r="D681">
        <v>119.14346368</v>
      </c>
      <c r="E681" s="1" t="s">
        <v>1904</v>
      </c>
    </row>
    <row r="682" spans="1:5" hidden="1" x14ac:dyDescent="0.25">
      <c r="A682" s="1" t="s">
        <v>2468</v>
      </c>
      <c r="B682" s="1" t="s">
        <v>2469</v>
      </c>
      <c r="C682" s="1" t="s">
        <v>5</v>
      </c>
      <c r="D682">
        <v>119.30138479999999</v>
      </c>
      <c r="E682" s="1" t="s">
        <v>1538</v>
      </c>
    </row>
    <row r="683" spans="1:5" hidden="1" x14ac:dyDescent="0.25">
      <c r="A683" s="1" t="s">
        <v>2315</v>
      </c>
      <c r="B683" s="1" t="s">
        <v>2316</v>
      </c>
      <c r="C683" s="1" t="s">
        <v>5</v>
      </c>
      <c r="D683">
        <v>120.72499999999999</v>
      </c>
      <c r="E683" s="1" t="s">
        <v>1461</v>
      </c>
    </row>
    <row r="684" spans="1:5" hidden="1" x14ac:dyDescent="0.25">
      <c r="A684" s="1" t="s">
        <v>1805</v>
      </c>
      <c r="B684" s="1" t="s">
        <v>1806</v>
      </c>
      <c r="C684" s="1" t="s">
        <v>5</v>
      </c>
      <c r="D684">
        <v>121.2545648</v>
      </c>
      <c r="E684" s="1" t="s">
        <v>1784</v>
      </c>
    </row>
    <row r="685" spans="1:5" hidden="1" x14ac:dyDescent="0.25">
      <c r="A685" s="1" t="s">
        <v>1975</v>
      </c>
      <c r="B685" s="1" t="s">
        <v>1976</v>
      </c>
      <c r="C685" s="1" t="s">
        <v>5</v>
      </c>
      <c r="D685">
        <v>124.0125</v>
      </c>
      <c r="E685" s="1" t="s">
        <v>1518</v>
      </c>
    </row>
    <row r="686" spans="1:5" hidden="1" x14ac:dyDescent="0.25">
      <c r="A686" s="1" t="s">
        <v>2560</v>
      </c>
      <c r="B686" s="1" t="s">
        <v>2561</v>
      </c>
      <c r="C686" s="1" t="s">
        <v>5</v>
      </c>
      <c r="D686">
        <v>129.05101440000001</v>
      </c>
      <c r="E686" s="1" t="s">
        <v>1461</v>
      </c>
    </row>
    <row r="687" spans="1:5" hidden="1" x14ac:dyDescent="0.25">
      <c r="A687" s="1" t="s">
        <v>2521</v>
      </c>
      <c r="B687" s="1" t="s">
        <v>2522</v>
      </c>
      <c r="C687" s="1" t="s">
        <v>5</v>
      </c>
      <c r="D687">
        <v>129.6</v>
      </c>
      <c r="E687" s="1" t="s">
        <v>2523</v>
      </c>
    </row>
    <row r="688" spans="1:5" hidden="1" x14ac:dyDescent="0.25">
      <c r="A688" s="1" t="s">
        <v>1527</v>
      </c>
      <c r="B688" s="1" t="s">
        <v>1528</v>
      </c>
      <c r="C688" s="1" t="s">
        <v>5</v>
      </c>
      <c r="D688">
        <v>130.20327760000001</v>
      </c>
      <c r="E688" s="1" t="s">
        <v>1529</v>
      </c>
    </row>
    <row r="689" spans="1:5" hidden="1" x14ac:dyDescent="0.25">
      <c r="A689" s="1" t="s">
        <v>2619</v>
      </c>
      <c r="B689" s="1" t="s">
        <v>2620</v>
      </c>
      <c r="C689" s="1" t="s">
        <v>5</v>
      </c>
      <c r="D689">
        <v>132.35072</v>
      </c>
      <c r="E689" s="1" t="s">
        <v>2523</v>
      </c>
    </row>
    <row r="690" spans="1:5" hidden="1" x14ac:dyDescent="0.25">
      <c r="A690" s="1" t="s">
        <v>2486</v>
      </c>
      <c r="B690" s="1" t="s">
        <v>2487</v>
      </c>
      <c r="C690" s="1" t="s">
        <v>5</v>
      </c>
      <c r="D690">
        <v>134.27370112</v>
      </c>
      <c r="E690" s="1" t="s">
        <v>1473</v>
      </c>
    </row>
    <row r="691" spans="1:5" hidden="1" x14ac:dyDescent="0.25">
      <c r="A691" s="1" t="s">
        <v>2552</v>
      </c>
      <c r="B691" s="1" t="s">
        <v>2553</v>
      </c>
      <c r="C691" s="1" t="s">
        <v>5</v>
      </c>
      <c r="D691">
        <v>144</v>
      </c>
      <c r="E691" s="1" t="s">
        <v>1461</v>
      </c>
    </row>
    <row r="692" spans="1:5" hidden="1" x14ac:dyDescent="0.25">
      <c r="A692" s="1" t="s">
        <v>2349</v>
      </c>
      <c r="B692" s="1" t="s">
        <v>2350</v>
      </c>
      <c r="C692" s="1" t="s">
        <v>5</v>
      </c>
      <c r="D692">
        <v>150.6725232</v>
      </c>
      <c r="E692" s="1" t="s">
        <v>1681</v>
      </c>
    </row>
    <row r="693" spans="1:5" hidden="1" x14ac:dyDescent="0.25">
      <c r="A693" s="1" t="s">
        <v>1699</v>
      </c>
      <c r="B693" s="1" t="s">
        <v>1700</v>
      </c>
      <c r="C693" s="1" t="s">
        <v>5</v>
      </c>
      <c r="D693">
        <v>151.0154881</v>
      </c>
      <c r="E693" s="1" t="s">
        <v>1690</v>
      </c>
    </row>
    <row r="694" spans="1:5" hidden="1" x14ac:dyDescent="0.25">
      <c r="A694" s="1" t="s">
        <v>2024</v>
      </c>
      <c r="B694" s="1" t="s">
        <v>2025</v>
      </c>
      <c r="C694" s="1" t="s">
        <v>5</v>
      </c>
      <c r="D694">
        <v>153.16756989999999</v>
      </c>
      <c r="E694" s="1" t="s">
        <v>2021</v>
      </c>
    </row>
    <row r="695" spans="1:5" hidden="1" x14ac:dyDescent="0.25">
      <c r="A695" s="1" t="s">
        <v>2505</v>
      </c>
      <c r="B695" s="1" t="s">
        <v>2506</v>
      </c>
      <c r="C695" s="1" t="s">
        <v>5</v>
      </c>
      <c r="D695">
        <v>153.60939392</v>
      </c>
      <c r="E695" s="1" t="s">
        <v>1538</v>
      </c>
    </row>
    <row r="696" spans="1:5" hidden="1" x14ac:dyDescent="0.25">
      <c r="A696" s="1" t="s">
        <v>2038</v>
      </c>
      <c r="B696" s="1" t="s">
        <v>2039</v>
      </c>
      <c r="C696" s="1" t="s">
        <v>5</v>
      </c>
      <c r="D696">
        <v>159.7904576</v>
      </c>
      <c r="E696" s="1" t="s">
        <v>1681</v>
      </c>
    </row>
    <row r="697" spans="1:5" hidden="1" x14ac:dyDescent="0.25">
      <c r="A697" s="1" t="s">
        <v>2569</v>
      </c>
      <c r="B697" s="1" t="s">
        <v>2570</v>
      </c>
      <c r="C697" s="1" t="s">
        <v>5</v>
      </c>
      <c r="D697">
        <v>160.97292976</v>
      </c>
      <c r="E697" s="1" t="s">
        <v>2564</v>
      </c>
    </row>
    <row r="698" spans="1:5" hidden="1" x14ac:dyDescent="0.25">
      <c r="A698" s="1" t="s">
        <v>1682</v>
      </c>
      <c r="B698" s="1" t="s">
        <v>1683</v>
      </c>
      <c r="C698" s="1" t="s">
        <v>5</v>
      </c>
      <c r="D698">
        <v>173.05211600000001</v>
      </c>
      <c r="E698" s="1" t="s">
        <v>1681</v>
      </c>
    </row>
    <row r="699" spans="1:5" hidden="1" x14ac:dyDescent="0.25">
      <c r="A699" s="1" t="s">
        <v>1965</v>
      </c>
      <c r="B699" s="1" t="s">
        <v>1966</v>
      </c>
      <c r="C699" s="1" t="s">
        <v>5</v>
      </c>
      <c r="D699">
        <v>175.05433088000001</v>
      </c>
      <c r="E699" s="1" t="s">
        <v>1518</v>
      </c>
    </row>
    <row r="700" spans="1:5" hidden="1" x14ac:dyDescent="0.25">
      <c r="A700" s="1" t="s">
        <v>1496</v>
      </c>
      <c r="B700" s="1" t="s">
        <v>1497</v>
      </c>
      <c r="C700" s="1" t="s">
        <v>5</v>
      </c>
      <c r="D700">
        <v>177.17142655999999</v>
      </c>
      <c r="E700" s="1" t="s">
        <v>1459</v>
      </c>
    </row>
    <row r="701" spans="1:5" hidden="1" x14ac:dyDescent="0.25">
      <c r="A701" s="1" t="s">
        <v>1701</v>
      </c>
      <c r="B701" s="1" t="s">
        <v>1702</v>
      </c>
      <c r="C701" s="1" t="s">
        <v>5</v>
      </c>
      <c r="D701">
        <v>181.2165238</v>
      </c>
      <c r="E701" s="1" t="s">
        <v>1690</v>
      </c>
    </row>
    <row r="702" spans="1:5" hidden="1" x14ac:dyDescent="0.25">
      <c r="A702" s="1" t="s">
        <v>2325</v>
      </c>
      <c r="B702" s="1" t="s">
        <v>2326</v>
      </c>
      <c r="C702" s="1" t="s">
        <v>5</v>
      </c>
      <c r="D702">
        <v>183.8739392</v>
      </c>
      <c r="E702" s="1" t="s">
        <v>1472</v>
      </c>
    </row>
    <row r="703" spans="1:5" hidden="1" x14ac:dyDescent="0.25">
      <c r="A703" s="1" t="s">
        <v>1841</v>
      </c>
      <c r="B703" s="1" t="s">
        <v>1842</v>
      </c>
      <c r="C703" s="1" t="s">
        <v>5</v>
      </c>
      <c r="D703">
        <v>184.0757438</v>
      </c>
      <c r="E703" s="1" t="s">
        <v>1834</v>
      </c>
    </row>
    <row r="704" spans="1:5" hidden="1" x14ac:dyDescent="0.25">
      <c r="A704" s="1" t="s">
        <v>1837</v>
      </c>
      <c r="B704" s="1" t="s">
        <v>1838</v>
      </c>
      <c r="C704" s="1" t="s">
        <v>5</v>
      </c>
      <c r="D704">
        <v>189.70944144000001</v>
      </c>
      <c r="E704" s="1" t="s">
        <v>1834</v>
      </c>
    </row>
    <row r="705" spans="1:5" hidden="1" x14ac:dyDescent="0.25">
      <c r="A705" s="1" t="s">
        <v>2814</v>
      </c>
      <c r="B705" s="1" t="s">
        <v>2815</v>
      </c>
      <c r="C705" s="1" t="s">
        <v>5</v>
      </c>
      <c r="D705">
        <v>206.875</v>
      </c>
      <c r="E705" s="1" t="s">
        <v>1461</v>
      </c>
    </row>
    <row r="706" spans="1:5" hidden="1" x14ac:dyDescent="0.25">
      <c r="A706" s="1" t="s">
        <v>2691</v>
      </c>
      <c r="B706" s="1" t="s">
        <v>2692</v>
      </c>
      <c r="C706" s="1" t="s">
        <v>5</v>
      </c>
      <c r="D706">
        <v>209.16532799999999</v>
      </c>
      <c r="E706" s="1" t="s">
        <v>1461</v>
      </c>
    </row>
    <row r="707" spans="1:5" hidden="1" x14ac:dyDescent="0.25">
      <c r="A707" s="1" t="s">
        <v>2339</v>
      </c>
      <c r="B707" s="1" t="s">
        <v>2340</v>
      </c>
      <c r="C707" s="1" t="s">
        <v>5</v>
      </c>
      <c r="D707">
        <v>213.1841556</v>
      </c>
      <c r="E707" s="1" t="s">
        <v>1681</v>
      </c>
    </row>
    <row r="708" spans="1:5" hidden="1" x14ac:dyDescent="0.25">
      <c r="A708" s="1" t="s">
        <v>2492</v>
      </c>
      <c r="B708" s="1" t="s">
        <v>2493</v>
      </c>
      <c r="C708" s="1" t="s">
        <v>5</v>
      </c>
      <c r="D708">
        <v>214.04323656</v>
      </c>
      <c r="E708" s="1" t="s">
        <v>2494</v>
      </c>
    </row>
    <row r="709" spans="1:5" hidden="1" x14ac:dyDescent="0.25">
      <c r="A709" s="1" t="s">
        <v>1488</v>
      </c>
      <c r="B709" s="1" t="s">
        <v>1489</v>
      </c>
      <c r="C709" s="1" t="s">
        <v>5</v>
      </c>
      <c r="D709">
        <v>233.45026799999999</v>
      </c>
      <c r="E709" s="1" t="s">
        <v>1461</v>
      </c>
    </row>
    <row r="710" spans="1:5" hidden="1" x14ac:dyDescent="0.25">
      <c r="A710" s="1" t="s">
        <v>2556</v>
      </c>
      <c r="B710" s="1" t="s">
        <v>2557</v>
      </c>
      <c r="C710" s="1" t="s">
        <v>5</v>
      </c>
      <c r="D710">
        <v>238.43670180000001</v>
      </c>
      <c r="E710" s="1" t="s">
        <v>1461</v>
      </c>
    </row>
    <row r="711" spans="1:5" hidden="1" x14ac:dyDescent="0.25">
      <c r="A711" s="1" t="s">
        <v>2558</v>
      </c>
      <c r="B711" s="1" t="s">
        <v>2559</v>
      </c>
      <c r="C711" s="1" t="s">
        <v>5</v>
      </c>
      <c r="D711">
        <v>256.39999999999998</v>
      </c>
      <c r="E711" s="1" t="s">
        <v>1461</v>
      </c>
    </row>
    <row r="712" spans="1:5" hidden="1" x14ac:dyDescent="0.25">
      <c r="A712" s="1" t="s">
        <v>2784</v>
      </c>
      <c r="B712" s="1" t="s">
        <v>2785</v>
      </c>
      <c r="C712" s="1" t="s">
        <v>5</v>
      </c>
      <c r="D712">
        <v>266.62845440000001</v>
      </c>
      <c r="E712" s="1" t="s">
        <v>1681</v>
      </c>
    </row>
    <row r="713" spans="1:5" hidden="1" x14ac:dyDescent="0.25">
      <c r="A713" s="1" t="s">
        <v>1521</v>
      </c>
      <c r="B713" s="1" t="s">
        <v>1522</v>
      </c>
      <c r="C713" s="1" t="s">
        <v>5</v>
      </c>
      <c r="D713">
        <v>291.09861119999999</v>
      </c>
      <c r="E713" s="1" t="s">
        <v>1461</v>
      </c>
    </row>
    <row r="714" spans="1:5" hidden="1" x14ac:dyDescent="0.25">
      <c r="A714" s="1" t="s">
        <v>2802</v>
      </c>
      <c r="B714" s="1" t="s">
        <v>2803</v>
      </c>
      <c r="C714" s="1" t="s">
        <v>5</v>
      </c>
      <c r="D714">
        <v>303.70835119999998</v>
      </c>
      <c r="E714" s="1" t="s">
        <v>1545</v>
      </c>
    </row>
    <row r="715" spans="1:5" hidden="1" x14ac:dyDescent="0.25">
      <c r="A715" s="1" t="s">
        <v>2597</v>
      </c>
      <c r="B715" s="1" t="s">
        <v>2598</v>
      </c>
      <c r="C715" s="1" t="s">
        <v>5</v>
      </c>
      <c r="D715">
        <v>320</v>
      </c>
      <c r="E715" s="1" t="s">
        <v>2596</v>
      </c>
    </row>
    <row r="716" spans="1:5" hidden="1" x14ac:dyDescent="0.25">
      <c r="A716" s="1" t="s">
        <v>2704</v>
      </c>
      <c r="B716" s="1" t="s">
        <v>2705</v>
      </c>
      <c r="C716" s="1" t="s">
        <v>5</v>
      </c>
      <c r="D716">
        <v>355.58180800000002</v>
      </c>
      <c r="E716" s="1" t="s">
        <v>1473</v>
      </c>
    </row>
    <row r="717" spans="1:5" hidden="1" x14ac:dyDescent="0.25">
      <c r="A717" s="1" t="s">
        <v>2335</v>
      </c>
      <c r="B717" s="1" t="s">
        <v>2336</v>
      </c>
      <c r="C717" s="1" t="s">
        <v>5</v>
      </c>
      <c r="D717">
        <v>364.32259071999999</v>
      </c>
      <c r="E717" s="1" t="s">
        <v>1681</v>
      </c>
    </row>
    <row r="718" spans="1:5" hidden="1" x14ac:dyDescent="0.25">
      <c r="A718" s="1" t="s">
        <v>2736</v>
      </c>
      <c r="B718" s="1" t="s">
        <v>2737</v>
      </c>
      <c r="C718" s="1" t="s">
        <v>5</v>
      </c>
      <c r="D718">
        <v>374.23047808000001</v>
      </c>
      <c r="E718" s="1" t="s">
        <v>1538</v>
      </c>
    </row>
    <row r="719" spans="1:5" hidden="1" x14ac:dyDescent="0.25">
      <c r="A719" s="1" t="s">
        <v>2040</v>
      </c>
      <c r="B719" s="1" t="s">
        <v>2041</v>
      </c>
      <c r="C719" s="1" t="s">
        <v>5</v>
      </c>
      <c r="D719">
        <v>417.14</v>
      </c>
      <c r="E719" s="1" t="s">
        <v>1681</v>
      </c>
    </row>
    <row r="720" spans="1:5" hidden="1" x14ac:dyDescent="0.25">
      <c r="A720" s="1" t="s">
        <v>2788</v>
      </c>
      <c r="B720" s="1" t="s">
        <v>2789</v>
      </c>
      <c r="C720" s="1" t="s">
        <v>5</v>
      </c>
      <c r="D720">
        <v>417.14</v>
      </c>
      <c r="E720" s="1" t="s">
        <v>1681</v>
      </c>
    </row>
    <row r="721" spans="1:5" hidden="1" x14ac:dyDescent="0.25">
      <c r="A721" s="1" t="s">
        <v>2499</v>
      </c>
      <c r="B721" s="1" t="s">
        <v>2500</v>
      </c>
      <c r="C721" s="1" t="s">
        <v>5</v>
      </c>
      <c r="D721">
        <v>430.9715392</v>
      </c>
      <c r="E721" s="1" t="s">
        <v>2494</v>
      </c>
    </row>
    <row r="722" spans="1:5" hidden="1" x14ac:dyDescent="0.25">
      <c r="A722" s="1" t="s">
        <v>2507</v>
      </c>
      <c r="B722" s="1" t="s">
        <v>2508</v>
      </c>
      <c r="C722" s="1" t="s">
        <v>5</v>
      </c>
      <c r="D722">
        <v>466.20490799999999</v>
      </c>
      <c r="E722" s="1" t="s">
        <v>2509</v>
      </c>
    </row>
    <row r="723" spans="1:5" hidden="1" x14ac:dyDescent="0.25">
      <c r="A723" s="1" t="s">
        <v>2530</v>
      </c>
      <c r="B723" s="1" t="s">
        <v>2531</v>
      </c>
      <c r="C723" s="1" t="s">
        <v>5</v>
      </c>
      <c r="D723">
        <v>561.01382980000005</v>
      </c>
      <c r="E723" s="1" t="s">
        <v>2523</v>
      </c>
    </row>
    <row r="724" spans="1:5" hidden="1" x14ac:dyDescent="0.25">
      <c r="A724" s="1" t="s">
        <v>1480</v>
      </c>
      <c r="B724" s="1" t="s">
        <v>1481</v>
      </c>
      <c r="C724" s="1" t="s">
        <v>5</v>
      </c>
      <c r="D724">
        <v>907.94712368</v>
      </c>
      <c r="E724" s="1" t="s">
        <v>1458</v>
      </c>
    </row>
    <row r="725" spans="1:5" hidden="1" x14ac:dyDescent="0.25">
      <c r="A725" s="1" t="s">
        <v>2186</v>
      </c>
      <c r="B725" s="1" t="s">
        <v>2187</v>
      </c>
      <c r="C725" s="1" t="s">
        <v>5</v>
      </c>
      <c r="D725">
        <v>1350.6814136190001</v>
      </c>
      <c r="E725" s="1" t="s">
        <v>2185</v>
      </c>
    </row>
    <row r="726" spans="1:5" hidden="1" x14ac:dyDescent="0.25">
      <c r="A726" s="1" t="s">
        <v>2792</v>
      </c>
      <c r="B726" s="1" t="s">
        <v>2793</v>
      </c>
      <c r="C726" s="1" t="s">
        <v>5</v>
      </c>
      <c r="D726">
        <v>1391.3279152</v>
      </c>
      <c r="E726" s="1" t="s">
        <v>1681</v>
      </c>
    </row>
    <row r="727" spans="1:5" hidden="1" x14ac:dyDescent="0.25">
      <c r="A727" s="1" t="s">
        <v>2503</v>
      </c>
      <c r="B727" s="1" t="s">
        <v>2504</v>
      </c>
      <c r="C727" s="1" t="s">
        <v>5</v>
      </c>
      <c r="D727">
        <v>1719.8772254999999</v>
      </c>
      <c r="E727" s="1" t="s">
        <v>1538</v>
      </c>
    </row>
    <row r="728" spans="1:5" hidden="1" x14ac:dyDescent="0.25">
      <c r="A728" s="1" t="s">
        <v>2343</v>
      </c>
      <c r="B728" s="1" t="s">
        <v>2344</v>
      </c>
      <c r="C728" s="1" t="s">
        <v>5</v>
      </c>
      <c r="D728">
        <v>3106.9970560000002</v>
      </c>
      <c r="E728" s="1" t="s">
        <v>1681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6F0D2-D149-4DAA-9704-FE201FC9C19A}">
  <sheetPr codeName="Sheet3"/>
  <dimension ref="A1:B9"/>
  <sheetViews>
    <sheetView workbookViewId="0">
      <selection activeCell="B5" sqref="B5"/>
    </sheetView>
  </sheetViews>
  <sheetFormatPr defaultRowHeight="15" x14ac:dyDescent="0.25"/>
  <cols>
    <col min="1" max="1" width="17.7109375" bestFit="1" customWidth="1"/>
    <col min="2" max="2" width="18" bestFit="1" customWidth="1"/>
  </cols>
  <sheetData>
    <row r="1" spans="1:2" x14ac:dyDescent="0.25">
      <c r="A1" t="s">
        <v>7</v>
      </c>
      <c r="B1" t="s">
        <v>0</v>
      </c>
    </row>
    <row r="2" spans="1:2" x14ac:dyDescent="0.25">
      <c r="A2" s="20" t="s">
        <v>1457</v>
      </c>
      <c r="B2" s="21" t="s">
        <v>8</v>
      </c>
    </row>
    <row r="3" spans="1:2" x14ac:dyDescent="0.25">
      <c r="A3" s="20" t="s">
        <v>5</v>
      </c>
      <c r="B3" s="21" t="s">
        <v>9</v>
      </c>
    </row>
    <row r="4" spans="1:2" x14ac:dyDescent="0.25">
      <c r="A4" s="20" t="s">
        <v>4</v>
      </c>
      <c r="B4" s="21" t="s">
        <v>10</v>
      </c>
    </row>
    <row r="5" spans="1:2" x14ac:dyDescent="0.25">
      <c r="A5" s="20" t="s">
        <v>1460</v>
      </c>
      <c r="B5" s="21" t="s">
        <v>11</v>
      </c>
    </row>
    <row r="6" spans="1:2" x14ac:dyDescent="0.25">
      <c r="A6" s="20" t="s">
        <v>6</v>
      </c>
      <c r="B6" s="21" t="s">
        <v>12</v>
      </c>
    </row>
    <row r="7" spans="1:2" x14ac:dyDescent="0.25">
      <c r="A7" s="19"/>
      <c r="B7" s="7"/>
    </row>
    <row r="8" spans="1:2" x14ac:dyDescent="0.25">
      <c r="A8" s="19"/>
    </row>
    <row r="9" spans="1:2" x14ac:dyDescent="0.25">
      <c r="A9" s="19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B9771-4B77-419D-BA05-4F2DAFD0E823}">
  <sheetPr codeName="Sheet2"/>
  <dimension ref="A1:S908"/>
  <sheetViews>
    <sheetView tabSelected="1" zoomScale="85" zoomScaleNormal="85" workbookViewId="0">
      <pane ySplit="1" topLeftCell="A2" activePane="bottomLeft" state="frozen"/>
      <selection activeCell="I32" sqref="I32"/>
      <selection pane="bottomLeft" activeCell="M16" sqref="M16"/>
    </sheetView>
  </sheetViews>
  <sheetFormatPr defaultRowHeight="15" x14ac:dyDescent="0.25"/>
  <cols>
    <col min="1" max="1" width="18.85546875" bestFit="1" customWidth="1"/>
    <col min="2" max="2" width="15" bestFit="1" customWidth="1"/>
    <col min="3" max="3" width="14.5703125" customWidth="1"/>
    <col min="4" max="4" width="16.7109375" customWidth="1"/>
    <col min="5" max="6" width="1.28515625" customWidth="1"/>
    <col min="8" max="8" width="24" bestFit="1" customWidth="1"/>
    <col min="9" max="10" width="17.5703125" customWidth="1"/>
    <col min="11" max="11" width="21.5703125" customWidth="1"/>
    <col min="12" max="12" width="15.5703125" customWidth="1"/>
    <col min="13" max="13" width="25.28515625" bestFit="1" customWidth="1"/>
    <col min="14" max="14" width="19.85546875" customWidth="1"/>
    <col min="15" max="15" width="15" bestFit="1" customWidth="1"/>
    <col min="16" max="16" width="12.28515625" customWidth="1"/>
    <col min="17" max="17" width="17.85546875" bestFit="1" customWidth="1"/>
  </cols>
  <sheetData>
    <row r="1" spans="1:19" ht="15.75" thickBot="1" x14ac:dyDescent="0.3">
      <c r="A1" s="33" t="s">
        <v>17</v>
      </c>
      <c r="B1" s="34">
        <f>MASTER!E2</f>
        <v>1</v>
      </c>
      <c r="C1" s="28"/>
      <c r="D1" s="28"/>
      <c r="E1" s="28"/>
      <c r="F1" s="28"/>
      <c r="G1" s="51" t="s">
        <v>31</v>
      </c>
      <c r="H1" s="35" t="s">
        <v>33</v>
      </c>
      <c r="I1" s="35" t="s">
        <v>13</v>
      </c>
      <c r="J1" s="35" t="s">
        <v>14</v>
      </c>
      <c r="K1" s="35" t="s">
        <v>2</v>
      </c>
      <c r="L1" s="35" t="s">
        <v>27</v>
      </c>
      <c r="M1" s="51" t="s">
        <v>30</v>
      </c>
      <c r="N1" s="51" t="s">
        <v>32</v>
      </c>
      <c r="O1" s="2"/>
      <c r="P1" s="2"/>
      <c r="Q1" s="2"/>
      <c r="R1" s="2"/>
      <c r="S1" s="25"/>
    </row>
    <row r="2" spans="1:19" x14ac:dyDescent="0.25">
      <c r="A2" s="33" t="s">
        <v>19</v>
      </c>
      <c r="B2" s="34">
        <f>COUNTA(I1:I201)-1</f>
        <v>200</v>
      </c>
      <c r="C2" s="28"/>
      <c r="D2" s="28"/>
      <c r="E2" s="28"/>
      <c r="F2" s="28"/>
      <c r="G2" s="52" t="e">
        <f>IF(M2="","",VLOOKUP(M2,MASTER!$B$11:$C$30,2,0))</f>
        <v>#N/A</v>
      </c>
      <c r="H2" s="56" t="s">
        <v>41</v>
      </c>
      <c r="I2" s="56" t="s">
        <v>42</v>
      </c>
      <c r="J2" s="56" t="s">
        <v>3</v>
      </c>
      <c r="K2" s="56">
        <v>1</v>
      </c>
      <c r="L2" s="56" t="s">
        <v>40</v>
      </c>
      <c r="M2" s="52" t="e">
        <f>IF(L2="","",VLOOKUP(L2,$A$10:$B$29,2,0))</f>
        <v>#N/A</v>
      </c>
      <c r="N2" s="52">
        <f>IF(K2="","",K2)</f>
        <v>1</v>
      </c>
      <c r="O2" s="2"/>
      <c r="P2" s="2"/>
      <c r="Q2" s="2"/>
      <c r="R2" s="2"/>
      <c r="S2" s="25"/>
    </row>
    <row r="3" spans="1:19" x14ac:dyDescent="0.25">
      <c r="A3" s="33" t="s">
        <v>2</v>
      </c>
      <c r="B3" s="34">
        <f>SUM(K2:K208)</f>
        <v>207</v>
      </c>
      <c r="C3" s="28"/>
      <c r="D3" s="28"/>
      <c r="E3" s="28"/>
      <c r="F3" s="28"/>
      <c r="G3" s="52" t="e">
        <f>IF(M3="","",VLOOKUP(M3,MASTER!$B$11:$C$30,2,0))</f>
        <v>#N/A</v>
      </c>
      <c r="H3" t="s">
        <v>43</v>
      </c>
      <c r="I3" t="s">
        <v>44</v>
      </c>
      <c r="J3" t="s">
        <v>3</v>
      </c>
      <c r="K3">
        <v>1</v>
      </c>
      <c r="L3" t="s">
        <v>40</v>
      </c>
      <c r="M3" s="52" t="e">
        <f t="shared" ref="M3:M66" si="0">IF(L3="","",VLOOKUP(L3,$A$10:$B$29,2,0))</f>
        <v>#N/A</v>
      </c>
      <c r="N3" s="52">
        <f t="shared" ref="N3:N66" si="1">IF(K3="","",K3)</f>
        <v>1</v>
      </c>
      <c r="O3" s="2"/>
      <c r="P3" s="2"/>
      <c r="Q3" s="2"/>
      <c r="R3" s="2"/>
      <c r="S3" s="25"/>
    </row>
    <row r="4" spans="1:19" x14ac:dyDescent="0.25">
      <c r="A4" s="33" t="s">
        <v>20</v>
      </c>
      <c r="B4" s="34">
        <f>ROUNDUP(B2/B1,0)</f>
        <v>200</v>
      </c>
      <c r="C4" s="55"/>
      <c r="D4" s="55"/>
      <c r="E4" s="28"/>
      <c r="F4" s="28"/>
      <c r="G4" s="52" t="e">
        <f>IF(M4="","",VLOOKUP(M4,MASTER!$B$11:$C$30,2,0))</f>
        <v>#N/A</v>
      </c>
      <c r="H4" t="s">
        <v>45</v>
      </c>
      <c r="I4" t="s">
        <v>46</v>
      </c>
      <c r="J4" t="s">
        <v>3</v>
      </c>
      <c r="K4">
        <v>1</v>
      </c>
      <c r="L4" t="s">
        <v>40</v>
      </c>
      <c r="M4" s="52" t="e">
        <f t="shared" si="0"/>
        <v>#N/A</v>
      </c>
      <c r="N4" s="52">
        <f t="shared" si="1"/>
        <v>1</v>
      </c>
      <c r="O4" s="2"/>
      <c r="P4" s="2"/>
      <c r="Q4" s="2"/>
      <c r="R4" s="2"/>
      <c r="S4" s="25"/>
    </row>
    <row r="5" spans="1:19" x14ac:dyDescent="0.25">
      <c r="A5" s="33" t="s">
        <v>21</v>
      </c>
      <c r="B5" s="34">
        <f>MASTER!E6</f>
        <v>1</v>
      </c>
      <c r="C5" s="28"/>
      <c r="D5" s="36"/>
      <c r="E5" s="28"/>
      <c r="F5" s="28"/>
      <c r="G5" s="52" t="e">
        <f>IF(M5="","",VLOOKUP(M5,MASTER!$B$11:$C$30,2,0))</f>
        <v>#N/A</v>
      </c>
      <c r="H5" t="s">
        <v>47</v>
      </c>
      <c r="I5" t="s">
        <v>48</v>
      </c>
      <c r="J5" t="s">
        <v>3</v>
      </c>
      <c r="K5">
        <v>1</v>
      </c>
      <c r="L5" t="s">
        <v>40</v>
      </c>
      <c r="M5" s="52" t="e">
        <f t="shared" si="0"/>
        <v>#N/A</v>
      </c>
      <c r="N5" s="52">
        <f t="shared" si="1"/>
        <v>1</v>
      </c>
      <c r="O5" s="2"/>
      <c r="P5" s="2"/>
      <c r="Q5" s="2"/>
      <c r="R5" s="2"/>
      <c r="S5" s="25"/>
    </row>
    <row r="6" spans="1:19" x14ac:dyDescent="0.25">
      <c r="A6" s="33" t="s">
        <v>28</v>
      </c>
      <c r="B6" s="34">
        <f>AVERAGE(K2:K201)</f>
        <v>1</v>
      </c>
      <c r="C6" s="28"/>
      <c r="D6" s="28"/>
      <c r="E6" s="28"/>
      <c r="F6" s="28"/>
      <c r="G6" s="52" t="e">
        <f>IF(M6="","",VLOOKUP(M6,MASTER!$B$11:$C$30,2,0))</f>
        <v>#N/A</v>
      </c>
      <c r="H6" t="s">
        <v>49</v>
      </c>
      <c r="I6" t="s">
        <v>50</v>
      </c>
      <c r="J6" t="s">
        <v>3</v>
      </c>
      <c r="K6">
        <v>1</v>
      </c>
      <c r="L6" t="s">
        <v>40</v>
      </c>
      <c r="M6" s="52" t="e">
        <f t="shared" si="0"/>
        <v>#N/A</v>
      </c>
      <c r="N6" s="52">
        <f t="shared" si="1"/>
        <v>1</v>
      </c>
      <c r="O6" s="2"/>
      <c r="P6" s="2"/>
      <c r="Q6" s="2"/>
      <c r="R6" s="2"/>
      <c r="S6" s="25"/>
    </row>
    <row r="7" spans="1:19" x14ac:dyDescent="0.25">
      <c r="A7" s="33" t="s">
        <v>29</v>
      </c>
      <c r="B7" s="34" t="e">
        <f>_xlfn.STDEV.S(C10:C14)</f>
        <v>#DIV/0!</v>
      </c>
      <c r="C7" s="28"/>
      <c r="D7" s="28"/>
      <c r="E7" s="28"/>
      <c r="F7" s="28"/>
      <c r="G7" s="52" t="e">
        <f>IF(M7="","",VLOOKUP(M7,MASTER!$B$11:$C$30,2,0))</f>
        <v>#N/A</v>
      </c>
      <c r="H7" t="s">
        <v>51</v>
      </c>
      <c r="I7" t="s">
        <v>52</v>
      </c>
      <c r="J7" t="s">
        <v>3</v>
      </c>
      <c r="K7">
        <v>1</v>
      </c>
      <c r="L7" t="s">
        <v>40</v>
      </c>
      <c r="M7" s="52" t="e">
        <f t="shared" si="0"/>
        <v>#N/A</v>
      </c>
      <c r="N7" s="52">
        <f t="shared" si="1"/>
        <v>1</v>
      </c>
      <c r="O7" s="2"/>
      <c r="P7" s="2"/>
      <c r="Q7" s="2"/>
      <c r="R7" s="2"/>
      <c r="S7" s="25"/>
    </row>
    <row r="8" spans="1:19" x14ac:dyDescent="0.25">
      <c r="A8" s="33"/>
      <c r="B8" s="28"/>
      <c r="C8" s="28"/>
      <c r="D8" s="28"/>
      <c r="E8" s="28"/>
      <c r="F8" s="28"/>
      <c r="G8" s="52" t="e">
        <f>IF(M8="","",VLOOKUP(M8,MASTER!$B$11:$C$30,2,0))</f>
        <v>#N/A</v>
      </c>
      <c r="H8" t="s">
        <v>53</v>
      </c>
      <c r="I8" t="s">
        <v>54</v>
      </c>
      <c r="J8" t="s">
        <v>3</v>
      </c>
      <c r="K8">
        <v>1</v>
      </c>
      <c r="L8" t="s">
        <v>40</v>
      </c>
      <c r="M8" s="52" t="e">
        <f t="shared" si="0"/>
        <v>#N/A</v>
      </c>
      <c r="N8" s="52">
        <f t="shared" si="1"/>
        <v>1</v>
      </c>
      <c r="O8" s="2"/>
      <c r="P8" s="2"/>
      <c r="Q8" s="2"/>
      <c r="R8" s="2"/>
      <c r="S8" s="25"/>
    </row>
    <row r="9" spans="1:19" ht="15.75" thickBot="1" x14ac:dyDescent="0.3">
      <c r="A9" s="37">
        <v>0</v>
      </c>
      <c r="B9" s="38" t="s">
        <v>18</v>
      </c>
      <c r="C9" s="38" t="s">
        <v>2</v>
      </c>
      <c r="D9" s="38" t="s">
        <v>1</v>
      </c>
      <c r="E9" s="39"/>
      <c r="F9" s="28"/>
      <c r="G9" s="52" t="e">
        <f>IF(M9="","",VLOOKUP(M9,MASTER!$B$11:$C$30,2,0))</f>
        <v>#N/A</v>
      </c>
      <c r="H9" t="s">
        <v>55</v>
      </c>
      <c r="I9" t="s">
        <v>56</v>
      </c>
      <c r="J9" t="s">
        <v>3</v>
      </c>
      <c r="K9">
        <v>1</v>
      </c>
      <c r="L9" t="s">
        <v>40</v>
      </c>
      <c r="M9" s="52" t="e">
        <f t="shared" si="0"/>
        <v>#N/A</v>
      </c>
      <c r="N9" s="52">
        <f t="shared" si="1"/>
        <v>1</v>
      </c>
      <c r="O9" s="2"/>
      <c r="P9" s="2"/>
      <c r="Q9" s="2"/>
      <c r="R9" s="2"/>
      <c r="S9" s="25"/>
    </row>
    <row r="10" spans="1:19" x14ac:dyDescent="0.25">
      <c r="A10" s="40">
        <f>IF(B10="","",1)</f>
        <v>1</v>
      </c>
      <c r="B10" s="41" t="str">
        <f>IF(MASTER!B11=0,"",MASTER!B11)</f>
        <v>Katherine Gowdey</v>
      </c>
      <c r="C10" s="42">
        <f t="shared" ref="C10:C29" si="2">IF(B10="","",SUMIF($L$2:$L$208,A10,$K$2:$K$208))</f>
        <v>0</v>
      </c>
      <c r="D10" s="43">
        <f t="shared" ref="D10:D29" si="3">IF(B10="","",COUNTIF($L$2:$L$208,A10))</f>
        <v>0</v>
      </c>
      <c r="E10" s="39"/>
      <c r="F10" s="28"/>
      <c r="G10" s="52" t="e">
        <f>IF(M10="","",VLOOKUP(M10,MASTER!$B$11:$C$30,2,0))</f>
        <v>#N/A</v>
      </c>
      <c r="H10" t="s">
        <v>57</v>
      </c>
      <c r="I10" t="s">
        <v>58</v>
      </c>
      <c r="J10" t="s">
        <v>3</v>
      </c>
      <c r="K10">
        <v>1</v>
      </c>
      <c r="L10" t="s">
        <v>40</v>
      </c>
      <c r="M10" s="52" t="e">
        <f t="shared" si="0"/>
        <v>#N/A</v>
      </c>
      <c r="N10" s="52">
        <f t="shared" si="1"/>
        <v>1</v>
      </c>
      <c r="O10" s="2"/>
      <c r="P10" s="2"/>
      <c r="Q10" s="2"/>
      <c r="R10" s="2"/>
      <c r="S10" s="25"/>
    </row>
    <row r="11" spans="1:19" x14ac:dyDescent="0.25">
      <c r="A11" s="44" t="str">
        <f>IF(B11="","",2)</f>
        <v/>
      </c>
      <c r="B11" s="39" t="str">
        <f>IF(MASTER!B12=0,"",MASTER!B12)</f>
        <v/>
      </c>
      <c r="C11" s="45" t="str">
        <f t="shared" si="2"/>
        <v/>
      </c>
      <c r="D11" s="46" t="str">
        <f t="shared" si="3"/>
        <v/>
      </c>
      <c r="E11" s="39"/>
      <c r="F11" s="28"/>
      <c r="G11" s="52" t="e">
        <f>IF(M11="","",VLOOKUP(M11,MASTER!$B$11:$C$30,2,0))</f>
        <v>#N/A</v>
      </c>
      <c r="H11" t="s">
        <v>59</v>
      </c>
      <c r="I11" t="s">
        <v>60</v>
      </c>
      <c r="J11" t="s">
        <v>3</v>
      </c>
      <c r="K11">
        <v>1</v>
      </c>
      <c r="L11" t="s">
        <v>40</v>
      </c>
      <c r="M11" s="52" t="e">
        <f t="shared" si="0"/>
        <v>#N/A</v>
      </c>
      <c r="N11" s="52">
        <f t="shared" si="1"/>
        <v>1</v>
      </c>
      <c r="O11" s="2"/>
      <c r="P11" s="2"/>
      <c r="Q11" s="2"/>
      <c r="R11" s="2"/>
      <c r="S11" s="25"/>
    </row>
    <row r="12" spans="1:19" x14ac:dyDescent="0.25">
      <c r="A12" s="44" t="str">
        <f>IF(B12="","",3)</f>
        <v/>
      </c>
      <c r="B12" s="39" t="str">
        <f>IF(MASTER!B13=0,"",MASTER!B13)</f>
        <v/>
      </c>
      <c r="C12" s="45" t="str">
        <f t="shared" si="2"/>
        <v/>
      </c>
      <c r="D12" s="46" t="str">
        <f t="shared" si="3"/>
        <v/>
      </c>
      <c r="E12" s="39"/>
      <c r="F12" s="28"/>
      <c r="G12" s="52" t="e">
        <f>IF(M12="","",VLOOKUP(M12,MASTER!$B$11:$C$30,2,0))</f>
        <v>#N/A</v>
      </c>
      <c r="H12" t="s">
        <v>61</v>
      </c>
      <c r="I12" t="s">
        <v>62</v>
      </c>
      <c r="J12" t="s">
        <v>3</v>
      </c>
      <c r="K12">
        <v>1</v>
      </c>
      <c r="L12" t="s">
        <v>40</v>
      </c>
      <c r="M12" s="52" t="e">
        <f t="shared" si="0"/>
        <v>#N/A</v>
      </c>
      <c r="N12" s="52">
        <f t="shared" si="1"/>
        <v>1</v>
      </c>
      <c r="O12" s="2"/>
      <c r="P12" s="2"/>
      <c r="Q12" s="2"/>
      <c r="R12" s="2"/>
      <c r="S12" s="25"/>
    </row>
    <row r="13" spans="1:19" x14ac:dyDescent="0.25">
      <c r="A13" s="44" t="str">
        <f>IF(B13="","",4)</f>
        <v/>
      </c>
      <c r="B13" s="39" t="str">
        <f>IF(MASTER!B14=0,"",MASTER!B14)</f>
        <v/>
      </c>
      <c r="C13" s="45" t="str">
        <f t="shared" si="2"/>
        <v/>
      </c>
      <c r="D13" s="46" t="str">
        <f t="shared" si="3"/>
        <v/>
      </c>
      <c r="E13" s="39"/>
      <c r="F13" s="28"/>
      <c r="G13" s="52" t="e">
        <f>IF(M13="","",VLOOKUP(M13,MASTER!$B$11:$C$30,2,0))</f>
        <v>#N/A</v>
      </c>
      <c r="H13" t="s">
        <v>63</v>
      </c>
      <c r="I13" t="s">
        <v>64</v>
      </c>
      <c r="J13" t="s">
        <v>3</v>
      </c>
      <c r="K13">
        <v>1</v>
      </c>
      <c r="L13" t="s">
        <v>40</v>
      </c>
      <c r="M13" s="52" t="e">
        <f t="shared" si="0"/>
        <v>#N/A</v>
      </c>
      <c r="N13" s="52">
        <f t="shared" si="1"/>
        <v>1</v>
      </c>
      <c r="O13" s="2"/>
      <c r="P13" s="2"/>
      <c r="Q13" s="2"/>
      <c r="R13" s="2"/>
      <c r="S13" s="25"/>
    </row>
    <row r="14" spans="1:19" x14ac:dyDescent="0.25">
      <c r="A14" s="44" t="str">
        <f>IF(B14="","",5)</f>
        <v/>
      </c>
      <c r="B14" s="39" t="str">
        <f>IF(MASTER!B15=0,"",MASTER!B15)</f>
        <v/>
      </c>
      <c r="C14" s="45" t="str">
        <f t="shared" si="2"/>
        <v/>
      </c>
      <c r="D14" s="46" t="str">
        <f t="shared" si="3"/>
        <v/>
      </c>
      <c r="E14" s="39"/>
      <c r="F14" s="28"/>
      <c r="G14" s="52" t="e">
        <f>IF(M14="","",VLOOKUP(M14,MASTER!$B$11:$C$30,2,0))</f>
        <v>#N/A</v>
      </c>
      <c r="H14" t="s">
        <v>65</v>
      </c>
      <c r="I14" t="s">
        <v>66</v>
      </c>
      <c r="J14" t="s">
        <v>3</v>
      </c>
      <c r="K14">
        <v>1</v>
      </c>
      <c r="L14" t="s">
        <v>40</v>
      </c>
      <c r="M14" s="52" t="e">
        <f t="shared" si="0"/>
        <v>#N/A</v>
      </c>
      <c r="N14" s="52">
        <f t="shared" si="1"/>
        <v>1</v>
      </c>
      <c r="O14" s="2"/>
      <c r="P14" s="2"/>
      <c r="Q14" s="2"/>
      <c r="R14" s="2"/>
      <c r="S14" s="25"/>
    </row>
    <row r="15" spans="1:19" x14ac:dyDescent="0.25">
      <c r="A15" s="44" t="str">
        <f>IF(B15="","",6)</f>
        <v/>
      </c>
      <c r="B15" s="39" t="str">
        <f>IF(MASTER!B16=0,"",MASTER!B16)</f>
        <v/>
      </c>
      <c r="C15" s="45" t="str">
        <f t="shared" si="2"/>
        <v/>
      </c>
      <c r="D15" s="46" t="str">
        <f t="shared" si="3"/>
        <v/>
      </c>
      <c r="E15" s="39"/>
      <c r="F15" s="28"/>
      <c r="G15" s="52" t="e">
        <f>IF(M15="","",VLOOKUP(M15,MASTER!$B$11:$C$30,2,0))</f>
        <v>#N/A</v>
      </c>
      <c r="H15" t="s">
        <v>67</v>
      </c>
      <c r="I15" t="s">
        <v>68</v>
      </c>
      <c r="J15" t="s">
        <v>3</v>
      </c>
      <c r="K15">
        <v>1</v>
      </c>
      <c r="L15" t="s">
        <v>40</v>
      </c>
      <c r="M15" s="52" t="e">
        <f t="shared" si="0"/>
        <v>#N/A</v>
      </c>
      <c r="N15" s="52">
        <f t="shared" si="1"/>
        <v>1</v>
      </c>
      <c r="O15" s="2"/>
      <c r="P15" s="2"/>
      <c r="Q15" s="2"/>
      <c r="R15" s="2"/>
      <c r="S15" s="25"/>
    </row>
    <row r="16" spans="1:19" x14ac:dyDescent="0.25">
      <c r="A16" s="44" t="str">
        <f>IF(B16="","",7)</f>
        <v/>
      </c>
      <c r="B16" s="39" t="str">
        <f>IF(MASTER!B17=0,"",MASTER!B17)</f>
        <v/>
      </c>
      <c r="C16" s="45" t="str">
        <f t="shared" si="2"/>
        <v/>
      </c>
      <c r="D16" s="46" t="str">
        <f t="shared" si="3"/>
        <v/>
      </c>
      <c r="E16" s="39"/>
      <c r="F16" s="28"/>
      <c r="G16" s="52" t="e">
        <f>IF(M16="","",VLOOKUP(M16,MASTER!$B$11:$C$30,2,0))</f>
        <v>#N/A</v>
      </c>
      <c r="H16" t="s">
        <v>69</v>
      </c>
      <c r="I16" t="s">
        <v>70</v>
      </c>
      <c r="J16" t="s">
        <v>3</v>
      </c>
      <c r="K16">
        <v>1</v>
      </c>
      <c r="L16" t="s">
        <v>40</v>
      </c>
      <c r="M16" s="52" t="e">
        <f t="shared" si="0"/>
        <v>#N/A</v>
      </c>
      <c r="N16" s="52">
        <f t="shared" si="1"/>
        <v>1</v>
      </c>
      <c r="O16" s="2"/>
      <c r="P16" s="2"/>
      <c r="Q16" s="2"/>
      <c r="R16" s="2"/>
      <c r="S16" s="25"/>
    </row>
    <row r="17" spans="1:19" x14ac:dyDescent="0.25">
      <c r="A17" s="44" t="str">
        <f>IF(B17="","",8)</f>
        <v/>
      </c>
      <c r="B17" s="39" t="str">
        <f>IF(MASTER!B18=0,"",MASTER!B18)</f>
        <v/>
      </c>
      <c r="C17" s="45" t="str">
        <f t="shared" si="2"/>
        <v/>
      </c>
      <c r="D17" s="46" t="str">
        <f t="shared" si="3"/>
        <v/>
      </c>
      <c r="E17" s="39"/>
      <c r="F17" s="28"/>
      <c r="G17" s="52" t="e">
        <f>IF(M17="","",VLOOKUP(M17,MASTER!$B$11:$C$30,2,0))</f>
        <v>#N/A</v>
      </c>
      <c r="H17" t="s">
        <v>71</v>
      </c>
      <c r="I17" t="s">
        <v>72</v>
      </c>
      <c r="J17" t="s">
        <v>3</v>
      </c>
      <c r="K17">
        <v>1</v>
      </c>
      <c r="L17" t="s">
        <v>40</v>
      </c>
      <c r="M17" s="52" t="e">
        <f t="shared" si="0"/>
        <v>#N/A</v>
      </c>
      <c r="N17" s="52">
        <f t="shared" si="1"/>
        <v>1</v>
      </c>
      <c r="O17" s="2"/>
      <c r="P17" s="2"/>
      <c r="Q17" s="2"/>
      <c r="R17" s="2"/>
      <c r="S17" s="25"/>
    </row>
    <row r="18" spans="1:19" x14ac:dyDescent="0.25">
      <c r="A18" s="44" t="str">
        <f>IF(B18="","",9)</f>
        <v/>
      </c>
      <c r="B18" s="39" t="str">
        <f>IF(MASTER!B19=0,"",MASTER!B19)</f>
        <v/>
      </c>
      <c r="C18" s="45" t="str">
        <f t="shared" si="2"/>
        <v/>
      </c>
      <c r="D18" s="46" t="str">
        <f t="shared" si="3"/>
        <v/>
      </c>
      <c r="E18" s="39"/>
      <c r="F18" s="28"/>
      <c r="G18" s="52" t="e">
        <f>IF(M18="","",VLOOKUP(M18,MASTER!$B$11:$C$30,2,0))</f>
        <v>#N/A</v>
      </c>
      <c r="H18" t="s">
        <v>73</v>
      </c>
      <c r="I18" t="s">
        <v>74</v>
      </c>
      <c r="J18" t="s">
        <v>3</v>
      </c>
      <c r="K18">
        <v>1</v>
      </c>
      <c r="L18" t="s">
        <v>40</v>
      </c>
      <c r="M18" s="52" t="e">
        <f t="shared" si="0"/>
        <v>#N/A</v>
      </c>
      <c r="N18" s="52">
        <f t="shared" si="1"/>
        <v>1</v>
      </c>
      <c r="O18" s="2"/>
      <c r="P18" s="2"/>
      <c r="Q18" s="2"/>
      <c r="R18" s="2"/>
      <c r="S18" s="25"/>
    </row>
    <row r="19" spans="1:19" x14ac:dyDescent="0.25">
      <c r="A19" s="44" t="str">
        <f>IF(B19="","",10)</f>
        <v/>
      </c>
      <c r="B19" s="39" t="str">
        <f>IF(MASTER!B20=0,"",MASTER!B20)</f>
        <v/>
      </c>
      <c r="C19" s="45" t="str">
        <f t="shared" si="2"/>
        <v/>
      </c>
      <c r="D19" s="46" t="str">
        <f t="shared" si="3"/>
        <v/>
      </c>
      <c r="E19" s="39"/>
      <c r="F19" s="28"/>
      <c r="G19" s="52" t="e">
        <f>IF(M19="","",VLOOKUP(M19,MASTER!$B$11:$C$30,2,0))</f>
        <v>#N/A</v>
      </c>
      <c r="H19" t="s">
        <v>75</v>
      </c>
      <c r="I19" t="s">
        <v>76</v>
      </c>
      <c r="J19" t="s">
        <v>3</v>
      </c>
      <c r="K19">
        <v>1</v>
      </c>
      <c r="L19" t="s">
        <v>40</v>
      </c>
      <c r="M19" s="52" t="e">
        <f t="shared" si="0"/>
        <v>#N/A</v>
      </c>
      <c r="N19" s="52">
        <f t="shared" si="1"/>
        <v>1</v>
      </c>
      <c r="O19" s="2"/>
      <c r="P19" s="2"/>
      <c r="Q19" s="2"/>
      <c r="R19" s="2"/>
      <c r="S19" s="25"/>
    </row>
    <row r="20" spans="1:19" x14ac:dyDescent="0.25">
      <c r="A20" s="44" t="str">
        <f>IF(B20="","",11)</f>
        <v/>
      </c>
      <c r="B20" s="39" t="str">
        <f>IF(MASTER!B21=0,"",MASTER!B21)</f>
        <v/>
      </c>
      <c r="C20" s="45" t="str">
        <f t="shared" si="2"/>
        <v/>
      </c>
      <c r="D20" s="46" t="str">
        <f t="shared" si="3"/>
        <v/>
      </c>
      <c r="E20" s="39"/>
      <c r="F20" s="28"/>
      <c r="G20" s="52" t="e">
        <f>IF(M20="","",VLOOKUP(M20,MASTER!$B$11:$C$30,2,0))</f>
        <v>#N/A</v>
      </c>
      <c r="H20" t="s">
        <v>77</v>
      </c>
      <c r="I20" t="s">
        <v>78</v>
      </c>
      <c r="J20" t="s">
        <v>3</v>
      </c>
      <c r="K20">
        <v>1</v>
      </c>
      <c r="L20" t="s">
        <v>40</v>
      </c>
      <c r="M20" s="52" t="e">
        <f t="shared" si="0"/>
        <v>#N/A</v>
      </c>
      <c r="N20" s="52">
        <f t="shared" si="1"/>
        <v>1</v>
      </c>
      <c r="O20" s="2"/>
      <c r="P20" s="2"/>
      <c r="Q20" s="2"/>
      <c r="R20" s="2"/>
      <c r="S20" s="25"/>
    </row>
    <row r="21" spans="1:19" x14ac:dyDescent="0.25">
      <c r="A21" s="44" t="str">
        <f>IF(B21="","",12)</f>
        <v/>
      </c>
      <c r="B21" s="39" t="str">
        <f>IF(MASTER!B22=0,"",MASTER!B22)</f>
        <v/>
      </c>
      <c r="C21" s="45" t="str">
        <f t="shared" si="2"/>
        <v/>
      </c>
      <c r="D21" s="46" t="str">
        <f t="shared" si="3"/>
        <v/>
      </c>
      <c r="E21" s="39"/>
      <c r="F21" s="28"/>
      <c r="G21" s="52" t="e">
        <f>IF(M21="","",VLOOKUP(M21,MASTER!$B$11:$C$30,2,0))</f>
        <v>#N/A</v>
      </c>
      <c r="H21" t="s">
        <v>79</v>
      </c>
      <c r="I21" t="s">
        <v>80</v>
      </c>
      <c r="J21" t="s">
        <v>3</v>
      </c>
      <c r="K21">
        <v>1</v>
      </c>
      <c r="L21" t="s">
        <v>40</v>
      </c>
      <c r="M21" s="52" t="e">
        <f t="shared" si="0"/>
        <v>#N/A</v>
      </c>
      <c r="N21" s="52">
        <f t="shared" si="1"/>
        <v>1</v>
      </c>
      <c r="O21" s="2"/>
      <c r="P21" s="2"/>
      <c r="Q21" s="2"/>
      <c r="R21" s="2"/>
      <c r="S21" s="25"/>
    </row>
    <row r="22" spans="1:19" x14ac:dyDescent="0.25">
      <c r="A22" s="44" t="str">
        <f>IF(B22="","",13)</f>
        <v/>
      </c>
      <c r="B22" s="39" t="str">
        <f>IF(MASTER!B23=0,"",MASTER!B23)</f>
        <v/>
      </c>
      <c r="C22" s="45" t="str">
        <f t="shared" si="2"/>
        <v/>
      </c>
      <c r="D22" s="46" t="str">
        <f t="shared" si="3"/>
        <v/>
      </c>
      <c r="E22" s="39"/>
      <c r="F22" s="28"/>
      <c r="G22" s="52" t="e">
        <f>IF(M22="","",VLOOKUP(M22,MASTER!$B$11:$C$30,2,0))</f>
        <v>#N/A</v>
      </c>
      <c r="H22" t="s">
        <v>81</v>
      </c>
      <c r="I22" t="s">
        <v>82</v>
      </c>
      <c r="J22" t="s">
        <v>3</v>
      </c>
      <c r="K22">
        <v>1</v>
      </c>
      <c r="L22" t="s">
        <v>40</v>
      </c>
      <c r="M22" s="52" t="e">
        <f t="shared" si="0"/>
        <v>#N/A</v>
      </c>
      <c r="N22" s="52">
        <f t="shared" si="1"/>
        <v>1</v>
      </c>
      <c r="O22" s="2"/>
      <c r="P22" s="2"/>
      <c r="Q22" s="2"/>
      <c r="R22" s="2"/>
      <c r="S22" s="25"/>
    </row>
    <row r="23" spans="1:19" x14ac:dyDescent="0.25">
      <c r="A23" s="44" t="str">
        <f>IF(B23="","",14)</f>
        <v/>
      </c>
      <c r="B23" s="39" t="str">
        <f>IF(MASTER!B24=0,"",MASTER!B24)</f>
        <v/>
      </c>
      <c r="C23" s="45" t="str">
        <f t="shared" si="2"/>
        <v/>
      </c>
      <c r="D23" s="46" t="str">
        <f t="shared" si="3"/>
        <v/>
      </c>
      <c r="E23" s="39"/>
      <c r="F23" s="28"/>
      <c r="G23" s="52" t="e">
        <f>IF(M23="","",VLOOKUP(M23,MASTER!$B$11:$C$30,2,0))</f>
        <v>#N/A</v>
      </c>
      <c r="H23" t="s">
        <v>83</v>
      </c>
      <c r="I23" t="s">
        <v>84</v>
      </c>
      <c r="J23" t="s">
        <v>3</v>
      </c>
      <c r="K23">
        <v>1</v>
      </c>
      <c r="L23" t="s">
        <v>40</v>
      </c>
      <c r="M23" s="52" t="e">
        <f t="shared" si="0"/>
        <v>#N/A</v>
      </c>
      <c r="N23" s="52">
        <f t="shared" si="1"/>
        <v>1</v>
      </c>
      <c r="O23" s="2"/>
      <c r="P23" s="2"/>
      <c r="Q23" s="2"/>
      <c r="R23" s="2"/>
      <c r="S23" s="25"/>
    </row>
    <row r="24" spans="1:19" x14ac:dyDescent="0.25">
      <c r="A24" s="44" t="str">
        <f>IF(B24="","",15)</f>
        <v/>
      </c>
      <c r="B24" s="39" t="str">
        <f>IF(MASTER!B25=0,"",MASTER!B25)</f>
        <v/>
      </c>
      <c r="C24" s="45" t="str">
        <f t="shared" si="2"/>
        <v/>
      </c>
      <c r="D24" s="46" t="str">
        <f t="shared" si="3"/>
        <v/>
      </c>
      <c r="E24" s="39"/>
      <c r="F24" s="28"/>
      <c r="G24" s="52" t="e">
        <f>IF(M24="","",VLOOKUP(M24,MASTER!$B$11:$C$30,2,0))</f>
        <v>#N/A</v>
      </c>
      <c r="H24" t="s">
        <v>85</v>
      </c>
      <c r="I24" t="s">
        <v>86</v>
      </c>
      <c r="J24" t="s">
        <v>3</v>
      </c>
      <c r="K24">
        <v>1</v>
      </c>
      <c r="L24" t="s">
        <v>40</v>
      </c>
      <c r="M24" s="52" t="e">
        <f t="shared" si="0"/>
        <v>#N/A</v>
      </c>
      <c r="N24" s="52">
        <f t="shared" si="1"/>
        <v>1</v>
      </c>
      <c r="O24" s="2"/>
      <c r="P24" s="2"/>
      <c r="Q24" s="2"/>
      <c r="R24" s="2"/>
      <c r="S24" s="25"/>
    </row>
    <row r="25" spans="1:19" x14ac:dyDescent="0.25">
      <c r="A25" s="44" t="str">
        <f>IF(B25="","",16)</f>
        <v/>
      </c>
      <c r="B25" s="39" t="str">
        <f>IF(MASTER!B26=0,"",MASTER!B26)</f>
        <v/>
      </c>
      <c r="C25" s="45" t="str">
        <f t="shared" si="2"/>
        <v/>
      </c>
      <c r="D25" s="46" t="str">
        <f t="shared" si="3"/>
        <v/>
      </c>
      <c r="E25" s="39"/>
      <c r="F25" s="28"/>
      <c r="G25" s="52" t="e">
        <f>IF(M25="","",VLOOKUP(M25,MASTER!$B$11:$C$30,2,0))</f>
        <v>#N/A</v>
      </c>
      <c r="H25" t="s">
        <v>87</v>
      </c>
      <c r="I25" t="s">
        <v>88</v>
      </c>
      <c r="J25" t="s">
        <v>3</v>
      </c>
      <c r="K25">
        <v>1</v>
      </c>
      <c r="L25" t="s">
        <v>40</v>
      </c>
      <c r="M25" s="52" t="e">
        <f t="shared" si="0"/>
        <v>#N/A</v>
      </c>
      <c r="N25" s="52">
        <f t="shared" si="1"/>
        <v>1</v>
      </c>
      <c r="O25" s="2"/>
      <c r="P25" s="2"/>
      <c r="Q25" s="2"/>
      <c r="R25" s="2"/>
      <c r="S25" s="25"/>
    </row>
    <row r="26" spans="1:19" x14ac:dyDescent="0.25">
      <c r="A26" s="44" t="str">
        <f>IF(B26="","",17)</f>
        <v/>
      </c>
      <c r="B26" s="39" t="str">
        <f>IF(MASTER!B27=0,"",MASTER!B27)</f>
        <v/>
      </c>
      <c r="C26" s="45" t="str">
        <f t="shared" si="2"/>
        <v/>
      </c>
      <c r="D26" s="46" t="str">
        <f t="shared" si="3"/>
        <v/>
      </c>
      <c r="E26" s="39"/>
      <c r="F26" s="28"/>
      <c r="G26" s="52" t="e">
        <f>IF(M26="","",VLOOKUP(M26,MASTER!$B$11:$C$30,2,0))</f>
        <v>#N/A</v>
      </c>
      <c r="H26" t="s">
        <v>89</v>
      </c>
      <c r="I26" t="s">
        <v>90</v>
      </c>
      <c r="J26" t="s">
        <v>3</v>
      </c>
      <c r="K26">
        <v>1</v>
      </c>
      <c r="L26" t="s">
        <v>40</v>
      </c>
      <c r="M26" s="52" t="e">
        <f t="shared" si="0"/>
        <v>#N/A</v>
      </c>
      <c r="N26" s="52">
        <f t="shared" si="1"/>
        <v>1</v>
      </c>
      <c r="O26" s="2"/>
      <c r="P26" s="2"/>
      <c r="Q26" s="2"/>
      <c r="R26" s="2"/>
      <c r="S26" s="25"/>
    </row>
    <row r="27" spans="1:19" x14ac:dyDescent="0.25">
      <c r="A27" s="44" t="str">
        <f>IF(B27="","",18)</f>
        <v/>
      </c>
      <c r="B27" s="39" t="str">
        <f>IF(MASTER!B28=0,"",MASTER!B28)</f>
        <v/>
      </c>
      <c r="C27" s="45" t="str">
        <f t="shared" si="2"/>
        <v/>
      </c>
      <c r="D27" s="46" t="str">
        <f t="shared" si="3"/>
        <v/>
      </c>
      <c r="E27" s="39"/>
      <c r="F27" s="28"/>
      <c r="G27" s="52" t="e">
        <f>IF(M27="","",VLOOKUP(M27,MASTER!$B$11:$C$30,2,0))</f>
        <v>#N/A</v>
      </c>
      <c r="H27" t="s">
        <v>91</v>
      </c>
      <c r="I27" t="s">
        <v>92</v>
      </c>
      <c r="J27" t="s">
        <v>3</v>
      </c>
      <c r="K27">
        <v>1</v>
      </c>
      <c r="L27" t="s">
        <v>40</v>
      </c>
      <c r="M27" s="52" t="e">
        <f t="shared" si="0"/>
        <v>#N/A</v>
      </c>
      <c r="N27" s="52">
        <f t="shared" si="1"/>
        <v>1</v>
      </c>
      <c r="O27" s="2"/>
      <c r="P27" s="2"/>
      <c r="Q27" s="2"/>
      <c r="R27" s="2"/>
      <c r="S27" s="25"/>
    </row>
    <row r="28" spans="1:19" x14ac:dyDescent="0.25">
      <c r="A28" s="44" t="str">
        <f>IF(B28="","",19)</f>
        <v/>
      </c>
      <c r="B28" s="39" t="str">
        <f>IF(MASTER!B29=0,"",MASTER!B29)</f>
        <v/>
      </c>
      <c r="C28" s="45" t="str">
        <f t="shared" si="2"/>
        <v/>
      </c>
      <c r="D28" s="46" t="str">
        <f t="shared" si="3"/>
        <v/>
      </c>
      <c r="E28" s="39"/>
      <c r="F28" s="28"/>
      <c r="G28" s="52" t="e">
        <f>IF(M28="","",VLOOKUP(M28,MASTER!$B$11:$C$30,2,0))</f>
        <v>#N/A</v>
      </c>
      <c r="H28" t="s">
        <v>93</v>
      </c>
      <c r="I28" t="s">
        <v>94</v>
      </c>
      <c r="J28" t="s">
        <v>3</v>
      </c>
      <c r="K28">
        <v>1</v>
      </c>
      <c r="L28" t="s">
        <v>40</v>
      </c>
      <c r="M28" s="52" t="e">
        <f t="shared" si="0"/>
        <v>#N/A</v>
      </c>
      <c r="N28" s="52">
        <f t="shared" si="1"/>
        <v>1</v>
      </c>
      <c r="O28" s="2"/>
      <c r="P28" s="2"/>
      <c r="Q28" s="2"/>
      <c r="R28" s="2"/>
      <c r="S28" s="25"/>
    </row>
    <row r="29" spans="1:19" ht="15.75" thickBot="1" x14ac:dyDescent="0.3">
      <c r="A29" s="47" t="str">
        <f>IF(B29="","",20)</f>
        <v/>
      </c>
      <c r="B29" s="35" t="str">
        <f>IF(MASTER!B30=0,"",MASTER!B30)</f>
        <v/>
      </c>
      <c r="C29" s="48" t="str">
        <f t="shared" si="2"/>
        <v/>
      </c>
      <c r="D29" s="49" t="str">
        <f t="shared" si="3"/>
        <v/>
      </c>
      <c r="E29" s="39"/>
      <c r="F29" s="28"/>
      <c r="G29" s="52" t="e">
        <f>IF(M29="","",VLOOKUP(M29,MASTER!$B$11:$C$30,2,0))</f>
        <v>#N/A</v>
      </c>
      <c r="H29" t="s">
        <v>95</v>
      </c>
      <c r="I29" t="s">
        <v>96</v>
      </c>
      <c r="J29" t="s">
        <v>3</v>
      </c>
      <c r="K29">
        <v>1</v>
      </c>
      <c r="L29" t="s">
        <v>40</v>
      </c>
      <c r="M29" s="52" t="e">
        <f t="shared" si="0"/>
        <v>#N/A</v>
      </c>
      <c r="N29" s="52">
        <f t="shared" si="1"/>
        <v>1</v>
      </c>
      <c r="O29" s="2"/>
      <c r="P29" s="2"/>
      <c r="Q29" s="2"/>
      <c r="R29" s="2"/>
      <c r="S29" s="25"/>
    </row>
    <row r="30" spans="1:19" x14ac:dyDescent="0.25">
      <c r="A30" s="28"/>
      <c r="B30" s="28"/>
      <c r="C30" s="28"/>
      <c r="D30" s="28"/>
      <c r="E30" s="28"/>
      <c r="F30" s="28"/>
      <c r="G30" s="52" t="e">
        <f>IF(M30="","",VLOOKUP(M30,MASTER!$B$11:$C$30,2,0))</f>
        <v>#N/A</v>
      </c>
      <c r="H30" t="s">
        <v>97</v>
      </c>
      <c r="I30" t="s">
        <v>98</v>
      </c>
      <c r="J30" t="s">
        <v>3</v>
      </c>
      <c r="K30">
        <v>1</v>
      </c>
      <c r="L30" t="s">
        <v>40</v>
      </c>
      <c r="M30" s="52" t="e">
        <f t="shared" si="0"/>
        <v>#N/A</v>
      </c>
      <c r="N30" s="52">
        <f t="shared" si="1"/>
        <v>1</v>
      </c>
      <c r="O30" s="2"/>
      <c r="P30" s="2"/>
      <c r="Q30" s="2"/>
      <c r="R30" s="2"/>
      <c r="S30" s="25"/>
    </row>
    <row r="31" spans="1:19" x14ac:dyDescent="0.25">
      <c r="A31" s="28"/>
      <c r="B31" s="28"/>
      <c r="C31" s="28"/>
      <c r="D31" s="28"/>
      <c r="E31" s="28"/>
      <c r="F31" s="28"/>
      <c r="G31" s="52" t="e">
        <f>IF(M31="","",VLOOKUP(M31,MASTER!$B$11:$C$30,2,0))</f>
        <v>#N/A</v>
      </c>
      <c r="H31" t="s">
        <v>99</v>
      </c>
      <c r="I31" t="s">
        <v>100</v>
      </c>
      <c r="J31" t="s">
        <v>3</v>
      </c>
      <c r="K31">
        <v>1</v>
      </c>
      <c r="L31" t="s">
        <v>40</v>
      </c>
      <c r="M31" s="52" t="e">
        <f t="shared" si="0"/>
        <v>#N/A</v>
      </c>
      <c r="N31" s="52">
        <f t="shared" si="1"/>
        <v>1</v>
      </c>
      <c r="O31" s="2"/>
      <c r="P31" s="2"/>
      <c r="Q31" s="2"/>
      <c r="R31" s="2"/>
      <c r="S31" s="25"/>
    </row>
    <row r="32" spans="1:19" x14ac:dyDescent="0.25">
      <c r="A32" s="28"/>
      <c r="B32" s="28"/>
      <c r="C32" s="28"/>
      <c r="D32" s="28"/>
      <c r="E32" s="28"/>
      <c r="F32" s="28"/>
      <c r="G32" s="52" t="e">
        <f>IF(M32="","",VLOOKUP(M32,MASTER!$B$11:$C$30,2,0))</f>
        <v>#N/A</v>
      </c>
      <c r="H32" t="s">
        <v>101</v>
      </c>
      <c r="I32" t="s">
        <v>102</v>
      </c>
      <c r="J32" t="s">
        <v>3</v>
      </c>
      <c r="K32">
        <v>1</v>
      </c>
      <c r="L32" t="s">
        <v>40</v>
      </c>
      <c r="M32" s="52" t="e">
        <f t="shared" si="0"/>
        <v>#N/A</v>
      </c>
      <c r="N32" s="52">
        <f t="shared" si="1"/>
        <v>1</v>
      </c>
      <c r="O32" s="2"/>
      <c r="P32" s="2"/>
      <c r="Q32" s="2"/>
      <c r="R32" s="2"/>
      <c r="S32" s="25"/>
    </row>
    <row r="33" spans="1:19" x14ac:dyDescent="0.25">
      <c r="A33" s="28"/>
      <c r="B33" s="28"/>
      <c r="C33" s="28"/>
      <c r="D33" s="28"/>
      <c r="E33" s="28"/>
      <c r="F33" s="28"/>
      <c r="G33" s="52" t="e">
        <f>IF(M33="","",VLOOKUP(M33,MASTER!$B$11:$C$30,2,0))</f>
        <v>#N/A</v>
      </c>
      <c r="H33" t="s">
        <v>103</v>
      </c>
      <c r="I33" t="s">
        <v>104</v>
      </c>
      <c r="J33" t="s">
        <v>3</v>
      </c>
      <c r="K33">
        <v>1</v>
      </c>
      <c r="L33" t="s">
        <v>40</v>
      </c>
      <c r="M33" s="52" t="e">
        <f t="shared" si="0"/>
        <v>#N/A</v>
      </c>
      <c r="N33" s="52">
        <f t="shared" si="1"/>
        <v>1</v>
      </c>
      <c r="O33" s="2"/>
      <c r="P33" s="2"/>
      <c r="Q33" s="2"/>
      <c r="R33" s="2"/>
      <c r="S33" s="25"/>
    </row>
    <row r="34" spans="1:19" x14ac:dyDescent="0.25">
      <c r="A34" s="28"/>
      <c r="B34" s="28"/>
      <c r="C34" s="28"/>
      <c r="D34" s="28"/>
      <c r="E34" s="28"/>
      <c r="F34" s="28"/>
      <c r="G34" s="52" t="e">
        <f>IF(M34="","",VLOOKUP(M34,MASTER!$B$11:$C$30,2,0))</f>
        <v>#N/A</v>
      </c>
      <c r="H34" t="s">
        <v>105</v>
      </c>
      <c r="I34" t="s">
        <v>106</v>
      </c>
      <c r="J34" t="s">
        <v>3</v>
      </c>
      <c r="K34">
        <v>1</v>
      </c>
      <c r="L34" t="s">
        <v>40</v>
      </c>
      <c r="M34" s="52" t="e">
        <f t="shared" si="0"/>
        <v>#N/A</v>
      </c>
      <c r="N34" s="52">
        <f t="shared" si="1"/>
        <v>1</v>
      </c>
      <c r="O34" s="2"/>
      <c r="P34" s="2"/>
      <c r="Q34" s="2"/>
      <c r="R34" s="2"/>
      <c r="S34" s="25"/>
    </row>
    <row r="35" spans="1:19" x14ac:dyDescent="0.25">
      <c r="A35" s="28"/>
      <c r="B35" s="28"/>
      <c r="C35" s="28"/>
      <c r="D35" s="28"/>
      <c r="E35" s="28"/>
      <c r="F35" s="28"/>
      <c r="G35" s="52" t="e">
        <f>IF(M35="","",VLOOKUP(M35,MASTER!$B$11:$C$30,2,0))</f>
        <v>#N/A</v>
      </c>
      <c r="H35" t="s">
        <v>107</v>
      </c>
      <c r="I35" t="s">
        <v>108</v>
      </c>
      <c r="J35" t="s">
        <v>3</v>
      </c>
      <c r="K35">
        <v>1</v>
      </c>
      <c r="L35" t="s">
        <v>40</v>
      </c>
      <c r="M35" s="52" t="e">
        <f t="shared" si="0"/>
        <v>#N/A</v>
      </c>
      <c r="N35" s="52">
        <f t="shared" si="1"/>
        <v>1</v>
      </c>
      <c r="O35" s="2"/>
      <c r="P35" s="2"/>
      <c r="Q35" s="2"/>
      <c r="R35" s="2"/>
      <c r="S35" s="25"/>
    </row>
    <row r="36" spans="1:19" x14ac:dyDescent="0.25">
      <c r="A36" s="28"/>
      <c r="B36" s="28"/>
      <c r="C36" s="28"/>
      <c r="D36" s="28"/>
      <c r="E36" s="28"/>
      <c r="F36" s="28"/>
      <c r="G36" s="52" t="e">
        <f>IF(M36="","",VLOOKUP(M36,MASTER!$B$11:$C$30,2,0))</f>
        <v>#N/A</v>
      </c>
      <c r="H36" t="s">
        <v>109</v>
      </c>
      <c r="I36" t="s">
        <v>110</v>
      </c>
      <c r="J36" t="s">
        <v>3</v>
      </c>
      <c r="K36">
        <v>1</v>
      </c>
      <c r="L36" t="s">
        <v>40</v>
      </c>
      <c r="M36" s="52" t="e">
        <f t="shared" si="0"/>
        <v>#N/A</v>
      </c>
      <c r="N36" s="52">
        <f t="shared" si="1"/>
        <v>1</v>
      </c>
      <c r="O36" s="2"/>
      <c r="P36" s="2"/>
      <c r="Q36" s="2"/>
      <c r="R36" s="2"/>
      <c r="S36" s="25"/>
    </row>
    <row r="37" spans="1:19" x14ac:dyDescent="0.25">
      <c r="A37" s="28"/>
      <c r="B37" s="28"/>
      <c r="C37" s="28"/>
      <c r="D37" s="28"/>
      <c r="E37" s="28"/>
      <c r="F37" s="28"/>
      <c r="G37" s="52" t="e">
        <f>IF(M37="","",VLOOKUP(M37,MASTER!$B$11:$C$30,2,0))</f>
        <v>#N/A</v>
      </c>
      <c r="H37" t="s">
        <v>111</v>
      </c>
      <c r="I37" t="s">
        <v>112</v>
      </c>
      <c r="J37" t="s">
        <v>3</v>
      </c>
      <c r="K37">
        <v>1</v>
      </c>
      <c r="L37" t="s">
        <v>40</v>
      </c>
      <c r="M37" s="52" t="e">
        <f t="shared" si="0"/>
        <v>#N/A</v>
      </c>
      <c r="N37" s="52">
        <f t="shared" si="1"/>
        <v>1</v>
      </c>
      <c r="O37" s="2"/>
      <c r="P37" s="2"/>
      <c r="Q37" s="2"/>
      <c r="R37" s="2"/>
      <c r="S37" s="25"/>
    </row>
    <row r="38" spans="1:19" x14ac:dyDescent="0.25">
      <c r="A38" s="28"/>
      <c r="B38" s="28"/>
      <c r="C38" s="28"/>
      <c r="D38" s="28"/>
      <c r="E38" s="28"/>
      <c r="F38" s="28"/>
      <c r="G38" s="52" t="e">
        <f>IF(M38="","",VLOOKUP(M38,MASTER!$B$11:$C$30,2,0))</f>
        <v>#N/A</v>
      </c>
      <c r="H38" t="s">
        <v>113</v>
      </c>
      <c r="I38" t="s">
        <v>114</v>
      </c>
      <c r="J38" t="s">
        <v>3</v>
      </c>
      <c r="K38">
        <v>1</v>
      </c>
      <c r="L38" t="s">
        <v>40</v>
      </c>
      <c r="M38" s="52" t="e">
        <f t="shared" si="0"/>
        <v>#N/A</v>
      </c>
      <c r="N38" s="52">
        <f t="shared" si="1"/>
        <v>1</v>
      </c>
      <c r="O38" s="2"/>
      <c r="P38" s="2"/>
      <c r="Q38" s="2"/>
      <c r="R38" s="2"/>
      <c r="S38" s="25"/>
    </row>
    <row r="39" spans="1:19" x14ac:dyDescent="0.25">
      <c r="A39" s="28"/>
      <c r="B39" s="28"/>
      <c r="C39" s="28"/>
      <c r="D39" s="28"/>
      <c r="E39" s="28"/>
      <c r="F39" s="28"/>
      <c r="G39" s="52" t="e">
        <f>IF(M39="","",VLOOKUP(M39,MASTER!$B$11:$C$30,2,0))</f>
        <v>#N/A</v>
      </c>
      <c r="H39" t="s">
        <v>115</v>
      </c>
      <c r="I39" t="s">
        <v>116</v>
      </c>
      <c r="J39" t="s">
        <v>3</v>
      </c>
      <c r="K39">
        <v>1</v>
      </c>
      <c r="L39" t="s">
        <v>40</v>
      </c>
      <c r="M39" s="52" t="e">
        <f t="shared" si="0"/>
        <v>#N/A</v>
      </c>
      <c r="N39" s="52">
        <f t="shared" si="1"/>
        <v>1</v>
      </c>
      <c r="O39" s="2"/>
      <c r="P39" s="2"/>
      <c r="Q39" s="2"/>
      <c r="R39" s="2"/>
      <c r="S39" s="25"/>
    </row>
    <row r="40" spans="1:19" x14ac:dyDescent="0.25">
      <c r="A40" s="28"/>
      <c r="B40" s="28"/>
      <c r="C40" s="28"/>
      <c r="D40" s="28"/>
      <c r="E40" s="28"/>
      <c r="F40" s="28"/>
      <c r="G40" s="52" t="e">
        <f>IF(M40="","",VLOOKUP(M40,MASTER!$B$11:$C$30,2,0))</f>
        <v>#N/A</v>
      </c>
      <c r="H40" t="s">
        <v>117</v>
      </c>
      <c r="I40" t="s">
        <v>118</v>
      </c>
      <c r="J40" t="s">
        <v>3</v>
      </c>
      <c r="K40">
        <v>1</v>
      </c>
      <c r="L40" t="s">
        <v>40</v>
      </c>
      <c r="M40" s="52" t="e">
        <f t="shared" si="0"/>
        <v>#N/A</v>
      </c>
      <c r="N40" s="52">
        <f t="shared" si="1"/>
        <v>1</v>
      </c>
      <c r="O40" s="2"/>
      <c r="P40" s="2"/>
      <c r="Q40" s="2"/>
      <c r="R40" s="2"/>
      <c r="S40" s="25"/>
    </row>
    <row r="41" spans="1:19" x14ac:dyDescent="0.25">
      <c r="A41" s="28"/>
      <c r="B41" s="28"/>
      <c r="C41" s="28"/>
      <c r="D41" s="28"/>
      <c r="E41" s="28"/>
      <c r="F41" s="28"/>
      <c r="G41" s="52" t="e">
        <f>IF(M41="","",VLOOKUP(M41,MASTER!$B$11:$C$30,2,0))</f>
        <v>#N/A</v>
      </c>
      <c r="H41" t="s">
        <v>119</v>
      </c>
      <c r="I41" t="s">
        <v>120</v>
      </c>
      <c r="J41" t="s">
        <v>3</v>
      </c>
      <c r="K41">
        <v>1</v>
      </c>
      <c r="L41" t="s">
        <v>40</v>
      </c>
      <c r="M41" s="52" t="e">
        <f t="shared" si="0"/>
        <v>#N/A</v>
      </c>
      <c r="N41" s="52">
        <f t="shared" si="1"/>
        <v>1</v>
      </c>
      <c r="O41" s="2"/>
      <c r="P41" s="2"/>
      <c r="Q41" s="2"/>
      <c r="R41" s="2"/>
      <c r="S41" s="25"/>
    </row>
    <row r="42" spans="1:19" x14ac:dyDescent="0.25">
      <c r="A42" s="28"/>
      <c r="B42" s="28"/>
      <c r="C42" s="28"/>
      <c r="D42" s="28"/>
      <c r="E42" s="28"/>
      <c r="F42" s="28"/>
      <c r="G42" s="52" t="e">
        <f>IF(M42="","",VLOOKUP(M42,MASTER!$B$11:$C$30,2,0))</f>
        <v>#N/A</v>
      </c>
      <c r="H42" t="s">
        <v>121</v>
      </c>
      <c r="I42" t="s">
        <v>122</v>
      </c>
      <c r="J42" t="s">
        <v>3</v>
      </c>
      <c r="K42">
        <v>1</v>
      </c>
      <c r="L42" t="s">
        <v>40</v>
      </c>
      <c r="M42" s="52" t="e">
        <f t="shared" si="0"/>
        <v>#N/A</v>
      </c>
      <c r="N42" s="52">
        <f t="shared" si="1"/>
        <v>1</v>
      </c>
      <c r="O42" s="2"/>
      <c r="P42" s="2"/>
      <c r="Q42" s="2"/>
      <c r="R42" s="2"/>
      <c r="S42" s="25"/>
    </row>
    <row r="43" spans="1:19" x14ac:dyDescent="0.25">
      <c r="A43" s="28"/>
      <c r="B43" s="28"/>
      <c r="C43" s="28"/>
      <c r="D43" s="28"/>
      <c r="E43" s="28"/>
      <c r="F43" s="28"/>
      <c r="G43" s="52" t="e">
        <f>IF(M43="","",VLOOKUP(M43,MASTER!$B$11:$C$30,2,0))</f>
        <v>#N/A</v>
      </c>
      <c r="H43" t="s">
        <v>123</v>
      </c>
      <c r="I43" t="s">
        <v>124</v>
      </c>
      <c r="J43" t="s">
        <v>3</v>
      </c>
      <c r="K43">
        <v>1</v>
      </c>
      <c r="L43" t="s">
        <v>40</v>
      </c>
      <c r="M43" s="52" t="e">
        <f t="shared" si="0"/>
        <v>#N/A</v>
      </c>
      <c r="N43" s="52">
        <f t="shared" si="1"/>
        <v>1</v>
      </c>
      <c r="O43" s="2"/>
      <c r="P43" s="2"/>
      <c r="Q43" s="2"/>
      <c r="R43" s="2"/>
      <c r="S43" s="25"/>
    </row>
    <row r="44" spans="1:19" x14ac:dyDescent="0.25">
      <c r="A44" s="28"/>
      <c r="B44" s="28"/>
      <c r="C44" s="28"/>
      <c r="D44" s="28"/>
      <c r="E44" s="28"/>
      <c r="F44" s="28"/>
      <c r="G44" s="52" t="e">
        <f>IF(M44="","",VLOOKUP(M44,MASTER!$B$11:$C$30,2,0))</f>
        <v>#N/A</v>
      </c>
      <c r="H44" t="s">
        <v>125</v>
      </c>
      <c r="I44" t="s">
        <v>126</v>
      </c>
      <c r="J44" t="s">
        <v>3</v>
      </c>
      <c r="K44">
        <v>1</v>
      </c>
      <c r="L44" t="s">
        <v>40</v>
      </c>
      <c r="M44" s="52" t="e">
        <f t="shared" si="0"/>
        <v>#N/A</v>
      </c>
      <c r="N44" s="52">
        <f t="shared" si="1"/>
        <v>1</v>
      </c>
      <c r="O44" s="2"/>
      <c r="P44" s="2"/>
      <c r="Q44" s="2"/>
      <c r="R44" s="2"/>
      <c r="S44" s="25"/>
    </row>
    <row r="45" spans="1:19" x14ac:dyDescent="0.25">
      <c r="A45" s="28"/>
      <c r="B45" s="28"/>
      <c r="C45" s="28"/>
      <c r="D45" s="28"/>
      <c r="E45" s="28"/>
      <c r="F45" s="28"/>
      <c r="G45" s="52" t="e">
        <f>IF(M45="","",VLOOKUP(M45,MASTER!$B$11:$C$30,2,0))</f>
        <v>#N/A</v>
      </c>
      <c r="H45" t="s">
        <v>127</v>
      </c>
      <c r="I45" t="s">
        <v>128</v>
      </c>
      <c r="J45" t="s">
        <v>3</v>
      </c>
      <c r="K45">
        <v>1</v>
      </c>
      <c r="L45" t="s">
        <v>40</v>
      </c>
      <c r="M45" s="52" t="e">
        <f t="shared" si="0"/>
        <v>#N/A</v>
      </c>
      <c r="N45" s="52">
        <f t="shared" si="1"/>
        <v>1</v>
      </c>
      <c r="O45" s="2"/>
      <c r="P45" s="2"/>
      <c r="Q45" s="2"/>
      <c r="R45" s="2"/>
      <c r="S45" s="25"/>
    </row>
    <row r="46" spans="1:19" x14ac:dyDescent="0.25">
      <c r="A46" s="28"/>
      <c r="B46" s="28"/>
      <c r="C46" s="28"/>
      <c r="D46" s="28"/>
      <c r="E46" s="28"/>
      <c r="F46" s="28"/>
      <c r="G46" s="52" t="e">
        <f>IF(M46="","",VLOOKUP(M46,MASTER!$B$11:$C$30,2,0))</f>
        <v>#N/A</v>
      </c>
      <c r="H46" t="s">
        <v>129</v>
      </c>
      <c r="I46" t="s">
        <v>130</v>
      </c>
      <c r="J46" t="s">
        <v>3</v>
      </c>
      <c r="K46">
        <v>1</v>
      </c>
      <c r="L46" t="s">
        <v>40</v>
      </c>
      <c r="M46" s="52" t="e">
        <f t="shared" si="0"/>
        <v>#N/A</v>
      </c>
      <c r="N46" s="52">
        <f t="shared" si="1"/>
        <v>1</v>
      </c>
      <c r="O46" s="2"/>
      <c r="P46" s="2"/>
      <c r="Q46" s="2"/>
      <c r="R46" s="2"/>
      <c r="S46" s="25"/>
    </row>
    <row r="47" spans="1:19" x14ac:dyDescent="0.25">
      <c r="A47" s="28"/>
      <c r="B47" s="28"/>
      <c r="C47" s="28"/>
      <c r="D47" s="28"/>
      <c r="E47" s="28"/>
      <c r="F47" s="28"/>
      <c r="G47" s="52" t="e">
        <f>IF(M47="","",VLOOKUP(M47,MASTER!$B$11:$C$30,2,0))</f>
        <v>#N/A</v>
      </c>
      <c r="H47" t="s">
        <v>131</v>
      </c>
      <c r="I47" t="s">
        <v>132</v>
      </c>
      <c r="J47" t="s">
        <v>3</v>
      </c>
      <c r="K47">
        <v>1</v>
      </c>
      <c r="L47" t="s">
        <v>40</v>
      </c>
      <c r="M47" s="52" t="e">
        <f t="shared" si="0"/>
        <v>#N/A</v>
      </c>
      <c r="N47" s="52">
        <f t="shared" si="1"/>
        <v>1</v>
      </c>
      <c r="O47" s="2"/>
      <c r="P47" s="2"/>
      <c r="Q47" s="2"/>
      <c r="R47" s="2"/>
      <c r="S47" s="25"/>
    </row>
    <row r="48" spans="1:19" x14ac:dyDescent="0.25">
      <c r="A48" s="28"/>
      <c r="B48" s="28"/>
      <c r="C48" s="28"/>
      <c r="D48" s="28"/>
      <c r="E48" s="28"/>
      <c r="F48" s="28"/>
      <c r="G48" s="52" t="e">
        <f>IF(M48="","",VLOOKUP(M48,MASTER!$B$11:$C$30,2,0))</f>
        <v>#N/A</v>
      </c>
      <c r="H48" t="s">
        <v>133</v>
      </c>
      <c r="I48" t="s">
        <v>134</v>
      </c>
      <c r="J48" t="s">
        <v>3</v>
      </c>
      <c r="K48">
        <v>1</v>
      </c>
      <c r="L48" t="s">
        <v>40</v>
      </c>
      <c r="M48" s="52" t="e">
        <f t="shared" si="0"/>
        <v>#N/A</v>
      </c>
      <c r="N48" s="52">
        <f t="shared" si="1"/>
        <v>1</v>
      </c>
      <c r="O48" s="2"/>
      <c r="P48" s="2"/>
      <c r="Q48" s="2"/>
      <c r="R48" s="2"/>
      <c r="S48" s="25"/>
    </row>
    <row r="49" spans="1:19" x14ac:dyDescent="0.25">
      <c r="A49" s="28"/>
      <c r="B49" s="28"/>
      <c r="C49" s="28"/>
      <c r="D49" s="28"/>
      <c r="E49" s="28"/>
      <c r="F49" s="28"/>
      <c r="G49" s="52" t="e">
        <f>IF(M49="","",VLOOKUP(M49,MASTER!$B$11:$C$30,2,0))</f>
        <v>#N/A</v>
      </c>
      <c r="H49" t="s">
        <v>135</v>
      </c>
      <c r="I49" t="s">
        <v>136</v>
      </c>
      <c r="J49" t="s">
        <v>3</v>
      </c>
      <c r="K49">
        <v>1</v>
      </c>
      <c r="L49" t="s">
        <v>40</v>
      </c>
      <c r="M49" s="52" t="e">
        <f t="shared" si="0"/>
        <v>#N/A</v>
      </c>
      <c r="N49" s="52">
        <f t="shared" si="1"/>
        <v>1</v>
      </c>
      <c r="O49" s="2"/>
      <c r="P49" s="2"/>
      <c r="Q49" s="2"/>
      <c r="R49" s="2"/>
      <c r="S49" s="25"/>
    </row>
    <row r="50" spans="1:19" x14ac:dyDescent="0.25">
      <c r="A50" s="28"/>
      <c r="B50" s="28"/>
      <c r="C50" s="28"/>
      <c r="D50" s="28"/>
      <c r="E50" s="28"/>
      <c r="F50" s="28"/>
      <c r="G50" s="52" t="e">
        <f>IF(M50="","",VLOOKUP(M50,MASTER!$B$11:$C$30,2,0))</f>
        <v>#N/A</v>
      </c>
      <c r="H50" t="s">
        <v>137</v>
      </c>
      <c r="I50" t="s">
        <v>138</v>
      </c>
      <c r="J50" t="s">
        <v>3</v>
      </c>
      <c r="K50">
        <v>1</v>
      </c>
      <c r="L50" t="s">
        <v>40</v>
      </c>
      <c r="M50" s="52" t="e">
        <f t="shared" si="0"/>
        <v>#N/A</v>
      </c>
      <c r="N50" s="52">
        <f t="shared" si="1"/>
        <v>1</v>
      </c>
      <c r="O50" s="2"/>
      <c r="P50" s="2"/>
      <c r="Q50" s="2"/>
      <c r="R50" s="2"/>
      <c r="S50" s="25"/>
    </row>
    <row r="51" spans="1:19" x14ac:dyDescent="0.25">
      <c r="A51" s="28"/>
      <c r="B51" s="28"/>
      <c r="C51" s="28"/>
      <c r="D51" s="28"/>
      <c r="E51" s="28"/>
      <c r="F51" s="28"/>
      <c r="G51" s="52" t="e">
        <f>IF(M51="","",VLOOKUP(M51,MASTER!$B$11:$C$30,2,0))</f>
        <v>#N/A</v>
      </c>
      <c r="H51" t="s">
        <v>139</v>
      </c>
      <c r="I51" t="s">
        <v>140</v>
      </c>
      <c r="J51" t="s">
        <v>3</v>
      </c>
      <c r="K51">
        <v>1</v>
      </c>
      <c r="L51" t="s">
        <v>40</v>
      </c>
      <c r="M51" s="52" t="e">
        <f t="shared" si="0"/>
        <v>#N/A</v>
      </c>
      <c r="N51" s="52">
        <f t="shared" si="1"/>
        <v>1</v>
      </c>
      <c r="O51" s="2"/>
      <c r="P51" s="2"/>
      <c r="Q51" s="2"/>
      <c r="R51" s="2"/>
      <c r="S51" s="25"/>
    </row>
    <row r="52" spans="1:19" x14ac:dyDescent="0.25">
      <c r="A52" s="28"/>
      <c r="B52" s="28"/>
      <c r="C52" s="28"/>
      <c r="D52" s="28"/>
      <c r="E52" s="28"/>
      <c r="F52" s="28"/>
      <c r="G52" s="52" t="e">
        <f>IF(M52="","",VLOOKUP(M52,MASTER!$B$11:$C$30,2,0))</f>
        <v>#N/A</v>
      </c>
      <c r="H52" t="s">
        <v>141</v>
      </c>
      <c r="I52" t="s">
        <v>142</v>
      </c>
      <c r="J52" t="s">
        <v>3</v>
      </c>
      <c r="K52">
        <v>1</v>
      </c>
      <c r="L52" t="s">
        <v>40</v>
      </c>
      <c r="M52" s="52" t="e">
        <f t="shared" si="0"/>
        <v>#N/A</v>
      </c>
      <c r="N52" s="52">
        <f t="shared" si="1"/>
        <v>1</v>
      </c>
      <c r="O52" s="2"/>
      <c r="P52" s="2"/>
      <c r="Q52" s="2"/>
      <c r="R52" s="2"/>
      <c r="S52" s="25"/>
    </row>
    <row r="53" spans="1:19" x14ac:dyDescent="0.25">
      <c r="A53" s="28"/>
      <c r="B53" s="28"/>
      <c r="C53" s="28"/>
      <c r="D53" s="28"/>
      <c r="E53" s="28"/>
      <c r="F53" s="28"/>
      <c r="G53" s="52" t="e">
        <f>IF(M53="","",VLOOKUP(M53,MASTER!$B$11:$C$30,2,0))</f>
        <v>#N/A</v>
      </c>
      <c r="H53" t="s">
        <v>143</v>
      </c>
      <c r="I53" t="s">
        <v>144</v>
      </c>
      <c r="J53" t="s">
        <v>3</v>
      </c>
      <c r="K53">
        <v>1</v>
      </c>
      <c r="L53" t="s">
        <v>40</v>
      </c>
      <c r="M53" s="52" t="e">
        <f t="shared" si="0"/>
        <v>#N/A</v>
      </c>
      <c r="N53" s="52">
        <f t="shared" si="1"/>
        <v>1</v>
      </c>
      <c r="O53" s="2"/>
      <c r="P53" s="2"/>
      <c r="Q53" s="2"/>
      <c r="R53" s="2"/>
      <c r="S53" s="25"/>
    </row>
    <row r="54" spans="1:19" x14ac:dyDescent="0.25">
      <c r="A54" s="28"/>
      <c r="B54" s="28"/>
      <c r="C54" s="28"/>
      <c r="D54" s="28"/>
      <c r="E54" s="28"/>
      <c r="F54" s="28"/>
      <c r="G54" s="52" t="e">
        <f>IF(M54="","",VLOOKUP(M54,MASTER!$B$11:$C$30,2,0))</f>
        <v>#N/A</v>
      </c>
      <c r="H54" t="s">
        <v>145</v>
      </c>
      <c r="I54" t="s">
        <v>146</v>
      </c>
      <c r="J54" t="s">
        <v>3</v>
      </c>
      <c r="K54">
        <v>1</v>
      </c>
      <c r="L54" t="s">
        <v>40</v>
      </c>
      <c r="M54" s="52" t="e">
        <f t="shared" si="0"/>
        <v>#N/A</v>
      </c>
      <c r="N54" s="52">
        <f t="shared" si="1"/>
        <v>1</v>
      </c>
      <c r="O54" s="2"/>
      <c r="P54" s="2"/>
      <c r="Q54" s="2"/>
      <c r="R54" s="2"/>
      <c r="S54" s="25"/>
    </row>
    <row r="55" spans="1:19" x14ac:dyDescent="0.25">
      <c r="A55" s="28"/>
      <c r="B55" s="28"/>
      <c r="C55" s="28"/>
      <c r="D55" s="28"/>
      <c r="E55" s="28"/>
      <c r="F55" s="28"/>
      <c r="G55" s="52" t="e">
        <f>IF(M55="","",VLOOKUP(M55,MASTER!$B$11:$C$30,2,0))</f>
        <v>#N/A</v>
      </c>
      <c r="H55" t="s">
        <v>147</v>
      </c>
      <c r="I55" t="s">
        <v>148</v>
      </c>
      <c r="J55" t="s">
        <v>3</v>
      </c>
      <c r="K55">
        <v>1</v>
      </c>
      <c r="L55" t="s">
        <v>40</v>
      </c>
      <c r="M55" s="52" t="e">
        <f t="shared" si="0"/>
        <v>#N/A</v>
      </c>
      <c r="N55" s="52">
        <f t="shared" si="1"/>
        <v>1</v>
      </c>
      <c r="O55" s="2"/>
      <c r="P55" s="2"/>
      <c r="Q55" s="2"/>
      <c r="R55" s="2"/>
      <c r="S55" s="25"/>
    </row>
    <row r="56" spans="1:19" x14ac:dyDescent="0.25">
      <c r="A56" s="28"/>
      <c r="B56" s="28"/>
      <c r="C56" s="28"/>
      <c r="D56" s="28"/>
      <c r="E56" s="28"/>
      <c r="F56" s="28"/>
      <c r="G56" s="52" t="e">
        <f>IF(M56="","",VLOOKUP(M56,MASTER!$B$11:$C$30,2,0))</f>
        <v>#N/A</v>
      </c>
      <c r="H56" t="s">
        <v>149</v>
      </c>
      <c r="I56" t="s">
        <v>150</v>
      </c>
      <c r="J56" t="s">
        <v>3</v>
      </c>
      <c r="K56">
        <v>1</v>
      </c>
      <c r="L56" t="s">
        <v>40</v>
      </c>
      <c r="M56" s="52" t="e">
        <f t="shared" si="0"/>
        <v>#N/A</v>
      </c>
      <c r="N56" s="52">
        <f t="shared" si="1"/>
        <v>1</v>
      </c>
      <c r="O56" s="2"/>
      <c r="P56" s="2"/>
      <c r="Q56" s="2"/>
      <c r="R56" s="2"/>
      <c r="S56" s="25"/>
    </row>
    <row r="57" spans="1:19" x14ac:dyDescent="0.25">
      <c r="A57" s="28"/>
      <c r="B57" s="28"/>
      <c r="C57" s="28"/>
      <c r="D57" s="28"/>
      <c r="E57" s="28"/>
      <c r="F57" s="28"/>
      <c r="G57" s="52" t="e">
        <f>IF(M57="","",VLOOKUP(M57,MASTER!$B$11:$C$30,2,0))</f>
        <v>#N/A</v>
      </c>
      <c r="H57" t="s">
        <v>151</v>
      </c>
      <c r="I57" t="s">
        <v>152</v>
      </c>
      <c r="J57" t="s">
        <v>3</v>
      </c>
      <c r="K57">
        <v>1</v>
      </c>
      <c r="L57" t="s">
        <v>40</v>
      </c>
      <c r="M57" s="52" t="e">
        <f t="shared" si="0"/>
        <v>#N/A</v>
      </c>
      <c r="N57" s="52">
        <f t="shared" si="1"/>
        <v>1</v>
      </c>
      <c r="O57" s="2"/>
      <c r="P57" s="2"/>
      <c r="Q57" s="2"/>
      <c r="R57" s="2"/>
      <c r="S57" s="25"/>
    </row>
    <row r="58" spans="1:19" x14ac:dyDescent="0.25">
      <c r="A58" s="28"/>
      <c r="B58" s="28"/>
      <c r="C58" s="28"/>
      <c r="D58" s="28"/>
      <c r="E58" s="28"/>
      <c r="F58" s="28"/>
      <c r="G58" s="52" t="e">
        <f>IF(M58="","",VLOOKUP(M58,MASTER!$B$11:$C$30,2,0))</f>
        <v>#N/A</v>
      </c>
      <c r="H58" t="s">
        <v>153</v>
      </c>
      <c r="I58" t="s">
        <v>154</v>
      </c>
      <c r="J58" t="s">
        <v>3</v>
      </c>
      <c r="K58">
        <v>1</v>
      </c>
      <c r="L58" t="s">
        <v>40</v>
      </c>
      <c r="M58" s="52" t="e">
        <f t="shared" si="0"/>
        <v>#N/A</v>
      </c>
      <c r="N58" s="52">
        <f t="shared" si="1"/>
        <v>1</v>
      </c>
      <c r="O58" s="2"/>
      <c r="P58" s="2"/>
      <c r="Q58" s="2"/>
      <c r="R58" s="2"/>
      <c r="S58" s="25"/>
    </row>
    <row r="59" spans="1:19" x14ac:dyDescent="0.25">
      <c r="A59" s="28"/>
      <c r="B59" s="28"/>
      <c r="C59" s="28"/>
      <c r="D59" s="28"/>
      <c r="E59" s="28"/>
      <c r="F59" s="28"/>
      <c r="G59" s="52" t="e">
        <f>IF(M59="","",VLOOKUP(M59,MASTER!$B$11:$C$30,2,0))</f>
        <v>#N/A</v>
      </c>
      <c r="H59" t="s">
        <v>155</v>
      </c>
      <c r="I59" t="s">
        <v>156</v>
      </c>
      <c r="J59" t="s">
        <v>3</v>
      </c>
      <c r="K59">
        <v>1</v>
      </c>
      <c r="L59" t="s">
        <v>40</v>
      </c>
      <c r="M59" s="52" t="e">
        <f t="shared" si="0"/>
        <v>#N/A</v>
      </c>
      <c r="N59" s="52">
        <f t="shared" si="1"/>
        <v>1</v>
      </c>
      <c r="O59" s="2"/>
      <c r="P59" s="2"/>
      <c r="Q59" s="2"/>
      <c r="R59" s="2"/>
      <c r="S59" s="25"/>
    </row>
    <row r="60" spans="1:19" x14ac:dyDescent="0.25">
      <c r="A60" s="28"/>
      <c r="B60" s="28"/>
      <c r="C60" s="28"/>
      <c r="D60" s="28"/>
      <c r="E60" s="28"/>
      <c r="F60" s="28"/>
      <c r="G60" s="52" t="e">
        <f>IF(M60="","",VLOOKUP(M60,MASTER!$B$11:$C$30,2,0))</f>
        <v>#N/A</v>
      </c>
      <c r="H60" t="s">
        <v>157</v>
      </c>
      <c r="I60" t="s">
        <v>158</v>
      </c>
      <c r="J60" t="s">
        <v>3</v>
      </c>
      <c r="K60">
        <v>1</v>
      </c>
      <c r="L60" t="s">
        <v>40</v>
      </c>
      <c r="M60" s="52" t="e">
        <f t="shared" si="0"/>
        <v>#N/A</v>
      </c>
      <c r="N60" s="52">
        <f t="shared" si="1"/>
        <v>1</v>
      </c>
      <c r="O60" s="2"/>
      <c r="P60" s="2"/>
      <c r="Q60" s="2"/>
      <c r="R60" s="2"/>
      <c r="S60" s="25"/>
    </row>
    <row r="61" spans="1:19" x14ac:dyDescent="0.25">
      <c r="A61" s="28"/>
      <c r="B61" s="28"/>
      <c r="C61" s="28"/>
      <c r="D61" s="28"/>
      <c r="E61" s="28"/>
      <c r="F61" s="28"/>
      <c r="G61" s="52" t="e">
        <f>IF(M61="","",VLOOKUP(M61,MASTER!$B$11:$C$30,2,0))</f>
        <v>#N/A</v>
      </c>
      <c r="H61" t="s">
        <v>159</v>
      </c>
      <c r="I61" t="s">
        <v>160</v>
      </c>
      <c r="J61" t="s">
        <v>3</v>
      </c>
      <c r="K61">
        <v>1</v>
      </c>
      <c r="L61" t="s">
        <v>40</v>
      </c>
      <c r="M61" s="52" t="e">
        <f t="shared" si="0"/>
        <v>#N/A</v>
      </c>
      <c r="N61" s="52">
        <f t="shared" si="1"/>
        <v>1</v>
      </c>
      <c r="O61" s="2"/>
      <c r="P61" s="2"/>
      <c r="Q61" s="2"/>
      <c r="R61" s="2"/>
      <c r="S61" s="25"/>
    </row>
    <row r="62" spans="1:19" x14ac:dyDescent="0.25">
      <c r="A62" s="28"/>
      <c r="B62" s="28"/>
      <c r="C62" s="28"/>
      <c r="D62" s="28"/>
      <c r="E62" s="28"/>
      <c r="F62" s="28"/>
      <c r="G62" s="52" t="e">
        <f>IF(M62="","",VLOOKUP(M62,MASTER!$B$11:$C$30,2,0))</f>
        <v>#N/A</v>
      </c>
      <c r="H62" t="s">
        <v>161</v>
      </c>
      <c r="I62" t="s">
        <v>162</v>
      </c>
      <c r="J62" t="s">
        <v>3</v>
      </c>
      <c r="K62">
        <v>1</v>
      </c>
      <c r="L62" t="s">
        <v>40</v>
      </c>
      <c r="M62" s="52" t="e">
        <f t="shared" si="0"/>
        <v>#N/A</v>
      </c>
      <c r="N62" s="52">
        <f t="shared" si="1"/>
        <v>1</v>
      </c>
      <c r="O62" s="2"/>
      <c r="P62" s="2"/>
      <c r="Q62" s="2"/>
      <c r="R62" s="2"/>
      <c r="S62" s="25"/>
    </row>
    <row r="63" spans="1:19" x14ac:dyDescent="0.25">
      <c r="A63" s="28"/>
      <c r="B63" s="28"/>
      <c r="C63" s="28"/>
      <c r="D63" s="28"/>
      <c r="E63" s="28"/>
      <c r="F63" s="28"/>
      <c r="G63" s="52" t="e">
        <f>IF(M63="","",VLOOKUP(M63,MASTER!$B$11:$C$30,2,0))</f>
        <v>#N/A</v>
      </c>
      <c r="H63" t="s">
        <v>163</v>
      </c>
      <c r="I63" t="s">
        <v>164</v>
      </c>
      <c r="J63" t="s">
        <v>3</v>
      </c>
      <c r="K63">
        <v>1</v>
      </c>
      <c r="L63" t="s">
        <v>40</v>
      </c>
      <c r="M63" s="52" t="e">
        <f t="shared" si="0"/>
        <v>#N/A</v>
      </c>
      <c r="N63" s="52">
        <f t="shared" si="1"/>
        <v>1</v>
      </c>
      <c r="O63" s="2"/>
      <c r="P63" s="2"/>
      <c r="Q63" s="2"/>
      <c r="R63" s="2"/>
      <c r="S63" s="25"/>
    </row>
    <row r="64" spans="1:19" x14ac:dyDescent="0.25">
      <c r="A64" s="28"/>
      <c r="B64" s="28"/>
      <c r="C64" s="28"/>
      <c r="D64" s="28"/>
      <c r="E64" s="28"/>
      <c r="F64" s="28"/>
      <c r="G64" s="52" t="e">
        <f>IF(M64="","",VLOOKUP(M64,MASTER!$B$11:$C$30,2,0))</f>
        <v>#N/A</v>
      </c>
      <c r="H64" t="s">
        <v>165</v>
      </c>
      <c r="I64" t="s">
        <v>166</v>
      </c>
      <c r="J64" t="s">
        <v>3</v>
      </c>
      <c r="K64">
        <v>1</v>
      </c>
      <c r="L64" t="s">
        <v>40</v>
      </c>
      <c r="M64" s="52" t="e">
        <f t="shared" si="0"/>
        <v>#N/A</v>
      </c>
      <c r="N64" s="52">
        <f t="shared" si="1"/>
        <v>1</v>
      </c>
      <c r="O64" s="2"/>
      <c r="P64" s="2"/>
      <c r="Q64" s="2"/>
      <c r="R64" s="2"/>
      <c r="S64" s="25"/>
    </row>
    <row r="65" spans="1:19" x14ac:dyDescent="0.25">
      <c r="A65" s="28"/>
      <c r="B65" s="28"/>
      <c r="C65" s="28"/>
      <c r="D65" s="28"/>
      <c r="E65" s="28"/>
      <c r="F65" s="28"/>
      <c r="G65" s="52" t="e">
        <f>IF(M65="","",VLOOKUP(M65,MASTER!$B$11:$C$30,2,0))</f>
        <v>#N/A</v>
      </c>
      <c r="H65" t="s">
        <v>167</v>
      </c>
      <c r="I65" t="s">
        <v>168</v>
      </c>
      <c r="J65" t="s">
        <v>3</v>
      </c>
      <c r="K65">
        <v>1</v>
      </c>
      <c r="L65" t="s">
        <v>40</v>
      </c>
      <c r="M65" s="52" t="e">
        <f t="shared" si="0"/>
        <v>#N/A</v>
      </c>
      <c r="N65" s="52">
        <f t="shared" si="1"/>
        <v>1</v>
      </c>
      <c r="O65" s="2"/>
      <c r="P65" s="2"/>
      <c r="Q65" s="2"/>
      <c r="R65" s="2"/>
      <c r="S65" s="25"/>
    </row>
    <row r="66" spans="1:19" x14ac:dyDescent="0.25">
      <c r="A66" s="28"/>
      <c r="B66" s="28"/>
      <c r="C66" s="28"/>
      <c r="D66" s="28"/>
      <c r="E66" s="28"/>
      <c r="F66" s="28"/>
      <c r="G66" s="52" t="e">
        <f>IF(M66="","",VLOOKUP(M66,MASTER!$B$11:$C$30,2,0))</f>
        <v>#N/A</v>
      </c>
      <c r="H66" t="s">
        <v>169</v>
      </c>
      <c r="I66" t="s">
        <v>170</v>
      </c>
      <c r="J66" t="s">
        <v>3</v>
      </c>
      <c r="K66">
        <v>1</v>
      </c>
      <c r="L66" t="s">
        <v>40</v>
      </c>
      <c r="M66" s="52" t="e">
        <f t="shared" si="0"/>
        <v>#N/A</v>
      </c>
      <c r="N66" s="52">
        <f t="shared" si="1"/>
        <v>1</v>
      </c>
      <c r="O66" s="2"/>
      <c r="P66" s="2"/>
      <c r="Q66" s="2"/>
      <c r="R66" s="2"/>
      <c r="S66" s="25"/>
    </row>
    <row r="67" spans="1:19" x14ac:dyDescent="0.25">
      <c r="A67" s="28"/>
      <c r="B67" s="28"/>
      <c r="C67" s="28"/>
      <c r="D67" s="28"/>
      <c r="E67" s="28"/>
      <c r="F67" s="28"/>
      <c r="G67" s="52" t="e">
        <f>IF(M67="","",VLOOKUP(M67,MASTER!$B$11:$C$30,2,0))</f>
        <v>#N/A</v>
      </c>
      <c r="H67" t="s">
        <v>171</v>
      </c>
      <c r="I67" t="s">
        <v>172</v>
      </c>
      <c r="J67" t="s">
        <v>3</v>
      </c>
      <c r="K67">
        <v>1</v>
      </c>
      <c r="L67" t="s">
        <v>40</v>
      </c>
      <c r="M67" s="52" t="e">
        <f t="shared" ref="M67:M130" si="4">IF(L67="","",VLOOKUP(L67,$A$10:$B$29,2,0))</f>
        <v>#N/A</v>
      </c>
      <c r="N67" s="52">
        <f t="shared" ref="N67:N130" si="5">IF(K67="","",K67)</f>
        <v>1</v>
      </c>
      <c r="O67" s="2"/>
      <c r="P67" s="2"/>
      <c r="Q67" s="2"/>
      <c r="R67" s="2"/>
      <c r="S67" s="25"/>
    </row>
    <row r="68" spans="1:19" x14ac:dyDescent="0.25">
      <c r="A68" s="28"/>
      <c r="B68" s="28"/>
      <c r="C68" s="28"/>
      <c r="D68" s="28"/>
      <c r="E68" s="28"/>
      <c r="F68" s="28"/>
      <c r="G68" s="52" t="e">
        <f>IF(M68="","",VLOOKUP(M68,MASTER!$B$11:$C$30,2,0))</f>
        <v>#N/A</v>
      </c>
      <c r="H68" t="s">
        <v>173</v>
      </c>
      <c r="I68" t="s">
        <v>174</v>
      </c>
      <c r="J68" t="s">
        <v>3</v>
      </c>
      <c r="K68">
        <v>1</v>
      </c>
      <c r="L68" t="s">
        <v>40</v>
      </c>
      <c r="M68" s="52" t="e">
        <f t="shared" si="4"/>
        <v>#N/A</v>
      </c>
      <c r="N68" s="52">
        <f t="shared" si="5"/>
        <v>1</v>
      </c>
      <c r="O68" s="2"/>
      <c r="P68" s="2"/>
      <c r="Q68" s="2"/>
      <c r="R68" s="2"/>
      <c r="S68" s="25"/>
    </row>
    <row r="69" spans="1:19" x14ac:dyDescent="0.25">
      <c r="A69" s="28"/>
      <c r="B69" s="28"/>
      <c r="C69" s="28"/>
      <c r="D69" s="28"/>
      <c r="E69" s="28"/>
      <c r="F69" s="28"/>
      <c r="G69" s="52" t="e">
        <f>IF(M69="","",VLOOKUP(M69,MASTER!$B$11:$C$30,2,0))</f>
        <v>#N/A</v>
      </c>
      <c r="H69" t="s">
        <v>175</v>
      </c>
      <c r="I69" t="s">
        <v>176</v>
      </c>
      <c r="J69" t="s">
        <v>3</v>
      </c>
      <c r="K69">
        <v>1</v>
      </c>
      <c r="L69" t="s">
        <v>40</v>
      </c>
      <c r="M69" s="52" t="e">
        <f t="shared" si="4"/>
        <v>#N/A</v>
      </c>
      <c r="N69" s="52">
        <f t="shared" si="5"/>
        <v>1</v>
      </c>
      <c r="O69" s="2"/>
      <c r="P69" s="2"/>
      <c r="Q69" s="2"/>
      <c r="R69" s="2"/>
      <c r="S69" s="25"/>
    </row>
    <row r="70" spans="1:19" x14ac:dyDescent="0.25">
      <c r="A70" s="28"/>
      <c r="B70" s="28"/>
      <c r="C70" s="28"/>
      <c r="D70" s="28"/>
      <c r="E70" s="28"/>
      <c r="F70" s="28"/>
      <c r="G70" s="52" t="e">
        <f>IF(M70="","",VLOOKUP(M70,MASTER!$B$11:$C$30,2,0))</f>
        <v>#N/A</v>
      </c>
      <c r="H70" t="s">
        <v>177</v>
      </c>
      <c r="I70" t="s">
        <v>178</v>
      </c>
      <c r="J70" t="s">
        <v>3</v>
      </c>
      <c r="K70">
        <v>1</v>
      </c>
      <c r="L70" t="s">
        <v>40</v>
      </c>
      <c r="M70" s="52" t="e">
        <f t="shared" si="4"/>
        <v>#N/A</v>
      </c>
      <c r="N70" s="52">
        <f t="shared" si="5"/>
        <v>1</v>
      </c>
      <c r="O70" s="2"/>
      <c r="P70" s="2"/>
      <c r="Q70" s="2"/>
      <c r="R70" s="2"/>
      <c r="S70" s="25"/>
    </row>
    <row r="71" spans="1:19" x14ac:dyDescent="0.25">
      <c r="A71" s="28"/>
      <c r="B71" s="28"/>
      <c r="C71" s="28"/>
      <c r="D71" s="28"/>
      <c r="E71" s="28"/>
      <c r="F71" s="28"/>
      <c r="G71" s="52" t="e">
        <f>IF(M71="","",VLOOKUP(M71,MASTER!$B$11:$C$30,2,0))</f>
        <v>#N/A</v>
      </c>
      <c r="H71" t="s">
        <v>179</v>
      </c>
      <c r="I71" t="s">
        <v>180</v>
      </c>
      <c r="J71" t="s">
        <v>3</v>
      </c>
      <c r="K71">
        <v>1</v>
      </c>
      <c r="L71" t="s">
        <v>40</v>
      </c>
      <c r="M71" s="52" t="e">
        <f t="shared" si="4"/>
        <v>#N/A</v>
      </c>
      <c r="N71" s="52">
        <f t="shared" si="5"/>
        <v>1</v>
      </c>
      <c r="O71" s="2"/>
      <c r="P71" s="2"/>
      <c r="Q71" s="2"/>
      <c r="R71" s="2"/>
      <c r="S71" s="25"/>
    </row>
    <row r="72" spans="1:19" x14ac:dyDescent="0.25">
      <c r="A72" s="28"/>
      <c r="B72" s="28"/>
      <c r="C72" s="28"/>
      <c r="D72" s="28"/>
      <c r="E72" s="28"/>
      <c r="F72" s="28"/>
      <c r="G72" s="52" t="e">
        <f>IF(M72="","",VLOOKUP(M72,MASTER!$B$11:$C$30,2,0))</f>
        <v>#N/A</v>
      </c>
      <c r="H72" t="s">
        <v>181</v>
      </c>
      <c r="I72" t="s">
        <v>182</v>
      </c>
      <c r="J72" t="s">
        <v>3</v>
      </c>
      <c r="K72">
        <v>1</v>
      </c>
      <c r="L72" t="s">
        <v>40</v>
      </c>
      <c r="M72" s="52" t="e">
        <f t="shared" si="4"/>
        <v>#N/A</v>
      </c>
      <c r="N72" s="52">
        <f t="shared" si="5"/>
        <v>1</v>
      </c>
      <c r="O72" s="2"/>
      <c r="P72" s="2"/>
      <c r="Q72" s="2"/>
      <c r="R72" s="2"/>
      <c r="S72" s="25"/>
    </row>
    <row r="73" spans="1:19" x14ac:dyDescent="0.25">
      <c r="A73" s="28"/>
      <c r="B73" s="28"/>
      <c r="C73" s="28"/>
      <c r="D73" s="28"/>
      <c r="E73" s="28"/>
      <c r="F73" s="28"/>
      <c r="G73" s="52" t="e">
        <f>IF(M73="","",VLOOKUP(M73,MASTER!$B$11:$C$30,2,0))</f>
        <v>#N/A</v>
      </c>
      <c r="H73" t="s">
        <v>183</v>
      </c>
      <c r="I73" t="s">
        <v>184</v>
      </c>
      <c r="J73" t="s">
        <v>3</v>
      </c>
      <c r="K73">
        <v>1</v>
      </c>
      <c r="L73" t="s">
        <v>40</v>
      </c>
      <c r="M73" s="52" t="e">
        <f t="shared" si="4"/>
        <v>#N/A</v>
      </c>
      <c r="N73" s="52">
        <f t="shared" si="5"/>
        <v>1</v>
      </c>
      <c r="O73" s="2"/>
      <c r="P73" s="2"/>
      <c r="Q73" s="2"/>
      <c r="R73" s="2"/>
      <c r="S73" s="25"/>
    </row>
    <row r="74" spans="1:19" x14ac:dyDescent="0.25">
      <c r="A74" s="28"/>
      <c r="B74" s="28"/>
      <c r="C74" s="28"/>
      <c r="D74" s="28"/>
      <c r="E74" s="28"/>
      <c r="F74" s="28"/>
      <c r="G74" s="52" t="e">
        <f>IF(M74="","",VLOOKUP(M74,MASTER!$B$11:$C$30,2,0))</f>
        <v>#N/A</v>
      </c>
      <c r="H74" t="s">
        <v>185</v>
      </c>
      <c r="I74" t="s">
        <v>186</v>
      </c>
      <c r="J74" t="s">
        <v>3</v>
      </c>
      <c r="K74">
        <v>1</v>
      </c>
      <c r="L74" t="s">
        <v>40</v>
      </c>
      <c r="M74" s="52" t="e">
        <f t="shared" si="4"/>
        <v>#N/A</v>
      </c>
      <c r="N74" s="52">
        <f t="shared" si="5"/>
        <v>1</v>
      </c>
      <c r="O74" s="2"/>
      <c r="P74" s="2"/>
      <c r="Q74" s="2"/>
      <c r="R74" s="2"/>
      <c r="S74" s="25"/>
    </row>
    <row r="75" spans="1:19" x14ac:dyDescent="0.25">
      <c r="A75" s="28"/>
      <c r="B75" s="28"/>
      <c r="C75" s="28"/>
      <c r="D75" s="28"/>
      <c r="E75" s="28"/>
      <c r="F75" s="28"/>
      <c r="G75" s="52" t="e">
        <f>IF(M75="","",VLOOKUP(M75,MASTER!$B$11:$C$30,2,0))</f>
        <v>#N/A</v>
      </c>
      <c r="H75" t="s">
        <v>187</v>
      </c>
      <c r="I75" t="s">
        <v>188</v>
      </c>
      <c r="J75" t="s">
        <v>3</v>
      </c>
      <c r="K75">
        <v>1</v>
      </c>
      <c r="L75" t="s">
        <v>40</v>
      </c>
      <c r="M75" s="52" t="e">
        <f t="shared" si="4"/>
        <v>#N/A</v>
      </c>
      <c r="N75" s="52">
        <f t="shared" si="5"/>
        <v>1</v>
      </c>
      <c r="O75" s="2"/>
      <c r="P75" s="2"/>
      <c r="Q75" s="2"/>
      <c r="R75" s="2"/>
      <c r="S75" s="25"/>
    </row>
    <row r="76" spans="1:19" x14ac:dyDescent="0.25">
      <c r="A76" s="28"/>
      <c r="B76" s="28"/>
      <c r="C76" s="28"/>
      <c r="D76" s="28"/>
      <c r="E76" s="28"/>
      <c r="F76" s="28"/>
      <c r="G76" s="52" t="e">
        <f>IF(M76="","",VLOOKUP(M76,MASTER!$B$11:$C$30,2,0))</f>
        <v>#N/A</v>
      </c>
      <c r="H76" t="s">
        <v>189</v>
      </c>
      <c r="I76" t="s">
        <v>190</v>
      </c>
      <c r="J76" t="s">
        <v>3</v>
      </c>
      <c r="K76">
        <v>1</v>
      </c>
      <c r="L76" t="s">
        <v>40</v>
      </c>
      <c r="M76" s="52" t="e">
        <f t="shared" si="4"/>
        <v>#N/A</v>
      </c>
      <c r="N76" s="52">
        <f t="shared" si="5"/>
        <v>1</v>
      </c>
      <c r="O76" s="2"/>
      <c r="P76" s="2"/>
      <c r="Q76" s="2"/>
      <c r="R76" s="2"/>
      <c r="S76" s="25"/>
    </row>
    <row r="77" spans="1:19" x14ac:dyDescent="0.25">
      <c r="A77" s="28"/>
      <c r="B77" s="28"/>
      <c r="C77" s="28"/>
      <c r="D77" s="28"/>
      <c r="E77" s="28"/>
      <c r="F77" s="28"/>
      <c r="G77" s="52" t="e">
        <f>IF(M77="","",VLOOKUP(M77,MASTER!$B$11:$C$30,2,0))</f>
        <v>#N/A</v>
      </c>
      <c r="H77" t="s">
        <v>191</v>
      </c>
      <c r="I77" t="s">
        <v>192</v>
      </c>
      <c r="J77" t="s">
        <v>3</v>
      </c>
      <c r="K77">
        <v>1</v>
      </c>
      <c r="L77" t="s">
        <v>40</v>
      </c>
      <c r="M77" s="52" t="e">
        <f t="shared" si="4"/>
        <v>#N/A</v>
      </c>
      <c r="N77" s="52">
        <f t="shared" si="5"/>
        <v>1</v>
      </c>
      <c r="O77" s="2"/>
      <c r="P77" s="2"/>
      <c r="Q77" s="2"/>
      <c r="R77" s="2"/>
      <c r="S77" s="25"/>
    </row>
    <row r="78" spans="1:19" x14ac:dyDescent="0.25">
      <c r="A78" s="28"/>
      <c r="B78" s="28"/>
      <c r="C78" s="28"/>
      <c r="D78" s="28"/>
      <c r="E78" s="28"/>
      <c r="F78" s="28"/>
      <c r="G78" s="52" t="e">
        <f>IF(M78="","",VLOOKUP(M78,MASTER!$B$11:$C$30,2,0))</f>
        <v>#N/A</v>
      </c>
      <c r="H78" t="s">
        <v>193</v>
      </c>
      <c r="I78" t="s">
        <v>194</v>
      </c>
      <c r="J78" t="s">
        <v>3</v>
      </c>
      <c r="K78">
        <v>1</v>
      </c>
      <c r="L78" t="s">
        <v>40</v>
      </c>
      <c r="M78" s="52" t="e">
        <f t="shared" si="4"/>
        <v>#N/A</v>
      </c>
      <c r="N78" s="52">
        <f t="shared" si="5"/>
        <v>1</v>
      </c>
      <c r="O78" s="2"/>
      <c r="P78" s="2"/>
      <c r="Q78" s="2"/>
      <c r="R78" s="2"/>
      <c r="S78" s="25"/>
    </row>
    <row r="79" spans="1:19" x14ac:dyDescent="0.25">
      <c r="A79" s="28"/>
      <c r="B79" s="28"/>
      <c r="C79" s="28"/>
      <c r="D79" s="28"/>
      <c r="E79" s="28"/>
      <c r="F79" s="28"/>
      <c r="G79" s="52" t="e">
        <f>IF(M79="","",VLOOKUP(M79,MASTER!$B$11:$C$30,2,0))</f>
        <v>#N/A</v>
      </c>
      <c r="H79" t="s">
        <v>195</v>
      </c>
      <c r="I79" t="s">
        <v>196</v>
      </c>
      <c r="J79" t="s">
        <v>3</v>
      </c>
      <c r="K79">
        <v>1</v>
      </c>
      <c r="L79" t="s">
        <v>40</v>
      </c>
      <c r="M79" s="52" t="e">
        <f t="shared" si="4"/>
        <v>#N/A</v>
      </c>
      <c r="N79" s="52">
        <f t="shared" si="5"/>
        <v>1</v>
      </c>
      <c r="O79" s="2"/>
      <c r="P79" s="2"/>
      <c r="Q79" s="2"/>
      <c r="R79" s="2"/>
      <c r="S79" s="25"/>
    </row>
    <row r="80" spans="1:19" x14ac:dyDescent="0.25">
      <c r="A80" s="28"/>
      <c r="B80" s="28"/>
      <c r="C80" s="28"/>
      <c r="D80" s="28"/>
      <c r="E80" s="28"/>
      <c r="F80" s="28"/>
      <c r="G80" s="52" t="e">
        <f>IF(M80="","",VLOOKUP(M80,MASTER!$B$11:$C$30,2,0))</f>
        <v>#N/A</v>
      </c>
      <c r="H80" t="s">
        <v>197</v>
      </c>
      <c r="I80" t="s">
        <v>198</v>
      </c>
      <c r="J80" t="s">
        <v>3</v>
      </c>
      <c r="K80">
        <v>1</v>
      </c>
      <c r="L80" t="s">
        <v>40</v>
      </c>
      <c r="M80" s="52" t="e">
        <f t="shared" si="4"/>
        <v>#N/A</v>
      </c>
      <c r="N80" s="52">
        <f t="shared" si="5"/>
        <v>1</v>
      </c>
      <c r="O80" s="2"/>
      <c r="P80" s="2"/>
      <c r="Q80" s="2"/>
      <c r="R80" s="2"/>
      <c r="S80" s="25"/>
    </row>
    <row r="81" spans="1:19" x14ac:dyDescent="0.25">
      <c r="A81" s="28"/>
      <c r="B81" s="28"/>
      <c r="C81" s="28"/>
      <c r="D81" s="28"/>
      <c r="E81" s="28"/>
      <c r="F81" s="28"/>
      <c r="G81" s="52" t="e">
        <f>IF(M81="","",VLOOKUP(M81,MASTER!$B$11:$C$30,2,0))</f>
        <v>#N/A</v>
      </c>
      <c r="H81" t="s">
        <v>199</v>
      </c>
      <c r="I81" t="s">
        <v>200</v>
      </c>
      <c r="J81" t="s">
        <v>3</v>
      </c>
      <c r="K81">
        <v>1</v>
      </c>
      <c r="L81" t="s">
        <v>40</v>
      </c>
      <c r="M81" s="52" t="e">
        <f t="shared" si="4"/>
        <v>#N/A</v>
      </c>
      <c r="N81" s="52">
        <f t="shared" si="5"/>
        <v>1</v>
      </c>
      <c r="O81" s="2"/>
      <c r="P81" s="2"/>
      <c r="Q81" s="2"/>
      <c r="R81" s="2"/>
      <c r="S81" s="25"/>
    </row>
    <row r="82" spans="1:19" x14ac:dyDescent="0.25">
      <c r="A82" s="28"/>
      <c r="B82" s="28"/>
      <c r="C82" s="28"/>
      <c r="D82" s="28"/>
      <c r="E82" s="28"/>
      <c r="F82" s="28"/>
      <c r="G82" s="52" t="e">
        <f>IF(M82="","",VLOOKUP(M82,MASTER!$B$11:$C$30,2,0))</f>
        <v>#N/A</v>
      </c>
      <c r="H82" t="s">
        <v>201</v>
      </c>
      <c r="I82" t="s">
        <v>202</v>
      </c>
      <c r="J82" t="s">
        <v>3</v>
      </c>
      <c r="K82">
        <v>1</v>
      </c>
      <c r="L82" t="s">
        <v>40</v>
      </c>
      <c r="M82" s="52" t="e">
        <f t="shared" si="4"/>
        <v>#N/A</v>
      </c>
      <c r="N82" s="52">
        <f t="shared" si="5"/>
        <v>1</v>
      </c>
      <c r="O82" s="2"/>
      <c r="P82" s="2"/>
      <c r="Q82" s="2"/>
      <c r="R82" s="2"/>
      <c r="S82" s="25"/>
    </row>
    <row r="83" spans="1:19" x14ac:dyDescent="0.25">
      <c r="A83" s="28"/>
      <c r="B83" s="28"/>
      <c r="C83" s="28"/>
      <c r="D83" s="28"/>
      <c r="E83" s="28"/>
      <c r="F83" s="28"/>
      <c r="G83" s="52" t="e">
        <f>IF(M83="","",VLOOKUP(M83,MASTER!$B$11:$C$30,2,0))</f>
        <v>#N/A</v>
      </c>
      <c r="H83" t="s">
        <v>203</v>
      </c>
      <c r="I83" t="s">
        <v>204</v>
      </c>
      <c r="J83" t="s">
        <v>3</v>
      </c>
      <c r="K83">
        <v>1</v>
      </c>
      <c r="L83" t="s">
        <v>40</v>
      </c>
      <c r="M83" s="52" t="e">
        <f t="shared" si="4"/>
        <v>#N/A</v>
      </c>
      <c r="N83" s="52">
        <f t="shared" si="5"/>
        <v>1</v>
      </c>
      <c r="O83" s="2"/>
      <c r="P83" s="2"/>
      <c r="Q83" s="2"/>
      <c r="R83" s="2"/>
      <c r="S83" s="25"/>
    </row>
    <row r="84" spans="1:19" x14ac:dyDescent="0.25">
      <c r="A84" s="28"/>
      <c r="B84" s="28"/>
      <c r="C84" s="28"/>
      <c r="D84" s="28"/>
      <c r="E84" s="28"/>
      <c r="F84" s="28"/>
      <c r="G84" s="52" t="e">
        <f>IF(M84="","",VLOOKUP(M84,MASTER!$B$11:$C$30,2,0))</f>
        <v>#N/A</v>
      </c>
      <c r="H84" t="s">
        <v>205</v>
      </c>
      <c r="I84" t="s">
        <v>206</v>
      </c>
      <c r="J84" t="s">
        <v>3</v>
      </c>
      <c r="K84">
        <v>1</v>
      </c>
      <c r="L84" t="s">
        <v>40</v>
      </c>
      <c r="M84" s="52" t="e">
        <f t="shared" si="4"/>
        <v>#N/A</v>
      </c>
      <c r="N84" s="52">
        <f t="shared" si="5"/>
        <v>1</v>
      </c>
      <c r="O84" s="2"/>
      <c r="P84" s="2"/>
      <c r="Q84" s="2"/>
      <c r="R84" s="2"/>
      <c r="S84" s="25"/>
    </row>
    <row r="85" spans="1:19" x14ac:dyDescent="0.25">
      <c r="A85" s="28"/>
      <c r="B85" s="28"/>
      <c r="C85" s="28"/>
      <c r="D85" s="28"/>
      <c r="E85" s="28"/>
      <c r="F85" s="28"/>
      <c r="G85" s="52" t="e">
        <f>IF(M85="","",VLOOKUP(M85,MASTER!$B$11:$C$30,2,0))</f>
        <v>#N/A</v>
      </c>
      <c r="H85" t="s">
        <v>207</v>
      </c>
      <c r="I85" t="s">
        <v>208</v>
      </c>
      <c r="J85" t="s">
        <v>3</v>
      </c>
      <c r="K85">
        <v>1</v>
      </c>
      <c r="L85" t="s">
        <v>40</v>
      </c>
      <c r="M85" s="52" t="e">
        <f t="shared" si="4"/>
        <v>#N/A</v>
      </c>
      <c r="N85" s="52">
        <f t="shared" si="5"/>
        <v>1</v>
      </c>
      <c r="O85" s="2"/>
      <c r="P85" s="2"/>
      <c r="Q85" s="2"/>
      <c r="R85" s="2"/>
      <c r="S85" s="25"/>
    </row>
    <row r="86" spans="1:19" x14ac:dyDescent="0.25">
      <c r="A86" s="28"/>
      <c r="B86" s="28"/>
      <c r="C86" s="28"/>
      <c r="D86" s="28"/>
      <c r="E86" s="28"/>
      <c r="F86" s="28"/>
      <c r="G86" s="52" t="e">
        <f>IF(M86="","",VLOOKUP(M86,MASTER!$B$11:$C$30,2,0))</f>
        <v>#N/A</v>
      </c>
      <c r="H86" t="s">
        <v>209</v>
      </c>
      <c r="I86" t="s">
        <v>210</v>
      </c>
      <c r="J86" t="s">
        <v>3</v>
      </c>
      <c r="K86">
        <v>1</v>
      </c>
      <c r="L86" t="s">
        <v>40</v>
      </c>
      <c r="M86" s="52" t="e">
        <f t="shared" si="4"/>
        <v>#N/A</v>
      </c>
      <c r="N86" s="52">
        <f t="shared" si="5"/>
        <v>1</v>
      </c>
      <c r="O86" s="2"/>
      <c r="P86" s="2"/>
      <c r="Q86" s="2"/>
      <c r="R86" s="2"/>
      <c r="S86" s="25"/>
    </row>
    <row r="87" spans="1:19" x14ac:dyDescent="0.25">
      <c r="A87" s="28"/>
      <c r="B87" s="28"/>
      <c r="C87" s="28"/>
      <c r="D87" s="28"/>
      <c r="E87" s="28"/>
      <c r="F87" s="28"/>
      <c r="G87" s="52" t="e">
        <f>IF(M87="","",VLOOKUP(M87,MASTER!$B$11:$C$30,2,0))</f>
        <v>#N/A</v>
      </c>
      <c r="H87" t="s">
        <v>211</v>
      </c>
      <c r="I87" t="s">
        <v>212</v>
      </c>
      <c r="J87" t="s">
        <v>3</v>
      </c>
      <c r="K87">
        <v>1</v>
      </c>
      <c r="L87" t="s">
        <v>40</v>
      </c>
      <c r="M87" s="52" t="e">
        <f t="shared" si="4"/>
        <v>#N/A</v>
      </c>
      <c r="N87" s="52">
        <f t="shared" si="5"/>
        <v>1</v>
      </c>
      <c r="O87" s="2"/>
      <c r="P87" s="2"/>
      <c r="Q87" s="2"/>
      <c r="R87" s="2"/>
      <c r="S87" s="25"/>
    </row>
    <row r="88" spans="1:19" x14ac:dyDescent="0.25">
      <c r="A88" s="28"/>
      <c r="B88" s="28"/>
      <c r="C88" s="28"/>
      <c r="D88" s="28"/>
      <c r="E88" s="28"/>
      <c r="F88" s="28"/>
      <c r="G88" s="52" t="e">
        <f>IF(M88="","",VLOOKUP(M88,MASTER!$B$11:$C$30,2,0))</f>
        <v>#N/A</v>
      </c>
      <c r="H88" t="s">
        <v>213</v>
      </c>
      <c r="I88" t="s">
        <v>214</v>
      </c>
      <c r="J88" t="s">
        <v>3</v>
      </c>
      <c r="K88">
        <v>1</v>
      </c>
      <c r="L88" t="s">
        <v>40</v>
      </c>
      <c r="M88" s="52" t="e">
        <f t="shared" si="4"/>
        <v>#N/A</v>
      </c>
      <c r="N88" s="52">
        <f t="shared" si="5"/>
        <v>1</v>
      </c>
      <c r="O88" s="2"/>
      <c r="P88" s="2"/>
      <c r="Q88" s="2"/>
      <c r="R88" s="2"/>
      <c r="S88" s="25"/>
    </row>
    <row r="89" spans="1:19" x14ac:dyDescent="0.25">
      <c r="A89" s="28"/>
      <c r="B89" s="28"/>
      <c r="C89" s="28"/>
      <c r="D89" s="28"/>
      <c r="E89" s="28"/>
      <c r="F89" s="28"/>
      <c r="G89" s="52" t="e">
        <f>IF(M89="","",VLOOKUP(M89,MASTER!$B$11:$C$30,2,0))</f>
        <v>#N/A</v>
      </c>
      <c r="H89" t="s">
        <v>215</v>
      </c>
      <c r="I89" t="s">
        <v>216</v>
      </c>
      <c r="J89" t="s">
        <v>3</v>
      </c>
      <c r="K89">
        <v>1</v>
      </c>
      <c r="L89" t="s">
        <v>40</v>
      </c>
      <c r="M89" s="52" t="e">
        <f t="shared" si="4"/>
        <v>#N/A</v>
      </c>
      <c r="N89" s="52">
        <f t="shared" si="5"/>
        <v>1</v>
      </c>
      <c r="O89" s="2"/>
      <c r="P89" s="2"/>
      <c r="Q89" s="2"/>
      <c r="R89" s="2"/>
      <c r="S89" s="25"/>
    </row>
    <row r="90" spans="1:19" x14ac:dyDescent="0.25">
      <c r="A90" s="28"/>
      <c r="B90" s="28"/>
      <c r="C90" s="28"/>
      <c r="D90" s="28"/>
      <c r="E90" s="28"/>
      <c r="F90" s="28"/>
      <c r="G90" s="52" t="e">
        <f>IF(M90="","",VLOOKUP(M90,MASTER!$B$11:$C$30,2,0))</f>
        <v>#N/A</v>
      </c>
      <c r="H90" t="s">
        <v>217</v>
      </c>
      <c r="I90" t="s">
        <v>218</v>
      </c>
      <c r="J90" t="s">
        <v>3</v>
      </c>
      <c r="K90">
        <v>1</v>
      </c>
      <c r="L90" t="s">
        <v>40</v>
      </c>
      <c r="M90" s="52" t="e">
        <f t="shared" si="4"/>
        <v>#N/A</v>
      </c>
      <c r="N90" s="52">
        <f t="shared" si="5"/>
        <v>1</v>
      </c>
      <c r="O90" s="2"/>
      <c r="P90" s="2"/>
      <c r="Q90" s="2"/>
      <c r="R90" s="2"/>
      <c r="S90" s="25"/>
    </row>
    <row r="91" spans="1:19" x14ac:dyDescent="0.25">
      <c r="A91" s="28"/>
      <c r="B91" s="28"/>
      <c r="C91" s="28"/>
      <c r="D91" s="28"/>
      <c r="E91" s="28"/>
      <c r="F91" s="28"/>
      <c r="G91" s="52" t="e">
        <f>IF(M91="","",VLOOKUP(M91,MASTER!$B$11:$C$30,2,0))</f>
        <v>#N/A</v>
      </c>
      <c r="H91" t="s">
        <v>219</v>
      </c>
      <c r="I91" t="s">
        <v>220</v>
      </c>
      <c r="J91" t="s">
        <v>3</v>
      </c>
      <c r="K91">
        <v>1</v>
      </c>
      <c r="L91" t="s">
        <v>40</v>
      </c>
      <c r="M91" s="52" t="e">
        <f t="shared" si="4"/>
        <v>#N/A</v>
      </c>
      <c r="N91" s="52">
        <f t="shared" si="5"/>
        <v>1</v>
      </c>
      <c r="O91" s="2"/>
      <c r="P91" s="2"/>
      <c r="Q91" s="2"/>
      <c r="R91" s="2"/>
      <c r="S91" s="25"/>
    </row>
    <row r="92" spans="1:19" x14ac:dyDescent="0.25">
      <c r="A92" s="28"/>
      <c r="B92" s="28"/>
      <c r="C92" s="28"/>
      <c r="D92" s="28"/>
      <c r="E92" s="28"/>
      <c r="F92" s="28"/>
      <c r="G92" s="52" t="e">
        <f>IF(M92="","",VLOOKUP(M92,MASTER!$B$11:$C$30,2,0))</f>
        <v>#N/A</v>
      </c>
      <c r="H92" t="s">
        <v>221</v>
      </c>
      <c r="I92" t="s">
        <v>222</v>
      </c>
      <c r="J92" t="s">
        <v>3</v>
      </c>
      <c r="K92">
        <v>1</v>
      </c>
      <c r="L92" t="s">
        <v>40</v>
      </c>
      <c r="M92" s="52" t="e">
        <f t="shared" si="4"/>
        <v>#N/A</v>
      </c>
      <c r="N92" s="52">
        <f t="shared" si="5"/>
        <v>1</v>
      </c>
      <c r="O92" s="2"/>
      <c r="P92" s="2"/>
      <c r="Q92" s="2"/>
      <c r="R92" s="2"/>
      <c r="S92" s="25"/>
    </row>
    <row r="93" spans="1:19" x14ac:dyDescent="0.25">
      <c r="A93" s="28"/>
      <c r="B93" s="28"/>
      <c r="C93" s="28"/>
      <c r="D93" s="28"/>
      <c r="E93" s="28"/>
      <c r="F93" s="28"/>
      <c r="G93" s="52" t="e">
        <f>IF(M93="","",VLOOKUP(M93,MASTER!$B$11:$C$30,2,0))</f>
        <v>#N/A</v>
      </c>
      <c r="H93" t="s">
        <v>223</v>
      </c>
      <c r="I93" t="s">
        <v>224</v>
      </c>
      <c r="J93" t="s">
        <v>3</v>
      </c>
      <c r="K93">
        <v>1</v>
      </c>
      <c r="L93" t="s">
        <v>40</v>
      </c>
      <c r="M93" s="52" t="e">
        <f t="shared" si="4"/>
        <v>#N/A</v>
      </c>
      <c r="N93" s="52">
        <f t="shared" si="5"/>
        <v>1</v>
      </c>
      <c r="O93" s="2"/>
      <c r="P93" s="2"/>
      <c r="Q93" s="2"/>
      <c r="R93" s="2"/>
      <c r="S93" s="25"/>
    </row>
    <row r="94" spans="1:19" x14ac:dyDescent="0.25">
      <c r="A94" s="28"/>
      <c r="B94" s="28"/>
      <c r="C94" s="28"/>
      <c r="D94" s="28"/>
      <c r="E94" s="28"/>
      <c r="F94" s="28"/>
      <c r="G94" s="52" t="e">
        <f>IF(M94="","",VLOOKUP(M94,MASTER!$B$11:$C$30,2,0))</f>
        <v>#N/A</v>
      </c>
      <c r="H94" t="s">
        <v>225</v>
      </c>
      <c r="I94" t="s">
        <v>226</v>
      </c>
      <c r="J94" t="s">
        <v>3</v>
      </c>
      <c r="K94">
        <v>1</v>
      </c>
      <c r="L94" t="s">
        <v>40</v>
      </c>
      <c r="M94" s="52" t="e">
        <f t="shared" si="4"/>
        <v>#N/A</v>
      </c>
      <c r="N94" s="52">
        <f t="shared" si="5"/>
        <v>1</v>
      </c>
      <c r="O94" s="2"/>
      <c r="P94" s="2"/>
      <c r="Q94" s="2"/>
      <c r="R94" s="2"/>
      <c r="S94" s="25"/>
    </row>
    <row r="95" spans="1:19" x14ac:dyDescent="0.25">
      <c r="A95" s="28"/>
      <c r="B95" s="28"/>
      <c r="C95" s="28"/>
      <c r="D95" s="28"/>
      <c r="E95" s="28"/>
      <c r="F95" s="28"/>
      <c r="G95" s="52" t="e">
        <f>IF(M95="","",VLOOKUP(M95,MASTER!$B$11:$C$30,2,0))</f>
        <v>#N/A</v>
      </c>
      <c r="H95" t="s">
        <v>227</v>
      </c>
      <c r="I95" t="s">
        <v>228</v>
      </c>
      <c r="J95" t="s">
        <v>3</v>
      </c>
      <c r="K95">
        <v>1</v>
      </c>
      <c r="L95" t="s">
        <v>40</v>
      </c>
      <c r="M95" s="52" t="e">
        <f t="shared" si="4"/>
        <v>#N/A</v>
      </c>
      <c r="N95" s="52">
        <f t="shared" si="5"/>
        <v>1</v>
      </c>
      <c r="O95" s="2"/>
      <c r="P95" s="2"/>
      <c r="Q95" s="2"/>
      <c r="R95" s="2"/>
      <c r="S95" s="25"/>
    </row>
    <row r="96" spans="1:19" x14ac:dyDescent="0.25">
      <c r="A96" s="28"/>
      <c r="B96" s="28"/>
      <c r="C96" s="28"/>
      <c r="D96" s="28"/>
      <c r="E96" s="28"/>
      <c r="F96" s="28"/>
      <c r="G96" s="52" t="e">
        <f>IF(M96="","",VLOOKUP(M96,MASTER!$B$11:$C$30,2,0))</f>
        <v>#N/A</v>
      </c>
      <c r="H96" t="s">
        <v>229</v>
      </c>
      <c r="I96" t="s">
        <v>230</v>
      </c>
      <c r="J96" t="s">
        <v>3</v>
      </c>
      <c r="K96">
        <v>1</v>
      </c>
      <c r="L96" t="s">
        <v>40</v>
      </c>
      <c r="M96" s="52" t="e">
        <f t="shared" si="4"/>
        <v>#N/A</v>
      </c>
      <c r="N96" s="52">
        <f t="shared" si="5"/>
        <v>1</v>
      </c>
      <c r="O96" s="2"/>
      <c r="P96" s="2"/>
      <c r="Q96" s="2"/>
      <c r="R96" s="2"/>
      <c r="S96" s="25"/>
    </row>
    <row r="97" spans="1:19" x14ac:dyDescent="0.25">
      <c r="A97" s="28"/>
      <c r="B97" s="28"/>
      <c r="C97" s="28"/>
      <c r="D97" s="28"/>
      <c r="E97" s="28"/>
      <c r="F97" s="28"/>
      <c r="G97" s="52" t="e">
        <f>IF(M97="","",VLOOKUP(M97,MASTER!$B$11:$C$30,2,0))</f>
        <v>#N/A</v>
      </c>
      <c r="H97" t="s">
        <v>231</v>
      </c>
      <c r="I97" t="s">
        <v>232</v>
      </c>
      <c r="J97" t="s">
        <v>3</v>
      </c>
      <c r="K97">
        <v>1</v>
      </c>
      <c r="L97" t="s">
        <v>40</v>
      </c>
      <c r="M97" s="52" t="e">
        <f t="shared" si="4"/>
        <v>#N/A</v>
      </c>
      <c r="N97" s="52">
        <f t="shared" si="5"/>
        <v>1</v>
      </c>
      <c r="O97" s="2"/>
      <c r="P97" s="2"/>
      <c r="Q97" s="2"/>
      <c r="R97" s="2"/>
      <c r="S97" s="25"/>
    </row>
    <row r="98" spans="1:19" x14ac:dyDescent="0.25">
      <c r="A98" s="28"/>
      <c r="B98" s="28"/>
      <c r="C98" s="28"/>
      <c r="D98" s="28"/>
      <c r="E98" s="28"/>
      <c r="F98" s="28"/>
      <c r="G98" s="52" t="e">
        <f>IF(M98="","",VLOOKUP(M98,MASTER!$B$11:$C$30,2,0))</f>
        <v>#N/A</v>
      </c>
      <c r="H98" t="s">
        <v>233</v>
      </c>
      <c r="I98" t="s">
        <v>234</v>
      </c>
      <c r="J98" t="s">
        <v>3</v>
      </c>
      <c r="K98">
        <v>1</v>
      </c>
      <c r="L98" t="s">
        <v>40</v>
      </c>
      <c r="M98" s="52" t="e">
        <f t="shared" si="4"/>
        <v>#N/A</v>
      </c>
      <c r="N98" s="52">
        <f t="shared" si="5"/>
        <v>1</v>
      </c>
      <c r="O98" s="2"/>
      <c r="P98" s="2"/>
      <c r="Q98" s="2"/>
      <c r="R98" s="2"/>
      <c r="S98" s="25"/>
    </row>
    <row r="99" spans="1:19" x14ac:dyDescent="0.25">
      <c r="A99" s="28"/>
      <c r="B99" s="28"/>
      <c r="C99" s="28"/>
      <c r="D99" s="28"/>
      <c r="E99" s="28"/>
      <c r="F99" s="28"/>
      <c r="G99" s="52" t="e">
        <f>IF(M99="","",VLOOKUP(M99,MASTER!$B$11:$C$30,2,0))</f>
        <v>#N/A</v>
      </c>
      <c r="H99" t="s">
        <v>235</v>
      </c>
      <c r="I99" t="s">
        <v>236</v>
      </c>
      <c r="J99" t="s">
        <v>3</v>
      </c>
      <c r="K99">
        <v>1</v>
      </c>
      <c r="L99" t="s">
        <v>40</v>
      </c>
      <c r="M99" s="52" t="e">
        <f t="shared" si="4"/>
        <v>#N/A</v>
      </c>
      <c r="N99" s="52">
        <f t="shared" si="5"/>
        <v>1</v>
      </c>
      <c r="O99" s="2"/>
      <c r="P99" s="2"/>
      <c r="Q99" s="2"/>
      <c r="R99" s="2"/>
      <c r="S99" s="25"/>
    </row>
    <row r="100" spans="1:19" x14ac:dyDescent="0.25">
      <c r="A100" s="28"/>
      <c r="B100" s="28"/>
      <c r="C100" s="28"/>
      <c r="D100" s="28"/>
      <c r="E100" s="28"/>
      <c r="F100" s="28"/>
      <c r="G100" s="52" t="e">
        <f>IF(M100="","",VLOOKUP(M100,MASTER!$B$11:$C$30,2,0))</f>
        <v>#N/A</v>
      </c>
      <c r="H100" t="s">
        <v>237</v>
      </c>
      <c r="I100" t="s">
        <v>238</v>
      </c>
      <c r="J100" t="s">
        <v>3</v>
      </c>
      <c r="K100">
        <v>1</v>
      </c>
      <c r="L100" t="s">
        <v>40</v>
      </c>
      <c r="M100" s="52" t="e">
        <f t="shared" si="4"/>
        <v>#N/A</v>
      </c>
      <c r="N100" s="52">
        <f t="shared" si="5"/>
        <v>1</v>
      </c>
      <c r="O100" s="2"/>
      <c r="P100" s="2"/>
      <c r="Q100" s="2"/>
      <c r="R100" s="2"/>
      <c r="S100" s="25"/>
    </row>
    <row r="101" spans="1:19" x14ac:dyDescent="0.25">
      <c r="A101" s="28"/>
      <c r="B101" s="28"/>
      <c r="C101" s="28"/>
      <c r="D101" s="28"/>
      <c r="E101" s="28"/>
      <c r="F101" s="28"/>
      <c r="G101" s="52" t="e">
        <f>IF(M101="","",VLOOKUP(M101,MASTER!$B$11:$C$30,2,0))</f>
        <v>#N/A</v>
      </c>
      <c r="H101" t="s">
        <v>239</v>
      </c>
      <c r="I101" t="s">
        <v>240</v>
      </c>
      <c r="J101" t="s">
        <v>3</v>
      </c>
      <c r="K101">
        <v>1</v>
      </c>
      <c r="L101" t="s">
        <v>40</v>
      </c>
      <c r="M101" s="52" t="e">
        <f t="shared" si="4"/>
        <v>#N/A</v>
      </c>
      <c r="N101" s="52">
        <f t="shared" si="5"/>
        <v>1</v>
      </c>
      <c r="O101" s="2"/>
      <c r="P101" s="2"/>
      <c r="Q101" s="2"/>
      <c r="R101" s="2"/>
      <c r="S101" s="25"/>
    </row>
    <row r="102" spans="1:19" x14ac:dyDescent="0.25">
      <c r="A102" s="28"/>
      <c r="B102" s="28"/>
      <c r="C102" s="28"/>
      <c r="D102" s="28"/>
      <c r="E102" s="28"/>
      <c r="F102" s="28"/>
      <c r="G102" s="52" t="e">
        <f>IF(M102="","",VLOOKUP(M102,MASTER!$B$11:$C$30,2,0))</f>
        <v>#N/A</v>
      </c>
      <c r="H102" t="s">
        <v>241</v>
      </c>
      <c r="I102" t="s">
        <v>242</v>
      </c>
      <c r="J102" t="s">
        <v>3</v>
      </c>
      <c r="K102">
        <v>1</v>
      </c>
      <c r="L102" t="s">
        <v>40</v>
      </c>
      <c r="M102" s="52" t="e">
        <f t="shared" si="4"/>
        <v>#N/A</v>
      </c>
      <c r="N102" s="52">
        <f t="shared" si="5"/>
        <v>1</v>
      </c>
      <c r="O102" s="2"/>
      <c r="P102" s="2"/>
      <c r="Q102" s="2"/>
      <c r="R102" s="2"/>
      <c r="S102" s="25"/>
    </row>
    <row r="103" spans="1:19" x14ac:dyDescent="0.25">
      <c r="A103" s="28"/>
      <c r="B103" s="28"/>
      <c r="C103" s="28"/>
      <c r="D103" s="28"/>
      <c r="E103" s="28"/>
      <c r="F103" s="28"/>
      <c r="G103" s="52" t="e">
        <f>IF(M103="","",VLOOKUP(M103,MASTER!$B$11:$C$30,2,0))</f>
        <v>#N/A</v>
      </c>
      <c r="H103" t="s">
        <v>243</v>
      </c>
      <c r="I103" t="s">
        <v>244</v>
      </c>
      <c r="J103" t="s">
        <v>3</v>
      </c>
      <c r="K103">
        <v>1</v>
      </c>
      <c r="L103" t="s">
        <v>40</v>
      </c>
      <c r="M103" s="52" t="e">
        <f t="shared" si="4"/>
        <v>#N/A</v>
      </c>
      <c r="N103" s="52">
        <f t="shared" si="5"/>
        <v>1</v>
      </c>
      <c r="O103" s="2"/>
      <c r="P103" s="2"/>
      <c r="Q103" s="2"/>
      <c r="R103" s="2"/>
      <c r="S103" s="25"/>
    </row>
    <row r="104" spans="1:19" x14ac:dyDescent="0.25">
      <c r="A104" s="28"/>
      <c r="B104" s="28"/>
      <c r="C104" s="28"/>
      <c r="D104" s="28"/>
      <c r="E104" s="28"/>
      <c r="F104" s="28"/>
      <c r="G104" s="52" t="e">
        <f>IF(M104="","",VLOOKUP(M104,MASTER!$B$11:$C$30,2,0))</f>
        <v>#N/A</v>
      </c>
      <c r="H104" t="s">
        <v>245</v>
      </c>
      <c r="I104" t="s">
        <v>246</v>
      </c>
      <c r="J104" t="s">
        <v>3</v>
      </c>
      <c r="K104">
        <v>1</v>
      </c>
      <c r="L104" t="s">
        <v>40</v>
      </c>
      <c r="M104" s="52" t="e">
        <f t="shared" si="4"/>
        <v>#N/A</v>
      </c>
      <c r="N104" s="52">
        <f t="shared" si="5"/>
        <v>1</v>
      </c>
      <c r="O104" s="2"/>
      <c r="P104" s="2"/>
      <c r="Q104" s="2"/>
      <c r="R104" s="2"/>
      <c r="S104" s="25"/>
    </row>
    <row r="105" spans="1:19" x14ac:dyDescent="0.25">
      <c r="A105" s="28"/>
      <c r="B105" s="28"/>
      <c r="C105" s="28"/>
      <c r="D105" s="28"/>
      <c r="E105" s="28"/>
      <c r="F105" s="28"/>
      <c r="G105" s="52" t="e">
        <f>IF(M105="","",VLOOKUP(M105,MASTER!$B$11:$C$30,2,0))</f>
        <v>#N/A</v>
      </c>
      <c r="H105" t="s">
        <v>247</v>
      </c>
      <c r="I105" t="s">
        <v>248</v>
      </c>
      <c r="J105" t="s">
        <v>3</v>
      </c>
      <c r="K105">
        <v>1</v>
      </c>
      <c r="L105" t="s">
        <v>40</v>
      </c>
      <c r="M105" s="52" t="e">
        <f t="shared" si="4"/>
        <v>#N/A</v>
      </c>
      <c r="N105" s="52">
        <f t="shared" si="5"/>
        <v>1</v>
      </c>
      <c r="O105" s="2"/>
      <c r="P105" s="2"/>
      <c r="Q105" s="2"/>
      <c r="R105" s="2"/>
      <c r="S105" s="25"/>
    </row>
    <row r="106" spans="1:19" x14ac:dyDescent="0.25">
      <c r="A106" s="28"/>
      <c r="B106" s="28"/>
      <c r="C106" s="28"/>
      <c r="D106" s="28"/>
      <c r="E106" s="28"/>
      <c r="F106" s="28"/>
      <c r="G106" s="52" t="e">
        <f>IF(M106="","",VLOOKUP(M106,MASTER!$B$11:$C$30,2,0))</f>
        <v>#N/A</v>
      </c>
      <c r="H106" t="s">
        <v>249</v>
      </c>
      <c r="I106" t="s">
        <v>250</v>
      </c>
      <c r="J106" t="s">
        <v>3</v>
      </c>
      <c r="K106">
        <v>1</v>
      </c>
      <c r="L106" t="s">
        <v>40</v>
      </c>
      <c r="M106" s="52" t="e">
        <f t="shared" si="4"/>
        <v>#N/A</v>
      </c>
      <c r="N106" s="52">
        <f t="shared" si="5"/>
        <v>1</v>
      </c>
      <c r="O106" s="2"/>
      <c r="P106" s="2"/>
      <c r="Q106" s="2"/>
      <c r="R106" s="2"/>
      <c r="S106" s="25"/>
    </row>
    <row r="107" spans="1:19" x14ac:dyDescent="0.25">
      <c r="A107" s="28"/>
      <c r="B107" s="28"/>
      <c r="C107" s="28"/>
      <c r="D107" s="28"/>
      <c r="E107" s="28"/>
      <c r="F107" s="28"/>
      <c r="G107" s="52" t="e">
        <f>IF(M107="","",VLOOKUP(M107,MASTER!$B$11:$C$30,2,0))</f>
        <v>#N/A</v>
      </c>
      <c r="H107" t="s">
        <v>251</v>
      </c>
      <c r="I107" t="s">
        <v>252</v>
      </c>
      <c r="J107" t="s">
        <v>3</v>
      </c>
      <c r="K107">
        <v>1</v>
      </c>
      <c r="L107" t="s">
        <v>40</v>
      </c>
      <c r="M107" s="52" t="e">
        <f t="shared" si="4"/>
        <v>#N/A</v>
      </c>
      <c r="N107" s="52">
        <f t="shared" si="5"/>
        <v>1</v>
      </c>
      <c r="O107" s="2"/>
      <c r="P107" s="2"/>
      <c r="Q107" s="2"/>
      <c r="R107" s="2"/>
      <c r="S107" s="25"/>
    </row>
    <row r="108" spans="1:19" x14ac:dyDescent="0.25">
      <c r="A108" s="28"/>
      <c r="B108" s="28"/>
      <c r="C108" s="28"/>
      <c r="D108" s="28"/>
      <c r="E108" s="28"/>
      <c r="F108" s="28"/>
      <c r="G108" s="52" t="e">
        <f>IF(M108="","",VLOOKUP(M108,MASTER!$B$11:$C$30,2,0))</f>
        <v>#N/A</v>
      </c>
      <c r="H108" t="s">
        <v>253</v>
      </c>
      <c r="I108" t="s">
        <v>254</v>
      </c>
      <c r="J108" t="s">
        <v>3</v>
      </c>
      <c r="K108">
        <v>1</v>
      </c>
      <c r="L108" t="s">
        <v>40</v>
      </c>
      <c r="M108" s="52" t="e">
        <f t="shared" si="4"/>
        <v>#N/A</v>
      </c>
      <c r="N108" s="52">
        <f t="shared" si="5"/>
        <v>1</v>
      </c>
      <c r="O108" s="2"/>
      <c r="P108" s="2"/>
      <c r="Q108" s="2"/>
      <c r="R108" s="2"/>
      <c r="S108" s="25"/>
    </row>
    <row r="109" spans="1:19" x14ac:dyDescent="0.25">
      <c r="A109" s="28"/>
      <c r="B109" s="28"/>
      <c r="C109" s="28"/>
      <c r="D109" s="28"/>
      <c r="E109" s="28"/>
      <c r="F109" s="28"/>
      <c r="G109" s="52" t="e">
        <f>IF(M109="","",VLOOKUP(M109,MASTER!$B$11:$C$30,2,0))</f>
        <v>#N/A</v>
      </c>
      <c r="H109" t="s">
        <v>255</v>
      </c>
      <c r="I109" t="s">
        <v>256</v>
      </c>
      <c r="J109" t="s">
        <v>3</v>
      </c>
      <c r="K109">
        <v>1</v>
      </c>
      <c r="L109" t="s">
        <v>40</v>
      </c>
      <c r="M109" s="52" t="e">
        <f t="shared" si="4"/>
        <v>#N/A</v>
      </c>
      <c r="N109" s="52">
        <f t="shared" si="5"/>
        <v>1</v>
      </c>
      <c r="O109" s="2"/>
      <c r="P109" s="2"/>
      <c r="Q109" s="2"/>
      <c r="R109" s="2"/>
      <c r="S109" s="25"/>
    </row>
    <row r="110" spans="1:19" x14ac:dyDescent="0.25">
      <c r="A110" s="28"/>
      <c r="B110" s="28"/>
      <c r="C110" s="28"/>
      <c r="D110" s="28"/>
      <c r="E110" s="28"/>
      <c r="F110" s="28"/>
      <c r="G110" s="52" t="e">
        <f>IF(M110="","",VLOOKUP(M110,MASTER!$B$11:$C$30,2,0))</f>
        <v>#N/A</v>
      </c>
      <c r="H110" t="s">
        <v>257</v>
      </c>
      <c r="I110" t="s">
        <v>258</v>
      </c>
      <c r="J110" t="s">
        <v>3</v>
      </c>
      <c r="K110">
        <v>1</v>
      </c>
      <c r="L110" t="s">
        <v>40</v>
      </c>
      <c r="M110" s="52" t="e">
        <f t="shared" si="4"/>
        <v>#N/A</v>
      </c>
      <c r="N110" s="52">
        <f t="shared" si="5"/>
        <v>1</v>
      </c>
      <c r="O110" s="2"/>
      <c r="P110" s="2"/>
      <c r="Q110" s="2"/>
      <c r="R110" s="2"/>
      <c r="S110" s="25"/>
    </row>
    <row r="111" spans="1:19" x14ac:dyDescent="0.25">
      <c r="A111" s="28"/>
      <c r="B111" s="28"/>
      <c r="C111" s="28"/>
      <c r="D111" s="28"/>
      <c r="E111" s="28"/>
      <c r="F111" s="28"/>
      <c r="G111" s="52" t="e">
        <f>IF(M111="","",VLOOKUP(M111,MASTER!$B$11:$C$30,2,0))</f>
        <v>#N/A</v>
      </c>
      <c r="H111" t="s">
        <v>259</v>
      </c>
      <c r="I111" t="s">
        <v>260</v>
      </c>
      <c r="J111" t="s">
        <v>3</v>
      </c>
      <c r="K111">
        <v>1</v>
      </c>
      <c r="L111" t="s">
        <v>40</v>
      </c>
      <c r="M111" s="52" t="e">
        <f t="shared" si="4"/>
        <v>#N/A</v>
      </c>
      <c r="N111" s="52">
        <f t="shared" si="5"/>
        <v>1</v>
      </c>
      <c r="O111" s="2"/>
      <c r="P111" s="2"/>
      <c r="Q111" s="2"/>
      <c r="R111" s="2"/>
      <c r="S111" s="25"/>
    </row>
    <row r="112" spans="1:19" x14ac:dyDescent="0.25">
      <c r="A112" s="28"/>
      <c r="B112" s="28"/>
      <c r="C112" s="28"/>
      <c r="D112" s="28"/>
      <c r="E112" s="28"/>
      <c r="F112" s="28"/>
      <c r="G112" s="52" t="e">
        <f>IF(M112="","",VLOOKUP(M112,MASTER!$B$11:$C$30,2,0))</f>
        <v>#N/A</v>
      </c>
      <c r="H112" t="s">
        <v>261</v>
      </c>
      <c r="I112" t="s">
        <v>262</v>
      </c>
      <c r="J112" t="s">
        <v>3</v>
      </c>
      <c r="K112">
        <v>1</v>
      </c>
      <c r="L112" t="s">
        <v>40</v>
      </c>
      <c r="M112" s="52" t="e">
        <f t="shared" si="4"/>
        <v>#N/A</v>
      </c>
      <c r="N112" s="52">
        <f t="shared" si="5"/>
        <v>1</v>
      </c>
      <c r="O112" s="2"/>
      <c r="P112" s="2"/>
      <c r="Q112" s="2"/>
      <c r="R112" s="2"/>
      <c r="S112" s="25"/>
    </row>
    <row r="113" spans="1:19" x14ac:dyDescent="0.25">
      <c r="A113" s="28"/>
      <c r="B113" s="28"/>
      <c r="C113" s="28"/>
      <c r="D113" s="28"/>
      <c r="E113" s="28"/>
      <c r="F113" s="28"/>
      <c r="G113" s="52" t="e">
        <f>IF(M113="","",VLOOKUP(M113,MASTER!$B$11:$C$30,2,0))</f>
        <v>#N/A</v>
      </c>
      <c r="H113" t="s">
        <v>263</v>
      </c>
      <c r="I113" t="s">
        <v>264</v>
      </c>
      <c r="J113" t="s">
        <v>3</v>
      </c>
      <c r="K113">
        <v>1</v>
      </c>
      <c r="L113" t="s">
        <v>40</v>
      </c>
      <c r="M113" s="52" t="e">
        <f t="shared" si="4"/>
        <v>#N/A</v>
      </c>
      <c r="N113" s="52">
        <f t="shared" si="5"/>
        <v>1</v>
      </c>
      <c r="O113" s="2"/>
      <c r="P113" s="2"/>
      <c r="Q113" s="2"/>
      <c r="R113" s="2"/>
      <c r="S113" s="25"/>
    </row>
    <row r="114" spans="1:19" x14ac:dyDescent="0.25">
      <c r="A114" s="28"/>
      <c r="B114" s="28"/>
      <c r="C114" s="28"/>
      <c r="D114" s="28"/>
      <c r="E114" s="28"/>
      <c r="F114" s="28"/>
      <c r="G114" s="52" t="e">
        <f>IF(M114="","",VLOOKUP(M114,MASTER!$B$11:$C$30,2,0))</f>
        <v>#N/A</v>
      </c>
      <c r="H114" t="s">
        <v>265</v>
      </c>
      <c r="I114" t="s">
        <v>266</v>
      </c>
      <c r="J114" t="s">
        <v>3</v>
      </c>
      <c r="K114">
        <v>1</v>
      </c>
      <c r="L114" t="s">
        <v>40</v>
      </c>
      <c r="M114" s="52" t="e">
        <f t="shared" si="4"/>
        <v>#N/A</v>
      </c>
      <c r="N114" s="52">
        <f t="shared" si="5"/>
        <v>1</v>
      </c>
      <c r="O114" s="2"/>
      <c r="P114" s="2"/>
      <c r="Q114" s="2"/>
      <c r="R114" s="2"/>
      <c r="S114" s="25"/>
    </row>
    <row r="115" spans="1:19" x14ac:dyDescent="0.25">
      <c r="A115" s="28"/>
      <c r="B115" s="28"/>
      <c r="C115" s="28"/>
      <c r="D115" s="28"/>
      <c r="E115" s="28"/>
      <c r="F115" s="28"/>
      <c r="G115" s="52" t="e">
        <f>IF(M115="","",VLOOKUP(M115,MASTER!$B$11:$C$30,2,0))</f>
        <v>#N/A</v>
      </c>
      <c r="H115" t="s">
        <v>267</v>
      </c>
      <c r="I115" t="s">
        <v>268</v>
      </c>
      <c r="J115" t="s">
        <v>3</v>
      </c>
      <c r="K115">
        <v>1</v>
      </c>
      <c r="L115" t="s">
        <v>40</v>
      </c>
      <c r="M115" s="52" t="e">
        <f t="shared" si="4"/>
        <v>#N/A</v>
      </c>
      <c r="N115" s="52">
        <f t="shared" si="5"/>
        <v>1</v>
      </c>
      <c r="O115" s="2"/>
      <c r="P115" s="2"/>
      <c r="Q115" s="2"/>
      <c r="R115" s="2"/>
      <c r="S115" s="25"/>
    </row>
    <row r="116" spans="1:19" x14ac:dyDescent="0.25">
      <c r="A116" s="28"/>
      <c r="B116" s="28"/>
      <c r="C116" s="28"/>
      <c r="D116" s="28"/>
      <c r="E116" s="28"/>
      <c r="F116" s="28"/>
      <c r="G116" s="52" t="e">
        <f>IF(M116="","",VLOOKUP(M116,MASTER!$B$11:$C$30,2,0))</f>
        <v>#N/A</v>
      </c>
      <c r="H116" t="s">
        <v>269</v>
      </c>
      <c r="I116" t="s">
        <v>270</v>
      </c>
      <c r="J116" t="s">
        <v>3</v>
      </c>
      <c r="K116">
        <v>1</v>
      </c>
      <c r="L116" t="s">
        <v>40</v>
      </c>
      <c r="M116" s="52" t="e">
        <f t="shared" si="4"/>
        <v>#N/A</v>
      </c>
      <c r="N116" s="52">
        <f t="shared" si="5"/>
        <v>1</v>
      </c>
      <c r="O116" s="2"/>
      <c r="P116" s="2"/>
      <c r="Q116" s="2"/>
      <c r="R116" s="2"/>
      <c r="S116" s="25"/>
    </row>
    <row r="117" spans="1:19" x14ac:dyDescent="0.25">
      <c r="A117" s="28"/>
      <c r="B117" s="28"/>
      <c r="C117" s="28"/>
      <c r="D117" s="28"/>
      <c r="E117" s="28"/>
      <c r="F117" s="28"/>
      <c r="G117" s="52" t="e">
        <f>IF(M117="","",VLOOKUP(M117,MASTER!$B$11:$C$30,2,0))</f>
        <v>#N/A</v>
      </c>
      <c r="H117" t="s">
        <v>271</v>
      </c>
      <c r="I117" t="s">
        <v>272</v>
      </c>
      <c r="J117" t="s">
        <v>3</v>
      </c>
      <c r="K117">
        <v>1</v>
      </c>
      <c r="L117" t="s">
        <v>40</v>
      </c>
      <c r="M117" s="52" t="e">
        <f t="shared" si="4"/>
        <v>#N/A</v>
      </c>
      <c r="N117" s="52">
        <f t="shared" si="5"/>
        <v>1</v>
      </c>
      <c r="O117" s="2"/>
      <c r="P117" s="2"/>
      <c r="Q117" s="2"/>
      <c r="R117" s="2"/>
      <c r="S117" s="25"/>
    </row>
    <row r="118" spans="1:19" x14ac:dyDescent="0.25">
      <c r="A118" s="28"/>
      <c r="B118" s="28"/>
      <c r="C118" s="28"/>
      <c r="D118" s="28"/>
      <c r="E118" s="28"/>
      <c r="F118" s="28"/>
      <c r="G118" s="52" t="e">
        <f>IF(M118="","",VLOOKUP(M118,MASTER!$B$11:$C$30,2,0))</f>
        <v>#N/A</v>
      </c>
      <c r="H118" t="s">
        <v>273</v>
      </c>
      <c r="I118" t="s">
        <v>274</v>
      </c>
      <c r="J118" t="s">
        <v>3</v>
      </c>
      <c r="K118">
        <v>1</v>
      </c>
      <c r="L118" t="s">
        <v>40</v>
      </c>
      <c r="M118" s="52" t="e">
        <f t="shared" si="4"/>
        <v>#N/A</v>
      </c>
      <c r="N118" s="52">
        <f t="shared" si="5"/>
        <v>1</v>
      </c>
      <c r="O118" s="2"/>
      <c r="P118" s="2"/>
      <c r="Q118" s="2"/>
      <c r="R118" s="2"/>
      <c r="S118" s="25"/>
    </row>
    <row r="119" spans="1:19" x14ac:dyDescent="0.25">
      <c r="A119" s="28"/>
      <c r="B119" s="28"/>
      <c r="C119" s="28"/>
      <c r="D119" s="28"/>
      <c r="E119" s="28"/>
      <c r="F119" s="28"/>
      <c r="G119" s="52" t="e">
        <f>IF(M119="","",VLOOKUP(M119,MASTER!$B$11:$C$30,2,0))</f>
        <v>#N/A</v>
      </c>
      <c r="H119" t="s">
        <v>275</v>
      </c>
      <c r="I119" t="s">
        <v>276</v>
      </c>
      <c r="J119" t="s">
        <v>3</v>
      </c>
      <c r="K119">
        <v>1</v>
      </c>
      <c r="L119" t="s">
        <v>40</v>
      </c>
      <c r="M119" s="52" t="e">
        <f t="shared" si="4"/>
        <v>#N/A</v>
      </c>
      <c r="N119" s="52">
        <f t="shared" si="5"/>
        <v>1</v>
      </c>
      <c r="O119" s="2"/>
      <c r="P119" s="2"/>
      <c r="Q119" s="2"/>
      <c r="R119" s="2"/>
      <c r="S119" s="25"/>
    </row>
    <row r="120" spans="1:19" x14ac:dyDescent="0.25">
      <c r="A120" s="28"/>
      <c r="B120" s="28"/>
      <c r="C120" s="28"/>
      <c r="D120" s="28"/>
      <c r="E120" s="28"/>
      <c r="F120" s="28"/>
      <c r="G120" s="52" t="e">
        <f>IF(M120="","",VLOOKUP(M120,MASTER!$B$11:$C$30,2,0))</f>
        <v>#N/A</v>
      </c>
      <c r="H120" t="s">
        <v>277</v>
      </c>
      <c r="I120" t="s">
        <v>278</v>
      </c>
      <c r="J120" t="s">
        <v>3</v>
      </c>
      <c r="K120">
        <v>1</v>
      </c>
      <c r="L120" t="s">
        <v>40</v>
      </c>
      <c r="M120" s="52" t="e">
        <f t="shared" si="4"/>
        <v>#N/A</v>
      </c>
      <c r="N120" s="52">
        <f t="shared" si="5"/>
        <v>1</v>
      </c>
      <c r="O120" s="2"/>
      <c r="P120" s="2"/>
      <c r="Q120" s="2"/>
      <c r="R120" s="2"/>
      <c r="S120" s="25"/>
    </row>
    <row r="121" spans="1:19" x14ac:dyDescent="0.25">
      <c r="A121" s="28"/>
      <c r="B121" s="28"/>
      <c r="C121" s="28"/>
      <c r="D121" s="28"/>
      <c r="E121" s="28"/>
      <c r="F121" s="28"/>
      <c r="G121" s="52" t="e">
        <f>IF(M121="","",VLOOKUP(M121,MASTER!$B$11:$C$30,2,0))</f>
        <v>#N/A</v>
      </c>
      <c r="H121" t="s">
        <v>279</v>
      </c>
      <c r="I121" t="s">
        <v>280</v>
      </c>
      <c r="J121" t="s">
        <v>3</v>
      </c>
      <c r="K121">
        <v>1</v>
      </c>
      <c r="L121" t="s">
        <v>40</v>
      </c>
      <c r="M121" s="52" t="e">
        <f t="shared" si="4"/>
        <v>#N/A</v>
      </c>
      <c r="N121" s="52">
        <f t="shared" si="5"/>
        <v>1</v>
      </c>
      <c r="O121" s="2"/>
      <c r="P121" s="2"/>
      <c r="Q121" s="2"/>
      <c r="R121" s="2"/>
      <c r="S121" s="25"/>
    </row>
    <row r="122" spans="1:19" x14ac:dyDescent="0.25">
      <c r="A122" s="28"/>
      <c r="B122" s="28"/>
      <c r="C122" s="28"/>
      <c r="D122" s="28"/>
      <c r="E122" s="28"/>
      <c r="F122" s="28"/>
      <c r="G122" s="52" t="e">
        <f>IF(M122="","",VLOOKUP(M122,MASTER!$B$11:$C$30,2,0))</f>
        <v>#N/A</v>
      </c>
      <c r="H122" t="s">
        <v>281</v>
      </c>
      <c r="I122" t="s">
        <v>282</v>
      </c>
      <c r="J122" t="s">
        <v>3</v>
      </c>
      <c r="K122">
        <v>1</v>
      </c>
      <c r="L122" t="s">
        <v>40</v>
      </c>
      <c r="M122" s="52" t="e">
        <f t="shared" si="4"/>
        <v>#N/A</v>
      </c>
      <c r="N122" s="52">
        <f t="shared" si="5"/>
        <v>1</v>
      </c>
      <c r="O122" s="2"/>
      <c r="P122" s="2"/>
      <c r="Q122" s="2"/>
      <c r="R122" s="2"/>
      <c r="S122" s="25"/>
    </row>
    <row r="123" spans="1:19" x14ac:dyDescent="0.25">
      <c r="A123" s="28"/>
      <c r="B123" s="28"/>
      <c r="C123" s="28"/>
      <c r="D123" s="28"/>
      <c r="E123" s="28"/>
      <c r="F123" s="28"/>
      <c r="G123" s="52" t="e">
        <f>IF(M123="","",VLOOKUP(M123,MASTER!$B$11:$C$30,2,0))</f>
        <v>#N/A</v>
      </c>
      <c r="H123" t="s">
        <v>283</v>
      </c>
      <c r="I123" t="s">
        <v>284</v>
      </c>
      <c r="J123" t="s">
        <v>3</v>
      </c>
      <c r="K123">
        <v>1</v>
      </c>
      <c r="L123" t="s">
        <v>40</v>
      </c>
      <c r="M123" s="52" t="e">
        <f t="shared" si="4"/>
        <v>#N/A</v>
      </c>
      <c r="N123" s="52">
        <f t="shared" si="5"/>
        <v>1</v>
      </c>
      <c r="O123" s="2"/>
      <c r="P123" s="2"/>
      <c r="Q123" s="2"/>
      <c r="R123" s="2"/>
      <c r="S123" s="25"/>
    </row>
    <row r="124" spans="1:19" x14ac:dyDescent="0.25">
      <c r="A124" s="28"/>
      <c r="B124" s="28"/>
      <c r="C124" s="28"/>
      <c r="D124" s="28"/>
      <c r="E124" s="28"/>
      <c r="F124" s="28"/>
      <c r="G124" s="52" t="e">
        <f>IF(M124="","",VLOOKUP(M124,MASTER!$B$11:$C$30,2,0))</f>
        <v>#N/A</v>
      </c>
      <c r="H124" t="s">
        <v>285</v>
      </c>
      <c r="I124" t="s">
        <v>286</v>
      </c>
      <c r="J124" t="s">
        <v>3</v>
      </c>
      <c r="K124">
        <v>1</v>
      </c>
      <c r="L124" t="s">
        <v>40</v>
      </c>
      <c r="M124" s="52" t="e">
        <f t="shared" si="4"/>
        <v>#N/A</v>
      </c>
      <c r="N124" s="52">
        <f t="shared" si="5"/>
        <v>1</v>
      </c>
      <c r="O124" s="2"/>
      <c r="P124" s="2"/>
      <c r="Q124" s="2"/>
      <c r="R124" s="2"/>
      <c r="S124" s="25"/>
    </row>
    <row r="125" spans="1:19" x14ac:dyDescent="0.25">
      <c r="A125" s="28"/>
      <c r="B125" s="28"/>
      <c r="C125" s="28"/>
      <c r="D125" s="28"/>
      <c r="E125" s="28"/>
      <c r="F125" s="28"/>
      <c r="G125" s="52" t="e">
        <f>IF(M125="","",VLOOKUP(M125,MASTER!$B$11:$C$30,2,0))</f>
        <v>#N/A</v>
      </c>
      <c r="H125" t="s">
        <v>287</v>
      </c>
      <c r="I125" t="s">
        <v>288</v>
      </c>
      <c r="J125" t="s">
        <v>3</v>
      </c>
      <c r="K125">
        <v>1</v>
      </c>
      <c r="L125" t="s">
        <v>40</v>
      </c>
      <c r="M125" s="52" t="e">
        <f t="shared" si="4"/>
        <v>#N/A</v>
      </c>
      <c r="N125" s="52">
        <f t="shared" si="5"/>
        <v>1</v>
      </c>
      <c r="O125" s="2"/>
      <c r="P125" s="2"/>
      <c r="Q125" s="2"/>
      <c r="R125" s="2"/>
      <c r="S125" s="25"/>
    </row>
    <row r="126" spans="1:19" x14ac:dyDescent="0.25">
      <c r="A126" s="28"/>
      <c r="B126" s="28"/>
      <c r="C126" s="28"/>
      <c r="D126" s="28"/>
      <c r="E126" s="28"/>
      <c r="F126" s="28"/>
      <c r="G126" s="52" t="e">
        <f>IF(M126="","",VLOOKUP(M126,MASTER!$B$11:$C$30,2,0))</f>
        <v>#N/A</v>
      </c>
      <c r="H126" t="s">
        <v>289</v>
      </c>
      <c r="I126" t="s">
        <v>290</v>
      </c>
      <c r="J126" t="s">
        <v>3</v>
      </c>
      <c r="K126">
        <v>1</v>
      </c>
      <c r="L126" t="s">
        <v>40</v>
      </c>
      <c r="M126" s="52" t="e">
        <f t="shared" si="4"/>
        <v>#N/A</v>
      </c>
      <c r="N126" s="52">
        <f t="shared" si="5"/>
        <v>1</v>
      </c>
      <c r="O126" s="2"/>
      <c r="P126" s="2"/>
      <c r="Q126" s="2"/>
      <c r="R126" s="2"/>
      <c r="S126" s="25"/>
    </row>
    <row r="127" spans="1:19" x14ac:dyDescent="0.25">
      <c r="A127" s="28"/>
      <c r="B127" s="28"/>
      <c r="C127" s="28"/>
      <c r="D127" s="28"/>
      <c r="E127" s="28"/>
      <c r="F127" s="28"/>
      <c r="G127" s="52" t="e">
        <f>IF(M127="","",VLOOKUP(M127,MASTER!$B$11:$C$30,2,0))</f>
        <v>#N/A</v>
      </c>
      <c r="H127" t="s">
        <v>291</v>
      </c>
      <c r="I127" t="s">
        <v>292</v>
      </c>
      <c r="J127" t="s">
        <v>3</v>
      </c>
      <c r="K127">
        <v>1</v>
      </c>
      <c r="L127" t="s">
        <v>40</v>
      </c>
      <c r="M127" s="52" t="e">
        <f t="shared" si="4"/>
        <v>#N/A</v>
      </c>
      <c r="N127" s="52">
        <f t="shared" si="5"/>
        <v>1</v>
      </c>
      <c r="O127" s="2"/>
      <c r="P127" s="2"/>
      <c r="Q127" s="2"/>
      <c r="R127" s="2"/>
      <c r="S127" s="25"/>
    </row>
    <row r="128" spans="1:19" x14ac:dyDescent="0.25">
      <c r="A128" s="28"/>
      <c r="B128" s="28"/>
      <c r="C128" s="28"/>
      <c r="D128" s="28"/>
      <c r="E128" s="28"/>
      <c r="F128" s="28"/>
      <c r="G128" s="52" t="e">
        <f>IF(M128="","",VLOOKUP(M128,MASTER!$B$11:$C$30,2,0))</f>
        <v>#N/A</v>
      </c>
      <c r="H128" t="s">
        <v>293</v>
      </c>
      <c r="I128" t="s">
        <v>294</v>
      </c>
      <c r="J128" t="s">
        <v>3</v>
      </c>
      <c r="K128">
        <v>1</v>
      </c>
      <c r="L128" t="s">
        <v>40</v>
      </c>
      <c r="M128" s="52" t="e">
        <f t="shared" si="4"/>
        <v>#N/A</v>
      </c>
      <c r="N128" s="52">
        <f t="shared" si="5"/>
        <v>1</v>
      </c>
      <c r="O128" s="2"/>
      <c r="P128" s="2"/>
      <c r="Q128" s="2"/>
      <c r="R128" s="2"/>
      <c r="S128" s="25"/>
    </row>
    <row r="129" spans="1:19" x14ac:dyDescent="0.25">
      <c r="A129" s="28"/>
      <c r="B129" s="28"/>
      <c r="C129" s="28"/>
      <c r="D129" s="28"/>
      <c r="E129" s="28"/>
      <c r="F129" s="28"/>
      <c r="G129" s="52" t="e">
        <f>IF(M129="","",VLOOKUP(M129,MASTER!$B$11:$C$30,2,0))</f>
        <v>#N/A</v>
      </c>
      <c r="H129" t="s">
        <v>295</v>
      </c>
      <c r="I129" t="s">
        <v>296</v>
      </c>
      <c r="J129" t="s">
        <v>3</v>
      </c>
      <c r="K129">
        <v>1</v>
      </c>
      <c r="L129" t="s">
        <v>40</v>
      </c>
      <c r="M129" s="52" t="e">
        <f t="shared" si="4"/>
        <v>#N/A</v>
      </c>
      <c r="N129" s="52">
        <f t="shared" si="5"/>
        <v>1</v>
      </c>
      <c r="O129" s="2"/>
      <c r="P129" s="2"/>
      <c r="Q129" s="2"/>
      <c r="R129" s="2"/>
      <c r="S129" s="25"/>
    </row>
    <row r="130" spans="1:19" x14ac:dyDescent="0.25">
      <c r="A130" s="28"/>
      <c r="B130" s="28"/>
      <c r="C130" s="28"/>
      <c r="D130" s="28"/>
      <c r="E130" s="28"/>
      <c r="F130" s="28"/>
      <c r="G130" s="52" t="e">
        <f>IF(M130="","",VLOOKUP(M130,MASTER!$B$11:$C$30,2,0))</f>
        <v>#N/A</v>
      </c>
      <c r="H130" t="s">
        <v>297</v>
      </c>
      <c r="I130" t="s">
        <v>298</v>
      </c>
      <c r="J130" t="s">
        <v>3</v>
      </c>
      <c r="K130">
        <v>1</v>
      </c>
      <c r="L130" t="s">
        <v>40</v>
      </c>
      <c r="M130" s="52" t="e">
        <f t="shared" si="4"/>
        <v>#N/A</v>
      </c>
      <c r="N130" s="52">
        <f t="shared" si="5"/>
        <v>1</v>
      </c>
      <c r="O130" s="2"/>
      <c r="P130" s="2"/>
      <c r="Q130" s="2"/>
      <c r="R130" s="2"/>
      <c r="S130" s="25"/>
    </row>
    <row r="131" spans="1:19" x14ac:dyDescent="0.25">
      <c r="A131" s="28"/>
      <c r="B131" s="28"/>
      <c r="C131" s="28"/>
      <c r="D131" s="28"/>
      <c r="E131" s="28"/>
      <c r="F131" s="28"/>
      <c r="G131" s="52" t="e">
        <f>IF(M131="","",VLOOKUP(M131,MASTER!$B$11:$C$30,2,0))</f>
        <v>#N/A</v>
      </c>
      <c r="H131" t="s">
        <v>299</v>
      </c>
      <c r="I131" t="s">
        <v>300</v>
      </c>
      <c r="J131" t="s">
        <v>3</v>
      </c>
      <c r="K131">
        <v>1</v>
      </c>
      <c r="L131" t="s">
        <v>40</v>
      </c>
      <c r="M131" s="52" t="e">
        <f t="shared" ref="M131:M194" si="6">IF(L131="","",VLOOKUP(L131,$A$10:$B$29,2,0))</f>
        <v>#N/A</v>
      </c>
      <c r="N131" s="52">
        <f t="shared" ref="N131:N194" si="7">IF(K131="","",K131)</f>
        <v>1</v>
      </c>
      <c r="O131" s="2"/>
      <c r="P131" s="2"/>
      <c r="Q131" s="2"/>
      <c r="R131" s="2"/>
      <c r="S131" s="25"/>
    </row>
    <row r="132" spans="1:19" x14ac:dyDescent="0.25">
      <c r="A132" s="28"/>
      <c r="B132" s="28"/>
      <c r="C132" s="28"/>
      <c r="D132" s="28"/>
      <c r="E132" s="28"/>
      <c r="F132" s="28"/>
      <c r="G132" s="52" t="e">
        <f>IF(M132="","",VLOOKUP(M132,MASTER!$B$11:$C$30,2,0))</f>
        <v>#N/A</v>
      </c>
      <c r="H132" t="s">
        <v>301</v>
      </c>
      <c r="I132" t="s">
        <v>302</v>
      </c>
      <c r="J132" t="s">
        <v>3</v>
      </c>
      <c r="K132">
        <v>1</v>
      </c>
      <c r="L132" t="s">
        <v>40</v>
      </c>
      <c r="M132" s="52" t="e">
        <f t="shared" si="6"/>
        <v>#N/A</v>
      </c>
      <c r="N132" s="52">
        <f t="shared" si="7"/>
        <v>1</v>
      </c>
      <c r="O132" s="2"/>
      <c r="P132" s="2"/>
      <c r="Q132" s="2"/>
      <c r="R132" s="2"/>
      <c r="S132" s="25"/>
    </row>
    <row r="133" spans="1:19" x14ac:dyDescent="0.25">
      <c r="A133" s="28"/>
      <c r="B133" s="28"/>
      <c r="C133" s="28"/>
      <c r="D133" s="28"/>
      <c r="E133" s="28"/>
      <c r="F133" s="28"/>
      <c r="G133" s="52" t="e">
        <f>IF(M133="","",VLOOKUP(M133,MASTER!$B$11:$C$30,2,0))</f>
        <v>#N/A</v>
      </c>
      <c r="H133" t="s">
        <v>303</v>
      </c>
      <c r="I133" t="s">
        <v>304</v>
      </c>
      <c r="J133" t="s">
        <v>3</v>
      </c>
      <c r="K133">
        <v>1</v>
      </c>
      <c r="L133" t="s">
        <v>40</v>
      </c>
      <c r="M133" s="52" t="e">
        <f t="shared" si="6"/>
        <v>#N/A</v>
      </c>
      <c r="N133" s="52">
        <f t="shared" si="7"/>
        <v>1</v>
      </c>
      <c r="O133" s="2"/>
      <c r="P133" s="2"/>
      <c r="Q133" s="2"/>
      <c r="R133" s="2"/>
      <c r="S133" s="25"/>
    </row>
    <row r="134" spans="1:19" x14ac:dyDescent="0.25">
      <c r="A134" s="28"/>
      <c r="B134" s="28"/>
      <c r="C134" s="28"/>
      <c r="D134" s="28"/>
      <c r="E134" s="28"/>
      <c r="F134" s="28"/>
      <c r="G134" s="52" t="e">
        <f>IF(M134="","",VLOOKUP(M134,MASTER!$B$11:$C$30,2,0))</f>
        <v>#N/A</v>
      </c>
      <c r="H134" t="s">
        <v>305</v>
      </c>
      <c r="I134" t="s">
        <v>306</v>
      </c>
      <c r="J134" t="s">
        <v>3</v>
      </c>
      <c r="K134">
        <v>1</v>
      </c>
      <c r="L134" t="s">
        <v>40</v>
      </c>
      <c r="M134" s="52" t="e">
        <f t="shared" si="6"/>
        <v>#N/A</v>
      </c>
      <c r="N134" s="52">
        <f t="shared" si="7"/>
        <v>1</v>
      </c>
      <c r="O134" s="2"/>
      <c r="P134" s="2"/>
      <c r="Q134" s="2"/>
      <c r="R134" s="2"/>
      <c r="S134" s="25"/>
    </row>
    <row r="135" spans="1:19" x14ac:dyDescent="0.25">
      <c r="A135" s="28"/>
      <c r="B135" s="28"/>
      <c r="C135" s="28"/>
      <c r="D135" s="28"/>
      <c r="E135" s="28"/>
      <c r="F135" s="28"/>
      <c r="G135" s="52" t="e">
        <f>IF(M135="","",VLOOKUP(M135,MASTER!$B$11:$C$30,2,0))</f>
        <v>#N/A</v>
      </c>
      <c r="H135" t="s">
        <v>307</v>
      </c>
      <c r="I135" t="s">
        <v>308</v>
      </c>
      <c r="J135" t="s">
        <v>3</v>
      </c>
      <c r="K135">
        <v>1</v>
      </c>
      <c r="L135" t="s">
        <v>40</v>
      </c>
      <c r="M135" s="52" t="e">
        <f t="shared" si="6"/>
        <v>#N/A</v>
      </c>
      <c r="N135" s="52">
        <f t="shared" si="7"/>
        <v>1</v>
      </c>
      <c r="O135" s="2"/>
      <c r="P135" s="2"/>
      <c r="Q135" s="2"/>
      <c r="R135" s="2"/>
      <c r="S135" s="25"/>
    </row>
    <row r="136" spans="1:19" x14ac:dyDescent="0.25">
      <c r="A136" s="28"/>
      <c r="B136" s="28"/>
      <c r="C136" s="28"/>
      <c r="D136" s="28"/>
      <c r="E136" s="28"/>
      <c r="F136" s="28"/>
      <c r="G136" s="52" t="e">
        <f>IF(M136="","",VLOOKUP(M136,MASTER!$B$11:$C$30,2,0))</f>
        <v>#N/A</v>
      </c>
      <c r="H136" t="s">
        <v>309</v>
      </c>
      <c r="I136" t="s">
        <v>310</v>
      </c>
      <c r="J136" t="s">
        <v>3</v>
      </c>
      <c r="K136">
        <v>1</v>
      </c>
      <c r="L136" t="s">
        <v>40</v>
      </c>
      <c r="M136" s="52" t="e">
        <f t="shared" si="6"/>
        <v>#N/A</v>
      </c>
      <c r="N136" s="52">
        <f t="shared" si="7"/>
        <v>1</v>
      </c>
      <c r="O136" s="2"/>
      <c r="P136" s="2"/>
      <c r="Q136" s="2"/>
      <c r="R136" s="2"/>
      <c r="S136" s="25"/>
    </row>
    <row r="137" spans="1:19" x14ac:dyDescent="0.25">
      <c r="A137" s="28"/>
      <c r="B137" s="28"/>
      <c r="C137" s="28"/>
      <c r="D137" s="28"/>
      <c r="E137" s="28"/>
      <c r="F137" s="28"/>
      <c r="G137" s="52" t="e">
        <f>IF(M137="","",VLOOKUP(M137,MASTER!$B$11:$C$30,2,0))</f>
        <v>#N/A</v>
      </c>
      <c r="H137" t="s">
        <v>311</v>
      </c>
      <c r="I137" t="s">
        <v>312</v>
      </c>
      <c r="J137" t="s">
        <v>3</v>
      </c>
      <c r="K137">
        <v>1</v>
      </c>
      <c r="L137" t="s">
        <v>40</v>
      </c>
      <c r="M137" s="52" t="e">
        <f t="shared" si="6"/>
        <v>#N/A</v>
      </c>
      <c r="N137" s="52">
        <f t="shared" si="7"/>
        <v>1</v>
      </c>
      <c r="O137" s="2"/>
      <c r="P137" s="2"/>
      <c r="Q137" s="2"/>
      <c r="R137" s="2"/>
      <c r="S137" s="25"/>
    </row>
    <row r="138" spans="1:19" x14ac:dyDescent="0.25">
      <c r="A138" s="28"/>
      <c r="B138" s="28"/>
      <c r="C138" s="28"/>
      <c r="D138" s="28"/>
      <c r="E138" s="28"/>
      <c r="F138" s="28"/>
      <c r="G138" s="52" t="e">
        <f>IF(M138="","",VLOOKUP(M138,MASTER!$B$11:$C$30,2,0))</f>
        <v>#N/A</v>
      </c>
      <c r="H138" t="s">
        <v>313</v>
      </c>
      <c r="I138" t="s">
        <v>314</v>
      </c>
      <c r="J138" t="s">
        <v>3</v>
      </c>
      <c r="K138">
        <v>1</v>
      </c>
      <c r="L138" t="s">
        <v>40</v>
      </c>
      <c r="M138" s="52" t="e">
        <f t="shared" si="6"/>
        <v>#N/A</v>
      </c>
      <c r="N138" s="52">
        <f t="shared" si="7"/>
        <v>1</v>
      </c>
      <c r="O138" s="2"/>
      <c r="P138" s="2"/>
      <c r="Q138" s="2"/>
      <c r="R138" s="2"/>
      <c r="S138" s="25"/>
    </row>
    <row r="139" spans="1:19" x14ac:dyDescent="0.25">
      <c r="A139" s="28"/>
      <c r="B139" s="28"/>
      <c r="C139" s="28"/>
      <c r="D139" s="28"/>
      <c r="E139" s="28"/>
      <c r="F139" s="28"/>
      <c r="G139" s="52" t="e">
        <f>IF(M139="","",VLOOKUP(M139,MASTER!$B$11:$C$30,2,0))</f>
        <v>#N/A</v>
      </c>
      <c r="H139" t="s">
        <v>315</v>
      </c>
      <c r="I139" t="s">
        <v>316</v>
      </c>
      <c r="J139" t="s">
        <v>3</v>
      </c>
      <c r="K139">
        <v>1</v>
      </c>
      <c r="L139" t="s">
        <v>40</v>
      </c>
      <c r="M139" s="52" t="e">
        <f t="shared" si="6"/>
        <v>#N/A</v>
      </c>
      <c r="N139" s="52">
        <f t="shared" si="7"/>
        <v>1</v>
      </c>
      <c r="O139" s="2"/>
      <c r="P139" s="2"/>
      <c r="Q139" s="2"/>
      <c r="R139" s="2"/>
      <c r="S139" s="25"/>
    </row>
    <row r="140" spans="1:19" x14ac:dyDescent="0.25">
      <c r="A140" s="28"/>
      <c r="B140" s="28"/>
      <c r="C140" s="28"/>
      <c r="D140" s="28"/>
      <c r="E140" s="28"/>
      <c r="F140" s="28"/>
      <c r="G140" s="52" t="e">
        <f>IF(M140="","",VLOOKUP(M140,MASTER!$B$11:$C$30,2,0))</f>
        <v>#N/A</v>
      </c>
      <c r="H140" t="s">
        <v>317</v>
      </c>
      <c r="I140" t="s">
        <v>318</v>
      </c>
      <c r="J140" t="s">
        <v>3</v>
      </c>
      <c r="K140">
        <v>1</v>
      </c>
      <c r="L140" t="s">
        <v>40</v>
      </c>
      <c r="M140" s="52" t="e">
        <f t="shared" si="6"/>
        <v>#N/A</v>
      </c>
      <c r="N140" s="52">
        <f t="shared" si="7"/>
        <v>1</v>
      </c>
      <c r="O140" s="2"/>
      <c r="P140" s="2"/>
      <c r="Q140" s="2"/>
      <c r="R140" s="2"/>
      <c r="S140" s="25"/>
    </row>
    <row r="141" spans="1:19" x14ac:dyDescent="0.25">
      <c r="A141" s="28"/>
      <c r="B141" s="28"/>
      <c r="C141" s="28"/>
      <c r="D141" s="28"/>
      <c r="E141" s="28"/>
      <c r="F141" s="28"/>
      <c r="G141" s="52" t="e">
        <f>IF(M141="","",VLOOKUP(M141,MASTER!$B$11:$C$30,2,0))</f>
        <v>#N/A</v>
      </c>
      <c r="H141" t="s">
        <v>319</v>
      </c>
      <c r="I141" t="s">
        <v>320</v>
      </c>
      <c r="J141" t="s">
        <v>3</v>
      </c>
      <c r="K141">
        <v>1</v>
      </c>
      <c r="L141" t="s">
        <v>40</v>
      </c>
      <c r="M141" s="52" t="e">
        <f t="shared" si="6"/>
        <v>#N/A</v>
      </c>
      <c r="N141" s="52">
        <f t="shared" si="7"/>
        <v>1</v>
      </c>
      <c r="O141" s="2"/>
      <c r="P141" s="2"/>
      <c r="Q141" s="2"/>
      <c r="R141" s="2"/>
      <c r="S141" s="25"/>
    </row>
    <row r="142" spans="1:19" x14ac:dyDescent="0.25">
      <c r="A142" s="28"/>
      <c r="B142" s="28"/>
      <c r="C142" s="28"/>
      <c r="D142" s="28"/>
      <c r="E142" s="28"/>
      <c r="F142" s="28"/>
      <c r="G142" s="52" t="e">
        <f>IF(M142="","",VLOOKUP(M142,MASTER!$B$11:$C$30,2,0))</f>
        <v>#N/A</v>
      </c>
      <c r="H142" t="s">
        <v>321</v>
      </c>
      <c r="I142" t="s">
        <v>322</v>
      </c>
      <c r="J142" t="s">
        <v>3</v>
      </c>
      <c r="K142">
        <v>1</v>
      </c>
      <c r="L142" t="s">
        <v>40</v>
      </c>
      <c r="M142" s="52" t="e">
        <f t="shared" si="6"/>
        <v>#N/A</v>
      </c>
      <c r="N142" s="52">
        <f t="shared" si="7"/>
        <v>1</v>
      </c>
      <c r="O142" s="2"/>
      <c r="P142" s="2"/>
      <c r="Q142" s="2"/>
      <c r="R142" s="2"/>
      <c r="S142" s="25"/>
    </row>
    <row r="143" spans="1:19" x14ac:dyDescent="0.25">
      <c r="A143" s="28"/>
      <c r="B143" s="28"/>
      <c r="C143" s="28"/>
      <c r="D143" s="28"/>
      <c r="E143" s="28"/>
      <c r="F143" s="28"/>
      <c r="G143" s="52" t="e">
        <f>IF(M143="","",VLOOKUP(M143,MASTER!$B$11:$C$30,2,0))</f>
        <v>#N/A</v>
      </c>
      <c r="H143" t="s">
        <v>323</v>
      </c>
      <c r="I143" t="s">
        <v>324</v>
      </c>
      <c r="J143" t="s">
        <v>3</v>
      </c>
      <c r="K143">
        <v>1</v>
      </c>
      <c r="L143" t="s">
        <v>40</v>
      </c>
      <c r="M143" s="52" t="e">
        <f t="shared" si="6"/>
        <v>#N/A</v>
      </c>
      <c r="N143" s="52">
        <f t="shared" si="7"/>
        <v>1</v>
      </c>
      <c r="O143" s="2"/>
      <c r="P143" s="2"/>
      <c r="Q143" s="2"/>
      <c r="R143" s="2"/>
      <c r="S143" s="25"/>
    </row>
    <row r="144" spans="1:19" x14ac:dyDescent="0.25">
      <c r="A144" s="28"/>
      <c r="B144" s="28"/>
      <c r="C144" s="28"/>
      <c r="D144" s="28"/>
      <c r="E144" s="28"/>
      <c r="F144" s="28"/>
      <c r="G144" s="52" t="e">
        <f>IF(M144="","",VLOOKUP(M144,MASTER!$B$11:$C$30,2,0))</f>
        <v>#N/A</v>
      </c>
      <c r="H144" t="s">
        <v>325</v>
      </c>
      <c r="I144" t="s">
        <v>326</v>
      </c>
      <c r="J144" t="s">
        <v>3</v>
      </c>
      <c r="K144">
        <v>1</v>
      </c>
      <c r="L144" t="s">
        <v>40</v>
      </c>
      <c r="M144" s="52" t="e">
        <f t="shared" si="6"/>
        <v>#N/A</v>
      </c>
      <c r="N144" s="52">
        <f t="shared" si="7"/>
        <v>1</v>
      </c>
      <c r="O144" s="2"/>
      <c r="P144" s="2"/>
      <c r="Q144" s="2"/>
      <c r="R144" s="2"/>
      <c r="S144" s="25"/>
    </row>
    <row r="145" spans="1:19" x14ac:dyDescent="0.25">
      <c r="A145" s="28"/>
      <c r="B145" s="28"/>
      <c r="C145" s="28"/>
      <c r="D145" s="28"/>
      <c r="E145" s="28"/>
      <c r="F145" s="28"/>
      <c r="G145" s="52" t="e">
        <f>IF(M145="","",VLOOKUP(M145,MASTER!$B$11:$C$30,2,0))</f>
        <v>#N/A</v>
      </c>
      <c r="H145" t="s">
        <v>327</v>
      </c>
      <c r="I145" t="s">
        <v>328</v>
      </c>
      <c r="J145" t="s">
        <v>3</v>
      </c>
      <c r="K145">
        <v>1</v>
      </c>
      <c r="L145" t="s">
        <v>40</v>
      </c>
      <c r="M145" s="52" t="e">
        <f t="shared" si="6"/>
        <v>#N/A</v>
      </c>
      <c r="N145" s="52">
        <f t="shared" si="7"/>
        <v>1</v>
      </c>
      <c r="O145" s="2"/>
      <c r="P145" s="2"/>
      <c r="Q145" s="2"/>
      <c r="R145" s="2"/>
      <c r="S145" s="25"/>
    </row>
    <row r="146" spans="1:19" x14ac:dyDescent="0.25">
      <c r="A146" s="28"/>
      <c r="B146" s="28"/>
      <c r="C146" s="28"/>
      <c r="D146" s="28"/>
      <c r="E146" s="28"/>
      <c r="F146" s="28"/>
      <c r="G146" s="52" t="e">
        <f>IF(M146="","",VLOOKUP(M146,MASTER!$B$11:$C$30,2,0))</f>
        <v>#N/A</v>
      </c>
      <c r="H146" t="s">
        <v>329</v>
      </c>
      <c r="I146" t="s">
        <v>330</v>
      </c>
      <c r="J146" t="s">
        <v>3</v>
      </c>
      <c r="K146">
        <v>1</v>
      </c>
      <c r="L146" t="s">
        <v>40</v>
      </c>
      <c r="M146" s="52" t="e">
        <f t="shared" si="6"/>
        <v>#N/A</v>
      </c>
      <c r="N146" s="52">
        <f t="shared" si="7"/>
        <v>1</v>
      </c>
      <c r="O146" s="2"/>
      <c r="P146" s="2"/>
      <c r="Q146" s="2"/>
      <c r="R146" s="2"/>
      <c r="S146" s="25"/>
    </row>
    <row r="147" spans="1:19" x14ac:dyDescent="0.25">
      <c r="A147" s="28"/>
      <c r="B147" s="28"/>
      <c r="C147" s="28"/>
      <c r="D147" s="28"/>
      <c r="E147" s="28"/>
      <c r="F147" s="28"/>
      <c r="G147" s="52" t="e">
        <f>IF(M147="","",VLOOKUP(M147,MASTER!$B$11:$C$30,2,0))</f>
        <v>#N/A</v>
      </c>
      <c r="H147" t="s">
        <v>331</v>
      </c>
      <c r="I147" t="s">
        <v>332</v>
      </c>
      <c r="J147" t="s">
        <v>3</v>
      </c>
      <c r="K147">
        <v>1</v>
      </c>
      <c r="L147" t="s">
        <v>40</v>
      </c>
      <c r="M147" s="52" t="e">
        <f t="shared" si="6"/>
        <v>#N/A</v>
      </c>
      <c r="N147" s="52">
        <f t="shared" si="7"/>
        <v>1</v>
      </c>
      <c r="O147" s="2"/>
      <c r="P147" s="2"/>
      <c r="Q147" s="2"/>
      <c r="R147" s="2"/>
      <c r="S147" s="25"/>
    </row>
    <row r="148" spans="1:19" x14ac:dyDescent="0.25">
      <c r="A148" s="28"/>
      <c r="B148" s="28"/>
      <c r="C148" s="28"/>
      <c r="D148" s="28"/>
      <c r="E148" s="28"/>
      <c r="F148" s="28"/>
      <c r="G148" s="52" t="e">
        <f>IF(M148="","",VLOOKUP(M148,MASTER!$B$11:$C$30,2,0))</f>
        <v>#N/A</v>
      </c>
      <c r="H148" t="s">
        <v>333</v>
      </c>
      <c r="I148" t="s">
        <v>334</v>
      </c>
      <c r="J148" t="s">
        <v>3</v>
      </c>
      <c r="K148">
        <v>1</v>
      </c>
      <c r="L148" t="s">
        <v>40</v>
      </c>
      <c r="M148" s="52" t="e">
        <f t="shared" si="6"/>
        <v>#N/A</v>
      </c>
      <c r="N148" s="52">
        <f t="shared" si="7"/>
        <v>1</v>
      </c>
      <c r="O148" s="2"/>
      <c r="P148" s="2"/>
      <c r="Q148" s="2"/>
      <c r="R148" s="2"/>
      <c r="S148" s="25"/>
    </row>
    <row r="149" spans="1:19" x14ac:dyDescent="0.25">
      <c r="A149" s="28"/>
      <c r="B149" s="28"/>
      <c r="C149" s="28"/>
      <c r="D149" s="28"/>
      <c r="E149" s="28"/>
      <c r="F149" s="28"/>
      <c r="G149" s="52" t="e">
        <f>IF(M149="","",VLOOKUP(M149,MASTER!$B$11:$C$30,2,0))</f>
        <v>#N/A</v>
      </c>
      <c r="H149" t="s">
        <v>335</v>
      </c>
      <c r="I149" t="s">
        <v>336</v>
      </c>
      <c r="J149" t="s">
        <v>3</v>
      </c>
      <c r="K149">
        <v>1</v>
      </c>
      <c r="L149" t="s">
        <v>40</v>
      </c>
      <c r="M149" s="52" t="e">
        <f t="shared" si="6"/>
        <v>#N/A</v>
      </c>
      <c r="N149" s="52">
        <f t="shared" si="7"/>
        <v>1</v>
      </c>
      <c r="O149" s="2"/>
      <c r="P149" s="2"/>
      <c r="Q149" s="2"/>
      <c r="R149" s="2"/>
      <c r="S149" s="25"/>
    </row>
    <row r="150" spans="1:19" x14ac:dyDescent="0.25">
      <c r="A150" s="28"/>
      <c r="B150" s="28"/>
      <c r="C150" s="28"/>
      <c r="D150" s="28"/>
      <c r="E150" s="28"/>
      <c r="F150" s="28"/>
      <c r="G150" s="52" t="e">
        <f>IF(M150="","",VLOOKUP(M150,MASTER!$B$11:$C$30,2,0))</f>
        <v>#N/A</v>
      </c>
      <c r="H150" t="s">
        <v>337</v>
      </c>
      <c r="I150" t="s">
        <v>338</v>
      </c>
      <c r="J150" t="s">
        <v>3</v>
      </c>
      <c r="K150">
        <v>1</v>
      </c>
      <c r="L150" t="s">
        <v>40</v>
      </c>
      <c r="M150" s="52" t="e">
        <f t="shared" si="6"/>
        <v>#N/A</v>
      </c>
      <c r="N150" s="52">
        <f t="shared" si="7"/>
        <v>1</v>
      </c>
      <c r="O150" s="2"/>
      <c r="P150" s="2"/>
      <c r="Q150" s="2"/>
      <c r="R150" s="2"/>
      <c r="S150" s="25"/>
    </row>
    <row r="151" spans="1:19" x14ac:dyDescent="0.25">
      <c r="A151" s="28"/>
      <c r="B151" s="28"/>
      <c r="C151" s="28"/>
      <c r="D151" s="28"/>
      <c r="E151" s="28"/>
      <c r="F151" s="28"/>
      <c r="G151" s="52" t="e">
        <f>IF(M151="","",VLOOKUP(M151,MASTER!$B$11:$C$30,2,0))</f>
        <v>#N/A</v>
      </c>
      <c r="H151" t="s">
        <v>339</v>
      </c>
      <c r="I151" t="s">
        <v>340</v>
      </c>
      <c r="J151" t="s">
        <v>3</v>
      </c>
      <c r="K151">
        <v>1</v>
      </c>
      <c r="L151" t="s">
        <v>40</v>
      </c>
      <c r="M151" s="52" t="e">
        <f t="shared" si="6"/>
        <v>#N/A</v>
      </c>
      <c r="N151" s="52">
        <f t="shared" si="7"/>
        <v>1</v>
      </c>
      <c r="O151" s="2"/>
      <c r="P151" s="2"/>
      <c r="Q151" s="2"/>
      <c r="R151" s="2"/>
      <c r="S151" s="25"/>
    </row>
    <row r="152" spans="1:19" x14ac:dyDescent="0.25">
      <c r="A152" s="28"/>
      <c r="B152" s="28"/>
      <c r="C152" s="28"/>
      <c r="D152" s="28"/>
      <c r="E152" s="28"/>
      <c r="F152" s="28"/>
      <c r="G152" s="52" t="e">
        <f>IF(M152="","",VLOOKUP(M152,MASTER!$B$11:$C$30,2,0))</f>
        <v>#N/A</v>
      </c>
      <c r="H152" t="s">
        <v>341</v>
      </c>
      <c r="I152" t="s">
        <v>342</v>
      </c>
      <c r="J152" t="s">
        <v>3</v>
      </c>
      <c r="K152">
        <v>1</v>
      </c>
      <c r="L152" t="s">
        <v>40</v>
      </c>
      <c r="M152" s="52" t="e">
        <f t="shared" si="6"/>
        <v>#N/A</v>
      </c>
      <c r="N152" s="52">
        <f t="shared" si="7"/>
        <v>1</v>
      </c>
      <c r="O152" s="2"/>
      <c r="P152" s="2"/>
      <c r="Q152" s="2"/>
      <c r="R152" s="2"/>
      <c r="S152" s="25"/>
    </row>
    <row r="153" spans="1:19" x14ac:dyDescent="0.25">
      <c r="A153" s="28"/>
      <c r="B153" s="28"/>
      <c r="C153" s="28"/>
      <c r="D153" s="28"/>
      <c r="E153" s="28"/>
      <c r="F153" s="28"/>
      <c r="G153" s="52" t="e">
        <f>IF(M153="","",VLOOKUP(M153,MASTER!$B$11:$C$30,2,0))</f>
        <v>#N/A</v>
      </c>
      <c r="H153" t="s">
        <v>343</v>
      </c>
      <c r="I153" t="s">
        <v>344</v>
      </c>
      <c r="J153" t="s">
        <v>3</v>
      </c>
      <c r="K153">
        <v>1</v>
      </c>
      <c r="L153" t="s">
        <v>40</v>
      </c>
      <c r="M153" s="52" t="e">
        <f t="shared" si="6"/>
        <v>#N/A</v>
      </c>
      <c r="N153" s="52">
        <f t="shared" si="7"/>
        <v>1</v>
      </c>
      <c r="O153" s="2"/>
      <c r="P153" s="2"/>
      <c r="Q153" s="2"/>
      <c r="R153" s="2"/>
      <c r="S153" s="25"/>
    </row>
    <row r="154" spans="1:19" x14ac:dyDescent="0.25">
      <c r="A154" s="28"/>
      <c r="B154" s="28"/>
      <c r="C154" s="28"/>
      <c r="D154" s="28"/>
      <c r="E154" s="28"/>
      <c r="F154" s="28"/>
      <c r="G154" s="52" t="e">
        <f>IF(M154="","",VLOOKUP(M154,MASTER!$B$11:$C$30,2,0))</f>
        <v>#N/A</v>
      </c>
      <c r="H154" t="s">
        <v>345</v>
      </c>
      <c r="I154" t="s">
        <v>346</v>
      </c>
      <c r="J154" t="s">
        <v>3</v>
      </c>
      <c r="K154">
        <v>1</v>
      </c>
      <c r="L154" t="s">
        <v>40</v>
      </c>
      <c r="M154" s="52" t="e">
        <f t="shared" si="6"/>
        <v>#N/A</v>
      </c>
      <c r="N154" s="52">
        <f t="shared" si="7"/>
        <v>1</v>
      </c>
      <c r="O154" s="2"/>
      <c r="P154" s="2"/>
      <c r="Q154" s="2"/>
      <c r="R154" s="2"/>
      <c r="S154" s="25"/>
    </row>
    <row r="155" spans="1:19" x14ac:dyDescent="0.25">
      <c r="A155" s="28"/>
      <c r="B155" s="28"/>
      <c r="C155" s="28"/>
      <c r="D155" s="28"/>
      <c r="E155" s="28"/>
      <c r="F155" s="28"/>
      <c r="G155" s="52" t="e">
        <f>IF(M155="","",VLOOKUP(M155,MASTER!$B$11:$C$30,2,0))</f>
        <v>#N/A</v>
      </c>
      <c r="H155" t="s">
        <v>347</v>
      </c>
      <c r="I155" t="s">
        <v>348</v>
      </c>
      <c r="J155" t="s">
        <v>3</v>
      </c>
      <c r="K155">
        <v>1</v>
      </c>
      <c r="L155" t="s">
        <v>40</v>
      </c>
      <c r="M155" s="52" t="e">
        <f t="shared" si="6"/>
        <v>#N/A</v>
      </c>
      <c r="N155" s="52">
        <f t="shared" si="7"/>
        <v>1</v>
      </c>
      <c r="O155" s="2"/>
      <c r="P155" s="2"/>
      <c r="Q155" s="2"/>
      <c r="R155" s="2"/>
      <c r="S155" s="25"/>
    </row>
    <row r="156" spans="1:19" x14ac:dyDescent="0.25">
      <c r="A156" s="28"/>
      <c r="B156" s="28"/>
      <c r="C156" s="28"/>
      <c r="D156" s="28"/>
      <c r="E156" s="28"/>
      <c r="F156" s="28"/>
      <c r="G156" s="52" t="e">
        <f>IF(M156="","",VLOOKUP(M156,MASTER!$B$11:$C$30,2,0))</f>
        <v>#N/A</v>
      </c>
      <c r="H156" t="s">
        <v>349</v>
      </c>
      <c r="I156" t="s">
        <v>350</v>
      </c>
      <c r="J156" t="s">
        <v>3</v>
      </c>
      <c r="K156">
        <v>1</v>
      </c>
      <c r="L156" t="s">
        <v>40</v>
      </c>
      <c r="M156" s="52" t="e">
        <f t="shared" si="6"/>
        <v>#N/A</v>
      </c>
      <c r="N156" s="52">
        <f t="shared" si="7"/>
        <v>1</v>
      </c>
      <c r="O156" s="2"/>
      <c r="P156" s="2"/>
      <c r="Q156" s="2"/>
      <c r="R156" s="2"/>
      <c r="S156" s="25"/>
    </row>
    <row r="157" spans="1:19" x14ac:dyDescent="0.25">
      <c r="A157" s="28"/>
      <c r="B157" s="28"/>
      <c r="C157" s="28"/>
      <c r="D157" s="28"/>
      <c r="E157" s="28"/>
      <c r="F157" s="28"/>
      <c r="G157" s="52" t="e">
        <f>IF(M157="","",VLOOKUP(M157,MASTER!$B$11:$C$30,2,0))</f>
        <v>#N/A</v>
      </c>
      <c r="H157" t="s">
        <v>351</v>
      </c>
      <c r="I157" t="s">
        <v>352</v>
      </c>
      <c r="J157" t="s">
        <v>3</v>
      </c>
      <c r="K157">
        <v>1</v>
      </c>
      <c r="L157" t="s">
        <v>40</v>
      </c>
      <c r="M157" s="52" t="e">
        <f t="shared" si="6"/>
        <v>#N/A</v>
      </c>
      <c r="N157" s="52">
        <f t="shared" si="7"/>
        <v>1</v>
      </c>
      <c r="O157" s="2"/>
      <c r="P157" s="2"/>
      <c r="Q157" s="2"/>
      <c r="R157" s="2"/>
      <c r="S157" s="25"/>
    </row>
    <row r="158" spans="1:19" x14ac:dyDescent="0.25">
      <c r="A158" s="28"/>
      <c r="B158" s="28"/>
      <c r="C158" s="28"/>
      <c r="D158" s="28"/>
      <c r="E158" s="28"/>
      <c r="F158" s="28"/>
      <c r="G158" s="52" t="e">
        <f>IF(M158="","",VLOOKUP(M158,MASTER!$B$11:$C$30,2,0))</f>
        <v>#N/A</v>
      </c>
      <c r="H158" t="s">
        <v>353</v>
      </c>
      <c r="I158" t="s">
        <v>354</v>
      </c>
      <c r="J158" t="s">
        <v>3</v>
      </c>
      <c r="K158">
        <v>1</v>
      </c>
      <c r="L158" t="s">
        <v>40</v>
      </c>
      <c r="M158" s="52" t="e">
        <f t="shared" si="6"/>
        <v>#N/A</v>
      </c>
      <c r="N158" s="52">
        <f t="shared" si="7"/>
        <v>1</v>
      </c>
      <c r="O158" s="2"/>
      <c r="P158" s="2"/>
      <c r="Q158" s="2"/>
      <c r="R158" s="2"/>
      <c r="S158" s="25"/>
    </row>
    <row r="159" spans="1:19" x14ac:dyDescent="0.25">
      <c r="A159" s="28"/>
      <c r="B159" s="28"/>
      <c r="C159" s="28"/>
      <c r="D159" s="28"/>
      <c r="E159" s="28"/>
      <c r="F159" s="28"/>
      <c r="G159" s="52" t="e">
        <f>IF(M159="","",VLOOKUP(M159,MASTER!$B$11:$C$30,2,0))</f>
        <v>#N/A</v>
      </c>
      <c r="H159" t="s">
        <v>355</v>
      </c>
      <c r="I159" t="s">
        <v>356</v>
      </c>
      <c r="J159" t="s">
        <v>3</v>
      </c>
      <c r="K159">
        <v>1</v>
      </c>
      <c r="L159" t="s">
        <v>40</v>
      </c>
      <c r="M159" s="52" t="e">
        <f t="shared" si="6"/>
        <v>#N/A</v>
      </c>
      <c r="N159" s="52">
        <f t="shared" si="7"/>
        <v>1</v>
      </c>
      <c r="O159" s="2"/>
      <c r="P159" s="2"/>
      <c r="Q159" s="2"/>
      <c r="R159" s="2"/>
      <c r="S159" s="25"/>
    </row>
    <row r="160" spans="1:19" x14ac:dyDescent="0.25">
      <c r="A160" s="28"/>
      <c r="B160" s="28"/>
      <c r="C160" s="28"/>
      <c r="D160" s="28"/>
      <c r="E160" s="28"/>
      <c r="F160" s="28"/>
      <c r="G160" s="52" t="e">
        <f>IF(M160="","",VLOOKUP(M160,MASTER!$B$11:$C$30,2,0))</f>
        <v>#N/A</v>
      </c>
      <c r="H160" t="s">
        <v>357</v>
      </c>
      <c r="I160" t="s">
        <v>358</v>
      </c>
      <c r="J160" t="s">
        <v>3</v>
      </c>
      <c r="K160">
        <v>1</v>
      </c>
      <c r="L160" t="s">
        <v>40</v>
      </c>
      <c r="M160" s="52" t="e">
        <f t="shared" si="6"/>
        <v>#N/A</v>
      </c>
      <c r="N160" s="52">
        <f t="shared" si="7"/>
        <v>1</v>
      </c>
      <c r="O160" s="2"/>
      <c r="P160" s="2"/>
      <c r="Q160" s="2"/>
      <c r="R160" s="2"/>
      <c r="S160" s="25"/>
    </row>
    <row r="161" spans="1:19" x14ac:dyDescent="0.25">
      <c r="A161" s="28"/>
      <c r="B161" s="28"/>
      <c r="C161" s="28"/>
      <c r="D161" s="28"/>
      <c r="E161" s="28"/>
      <c r="F161" s="28"/>
      <c r="G161" s="52" t="e">
        <f>IF(M161="","",VLOOKUP(M161,MASTER!$B$11:$C$30,2,0))</f>
        <v>#N/A</v>
      </c>
      <c r="H161" t="s">
        <v>359</v>
      </c>
      <c r="I161" t="s">
        <v>360</v>
      </c>
      <c r="J161" t="s">
        <v>3</v>
      </c>
      <c r="K161">
        <v>1</v>
      </c>
      <c r="L161" t="s">
        <v>40</v>
      </c>
      <c r="M161" s="52" t="e">
        <f t="shared" si="6"/>
        <v>#N/A</v>
      </c>
      <c r="N161" s="52">
        <f t="shared" si="7"/>
        <v>1</v>
      </c>
      <c r="O161" s="2"/>
      <c r="P161" s="2"/>
      <c r="Q161" s="2"/>
      <c r="R161" s="2"/>
      <c r="S161" s="25"/>
    </row>
    <row r="162" spans="1:19" x14ac:dyDescent="0.25">
      <c r="A162" s="28"/>
      <c r="B162" s="28"/>
      <c r="C162" s="28"/>
      <c r="D162" s="28"/>
      <c r="E162" s="28"/>
      <c r="F162" s="28"/>
      <c r="G162" s="52" t="e">
        <f>IF(M162="","",VLOOKUP(M162,MASTER!$B$11:$C$30,2,0))</f>
        <v>#N/A</v>
      </c>
      <c r="H162" t="s">
        <v>361</v>
      </c>
      <c r="I162" t="s">
        <v>362</v>
      </c>
      <c r="J162" t="s">
        <v>3</v>
      </c>
      <c r="K162">
        <v>1</v>
      </c>
      <c r="L162" t="s">
        <v>40</v>
      </c>
      <c r="M162" s="52" t="e">
        <f t="shared" si="6"/>
        <v>#N/A</v>
      </c>
      <c r="N162" s="52">
        <f t="shared" si="7"/>
        <v>1</v>
      </c>
      <c r="O162" s="2"/>
      <c r="P162" s="2"/>
      <c r="Q162" s="2"/>
      <c r="R162" s="2"/>
      <c r="S162" s="25"/>
    </row>
    <row r="163" spans="1:19" x14ac:dyDescent="0.25">
      <c r="A163" s="28"/>
      <c r="B163" s="28"/>
      <c r="C163" s="28"/>
      <c r="D163" s="28"/>
      <c r="E163" s="28"/>
      <c r="F163" s="28"/>
      <c r="G163" s="52" t="e">
        <f>IF(M163="","",VLOOKUP(M163,MASTER!$B$11:$C$30,2,0))</f>
        <v>#N/A</v>
      </c>
      <c r="H163" t="s">
        <v>363</v>
      </c>
      <c r="I163" t="s">
        <v>364</v>
      </c>
      <c r="J163" t="s">
        <v>3</v>
      </c>
      <c r="K163">
        <v>1</v>
      </c>
      <c r="L163" t="s">
        <v>40</v>
      </c>
      <c r="M163" s="52" t="e">
        <f t="shared" si="6"/>
        <v>#N/A</v>
      </c>
      <c r="N163" s="52">
        <f t="shared" si="7"/>
        <v>1</v>
      </c>
      <c r="O163" s="2"/>
      <c r="P163" s="2"/>
      <c r="Q163" s="2"/>
      <c r="R163" s="2"/>
      <c r="S163" s="25"/>
    </row>
    <row r="164" spans="1:19" x14ac:dyDescent="0.25">
      <c r="A164" s="28"/>
      <c r="B164" s="28"/>
      <c r="C164" s="28"/>
      <c r="D164" s="28"/>
      <c r="E164" s="28"/>
      <c r="F164" s="28"/>
      <c r="G164" s="52" t="e">
        <f>IF(M164="","",VLOOKUP(M164,MASTER!$B$11:$C$30,2,0))</f>
        <v>#N/A</v>
      </c>
      <c r="H164" t="s">
        <v>365</v>
      </c>
      <c r="I164" t="s">
        <v>366</v>
      </c>
      <c r="J164" t="s">
        <v>3</v>
      </c>
      <c r="K164">
        <v>1</v>
      </c>
      <c r="L164" t="s">
        <v>40</v>
      </c>
      <c r="M164" s="52" t="e">
        <f t="shared" si="6"/>
        <v>#N/A</v>
      </c>
      <c r="N164" s="52">
        <f t="shared" si="7"/>
        <v>1</v>
      </c>
      <c r="O164" s="2"/>
      <c r="P164" s="2"/>
      <c r="Q164" s="2"/>
      <c r="R164" s="2"/>
      <c r="S164" s="25"/>
    </row>
    <row r="165" spans="1:19" x14ac:dyDescent="0.25">
      <c r="A165" s="28"/>
      <c r="B165" s="28"/>
      <c r="C165" s="28"/>
      <c r="D165" s="28"/>
      <c r="E165" s="28"/>
      <c r="F165" s="28"/>
      <c r="G165" s="52" t="e">
        <f>IF(M165="","",VLOOKUP(M165,MASTER!$B$11:$C$30,2,0))</f>
        <v>#N/A</v>
      </c>
      <c r="H165" t="s">
        <v>367</v>
      </c>
      <c r="I165" t="s">
        <v>368</v>
      </c>
      <c r="J165" t="s">
        <v>3</v>
      </c>
      <c r="K165">
        <v>1</v>
      </c>
      <c r="L165" t="s">
        <v>40</v>
      </c>
      <c r="M165" s="52" t="e">
        <f t="shared" si="6"/>
        <v>#N/A</v>
      </c>
      <c r="N165" s="52">
        <f t="shared" si="7"/>
        <v>1</v>
      </c>
      <c r="O165" s="2"/>
      <c r="P165" s="2"/>
      <c r="Q165" s="2"/>
      <c r="R165" s="2"/>
      <c r="S165" s="25"/>
    </row>
    <row r="166" spans="1:19" x14ac:dyDescent="0.25">
      <c r="A166" s="28"/>
      <c r="B166" s="28"/>
      <c r="C166" s="28"/>
      <c r="D166" s="28"/>
      <c r="E166" s="28"/>
      <c r="F166" s="28"/>
      <c r="G166" s="52" t="e">
        <f>IF(M166="","",VLOOKUP(M166,MASTER!$B$11:$C$30,2,0))</f>
        <v>#N/A</v>
      </c>
      <c r="H166" t="s">
        <v>369</v>
      </c>
      <c r="I166" t="s">
        <v>370</v>
      </c>
      <c r="J166" t="s">
        <v>3</v>
      </c>
      <c r="K166">
        <v>1</v>
      </c>
      <c r="L166" t="s">
        <v>40</v>
      </c>
      <c r="M166" s="52" t="e">
        <f t="shared" si="6"/>
        <v>#N/A</v>
      </c>
      <c r="N166" s="52">
        <f t="shared" si="7"/>
        <v>1</v>
      </c>
      <c r="O166" s="2"/>
      <c r="P166" s="2"/>
      <c r="Q166" s="2"/>
      <c r="R166" s="2"/>
      <c r="S166" s="25"/>
    </row>
    <row r="167" spans="1:19" x14ac:dyDescent="0.25">
      <c r="A167" s="28"/>
      <c r="B167" s="28"/>
      <c r="C167" s="28"/>
      <c r="D167" s="28"/>
      <c r="E167" s="28"/>
      <c r="F167" s="28"/>
      <c r="G167" s="52" t="e">
        <f>IF(M167="","",VLOOKUP(M167,MASTER!$B$11:$C$30,2,0))</f>
        <v>#N/A</v>
      </c>
      <c r="H167" t="s">
        <v>371</v>
      </c>
      <c r="I167" t="s">
        <v>372</v>
      </c>
      <c r="J167" t="s">
        <v>3</v>
      </c>
      <c r="K167">
        <v>1</v>
      </c>
      <c r="L167" t="s">
        <v>40</v>
      </c>
      <c r="M167" s="52" t="e">
        <f t="shared" si="6"/>
        <v>#N/A</v>
      </c>
      <c r="N167" s="52">
        <f t="shared" si="7"/>
        <v>1</v>
      </c>
      <c r="O167" s="2"/>
      <c r="P167" s="2"/>
      <c r="Q167" s="2"/>
      <c r="R167" s="2"/>
      <c r="S167" s="25"/>
    </row>
    <row r="168" spans="1:19" x14ac:dyDescent="0.25">
      <c r="A168" s="28"/>
      <c r="B168" s="28"/>
      <c r="C168" s="28"/>
      <c r="D168" s="28"/>
      <c r="E168" s="28"/>
      <c r="F168" s="28"/>
      <c r="G168" s="52" t="e">
        <f>IF(M168="","",VLOOKUP(M168,MASTER!$B$11:$C$30,2,0))</f>
        <v>#N/A</v>
      </c>
      <c r="H168" t="s">
        <v>373</v>
      </c>
      <c r="I168" t="s">
        <v>374</v>
      </c>
      <c r="J168" t="s">
        <v>3</v>
      </c>
      <c r="K168">
        <v>1</v>
      </c>
      <c r="L168" t="s">
        <v>40</v>
      </c>
      <c r="M168" s="52" t="e">
        <f t="shared" si="6"/>
        <v>#N/A</v>
      </c>
      <c r="N168" s="52">
        <f t="shared" si="7"/>
        <v>1</v>
      </c>
      <c r="O168" s="2"/>
      <c r="P168" s="2"/>
      <c r="Q168" s="2"/>
      <c r="R168" s="2"/>
      <c r="S168" s="25"/>
    </row>
    <row r="169" spans="1:19" x14ac:dyDescent="0.25">
      <c r="A169" s="28"/>
      <c r="B169" s="28"/>
      <c r="C169" s="28"/>
      <c r="D169" s="28"/>
      <c r="E169" s="28"/>
      <c r="F169" s="28"/>
      <c r="G169" s="52" t="e">
        <f>IF(M169="","",VLOOKUP(M169,MASTER!$B$11:$C$30,2,0))</f>
        <v>#N/A</v>
      </c>
      <c r="H169" t="s">
        <v>375</v>
      </c>
      <c r="I169" t="s">
        <v>376</v>
      </c>
      <c r="J169" t="s">
        <v>3</v>
      </c>
      <c r="K169">
        <v>1</v>
      </c>
      <c r="L169" t="s">
        <v>40</v>
      </c>
      <c r="M169" s="52" t="e">
        <f t="shared" si="6"/>
        <v>#N/A</v>
      </c>
      <c r="N169" s="52">
        <f t="shared" si="7"/>
        <v>1</v>
      </c>
      <c r="O169" s="2"/>
      <c r="P169" s="2"/>
      <c r="Q169" s="2"/>
      <c r="R169" s="2"/>
      <c r="S169" s="25"/>
    </row>
    <row r="170" spans="1:19" x14ac:dyDescent="0.25">
      <c r="A170" s="28"/>
      <c r="B170" s="28"/>
      <c r="C170" s="28"/>
      <c r="D170" s="28"/>
      <c r="E170" s="28"/>
      <c r="F170" s="28"/>
      <c r="G170" s="52" t="e">
        <f>IF(M170="","",VLOOKUP(M170,MASTER!$B$11:$C$30,2,0))</f>
        <v>#N/A</v>
      </c>
      <c r="H170" t="s">
        <v>377</v>
      </c>
      <c r="I170" t="s">
        <v>378</v>
      </c>
      <c r="J170" t="s">
        <v>3</v>
      </c>
      <c r="K170">
        <v>1</v>
      </c>
      <c r="L170" t="s">
        <v>40</v>
      </c>
      <c r="M170" s="52" t="e">
        <f t="shared" si="6"/>
        <v>#N/A</v>
      </c>
      <c r="N170" s="52">
        <f t="shared" si="7"/>
        <v>1</v>
      </c>
      <c r="O170" s="2"/>
      <c r="P170" s="2"/>
      <c r="Q170" s="2"/>
      <c r="R170" s="2"/>
      <c r="S170" s="25"/>
    </row>
    <row r="171" spans="1:19" x14ac:dyDescent="0.25">
      <c r="A171" s="28"/>
      <c r="B171" s="28"/>
      <c r="C171" s="28"/>
      <c r="D171" s="28"/>
      <c r="E171" s="28"/>
      <c r="F171" s="28"/>
      <c r="G171" s="52" t="e">
        <f>IF(M171="","",VLOOKUP(M171,MASTER!$B$11:$C$30,2,0))</f>
        <v>#N/A</v>
      </c>
      <c r="H171" t="s">
        <v>379</v>
      </c>
      <c r="I171" t="s">
        <v>380</v>
      </c>
      <c r="J171" t="s">
        <v>3</v>
      </c>
      <c r="K171">
        <v>1</v>
      </c>
      <c r="L171" t="s">
        <v>40</v>
      </c>
      <c r="M171" s="52" t="e">
        <f t="shared" si="6"/>
        <v>#N/A</v>
      </c>
      <c r="N171" s="52">
        <f t="shared" si="7"/>
        <v>1</v>
      </c>
      <c r="O171" s="2"/>
      <c r="P171" s="2"/>
      <c r="Q171" s="2"/>
      <c r="R171" s="2"/>
      <c r="S171" s="25"/>
    </row>
    <row r="172" spans="1:19" x14ac:dyDescent="0.25">
      <c r="A172" s="28"/>
      <c r="B172" s="28"/>
      <c r="C172" s="28"/>
      <c r="D172" s="28"/>
      <c r="E172" s="28"/>
      <c r="F172" s="28"/>
      <c r="G172" s="52" t="e">
        <f>IF(M172="","",VLOOKUP(M172,MASTER!$B$11:$C$30,2,0))</f>
        <v>#N/A</v>
      </c>
      <c r="H172" t="s">
        <v>381</v>
      </c>
      <c r="I172" t="s">
        <v>382</v>
      </c>
      <c r="J172" t="s">
        <v>3</v>
      </c>
      <c r="K172">
        <v>1</v>
      </c>
      <c r="L172" t="s">
        <v>40</v>
      </c>
      <c r="M172" s="52" t="e">
        <f t="shared" si="6"/>
        <v>#N/A</v>
      </c>
      <c r="N172" s="52">
        <f t="shared" si="7"/>
        <v>1</v>
      </c>
      <c r="O172" s="2"/>
      <c r="P172" s="2"/>
      <c r="Q172" s="2"/>
      <c r="R172" s="2"/>
      <c r="S172" s="25"/>
    </row>
    <row r="173" spans="1:19" x14ac:dyDescent="0.25">
      <c r="A173" s="28"/>
      <c r="B173" s="28"/>
      <c r="C173" s="28"/>
      <c r="D173" s="28"/>
      <c r="E173" s="28"/>
      <c r="F173" s="28"/>
      <c r="G173" s="52" t="e">
        <f>IF(M173="","",VLOOKUP(M173,MASTER!$B$11:$C$30,2,0))</f>
        <v>#N/A</v>
      </c>
      <c r="H173" t="s">
        <v>383</v>
      </c>
      <c r="I173" t="s">
        <v>384</v>
      </c>
      <c r="J173" t="s">
        <v>3</v>
      </c>
      <c r="K173">
        <v>1</v>
      </c>
      <c r="L173" t="s">
        <v>40</v>
      </c>
      <c r="M173" s="52" t="e">
        <f t="shared" si="6"/>
        <v>#N/A</v>
      </c>
      <c r="N173" s="52">
        <f t="shared" si="7"/>
        <v>1</v>
      </c>
      <c r="O173" s="2"/>
      <c r="P173" s="2"/>
      <c r="Q173" s="2"/>
      <c r="R173" s="2"/>
      <c r="S173" s="25"/>
    </row>
    <row r="174" spans="1:19" x14ac:dyDescent="0.25">
      <c r="A174" s="28"/>
      <c r="B174" s="28"/>
      <c r="C174" s="28"/>
      <c r="D174" s="28"/>
      <c r="E174" s="28"/>
      <c r="F174" s="28"/>
      <c r="G174" s="52" t="e">
        <f>IF(M174="","",VLOOKUP(M174,MASTER!$B$11:$C$30,2,0))</f>
        <v>#N/A</v>
      </c>
      <c r="H174" t="s">
        <v>385</v>
      </c>
      <c r="I174" t="s">
        <v>386</v>
      </c>
      <c r="J174" t="s">
        <v>3</v>
      </c>
      <c r="K174">
        <v>1</v>
      </c>
      <c r="L174" t="s">
        <v>40</v>
      </c>
      <c r="M174" s="52" t="e">
        <f t="shared" si="6"/>
        <v>#N/A</v>
      </c>
      <c r="N174" s="52">
        <f t="shared" si="7"/>
        <v>1</v>
      </c>
      <c r="O174" s="2"/>
      <c r="P174" s="2"/>
      <c r="Q174" s="2"/>
      <c r="R174" s="2"/>
      <c r="S174" s="25"/>
    </row>
    <row r="175" spans="1:19" x14ac:dyDescent="0.25">
      <c r="A175" s="28"/>
      <c r="B175" s="28"/>
      <c r="C175" s="28"/>
      <c r="D175" s="28"/>
      <c r="E175" s="28"/>
      <c r="F175" s="28"/>
      <c r="G175" s="52" t="e">
        <f>IF(M175="","",VLOOKUP(M175,MASTER!$B$11:$C$30,2,0))</f>
        <v>#N/A</v>
      </c>
      <c r="H175" t="s">
        <v>387</v>
      </c>
      <c r="I175" t="s">
        <v>388</v>
      </c>
      <c r="J175" t="s">
        <v>3</v>
      </c>
      <c r="K175">
        <v>1</v>
      </c>
      <c r="L175" t="s">
        <v>40</v>
      </c>
      <c r="M175" s="52" t="e">
        <f t="shared" si="6"/>
        <v>#N/A</v>
      </c>
      <c r="N175" s="52">
        <f t="shared" si="7"/>
        <v>1</v>
      </c>
      <c r="O175" s="2"/>
      <c r="P175" s="2"/>
      <c r="Q175" s="2"/>
      <c r="R175" s="2"/>
      <c r="S175" s="25"/>
    </row>
    <row r="176" spans="1:19" x14ac:dyDescent="0.25">
      <c r="A176" s="28"/>
      <c r="B176" s="28"/>
      <c r="C176" s="28"/>
      <c r="D176" s="28"/>
      <c r="E176" s="28"/>
      <c r="F176" s="28"/>
      <c r="G176" s="52" t="e">
        <f>IF(M176="","",VLOOKUP(M176,MASTER!$B$11:$C$30,2,0))</f>
        <v>#N/A</v>
      </c>
      <c r="H176" t="s">
        <v>389</v>
      </c>
      <c r="I176" t="s">
        <v>390</v>
      </c>
      <c r="J176" t="s">
        <v>3</v>
      </c>
      <c r="K176">
        <v>1</v>
      </c>
      <c r="L176" t="s">
        <v>40</v>
      </c>
      <c r="M176" s="52" t="e">
        <f t="shared" si="6"/>
        <v>#N/A</v>
      </c>
      <c r="N176" s="52">
        <f t="shared" si="7"/>
        <v>1</v>
      </c>
      <c r="O176" s="2"/>
      <c r="P176" s="2"/>
      <c r="Q176" s="2"/>
      <c r="R176" s="2"/>
      <c r="S176" s="25"/>
    </row>
    <row r="177" spans="1:19" x14ac:dyDescent="0.25">
      <c r="A177" s="28"/>
      <c r="B177" s="28"/>
      <c r="C177" s="28"/>
      <c r="D177" s="28"/>
      <c r="E177" s="28"/>
      <c r="F177" s="28"/>
      <c r="G177" s="52" t="e">
        <f>IF(M177="","",VLOOKUP(M177,MASTER!$B$11:$C$30,2,0))</f>
        <v>#N/A</v>
      </c>
      <c r="H177" t="s">
        <v>391</v>
      </c>
      <c r="I177" t="s">
        <v>392</v>
      </c>
      <c r="J177" t="s">
        <v>3</v>
      </c>
      <c r="K177">
        <v>1</v>
      </c>
      <c r="L177" t="s">
        <v>40</v>
      </c>
      <c r="M177" s="52" t="e">
        <f t="shared" si="6"/>
        <v>#N/A</v>
      </c>
      <c r="N177" s="52">
        <f t="shared" si="7"/>
        <v>1</v>
      </c>
      <c r="O177" s="2"/>
      <c r="P177" s="2"/>
      <c r="Q177" s="2"/>
      <c r="R177" s="2"/>
      <c r="S177" s="25"/>
    </row>
    <row r="178" spans="1:19" x14ac:dyDescent="0.25">
      <c r="A178" s="28"/>
      <c r="B178" s="28"/>
      <c r="C178" s="28"/>
      <c r="D178" s="28"/>
      <c r="E178" s="28"/>
      <c r="F178" s="28"/>
      <c r="G178" s="52" t="e">
        <f>IF(M178="","",VLOOKUP(M178,MASTER!$B$11:$C$30,2,0))</f>
        <v>#N/A</v>
      </c>
      <c r="H178" t="s">
        <v>393</v>
      </c>
      <c r="I178" t="s">
        <v>394</v>
      </c>
      <c r="J178" t="s">
        <v>3</v>
      </c>
      <c r="K178">
        <v>1</v>
      </c>
      <c r="L178" t="s">
        <v>40</v>
      </c>
      <c r="M178" s="52" t="e">
        <f t="shared" si="6"/>
        <v>#N/A</v>
      </c>
      <c r="N178" s="52">
        <f t="shared" si="7"/>
        <v>1</v>
      </c>
      <c r="O178" s="2"/>
      <c r="P178" s="2"/>
      <c r="Q178" s="2"/>
      <c r="R178" s="2"/>
      <c r="S178" s="25"/>
    </row>
    <row r="179" spans="1:19" x14ac:dyDescent="0.25">
      <c r="A179" s="28"/>
      <c r="B179" s="28"/>
      <c r="C179" s="28"/>
      <c r="D179" s="28"/>
      <c r="E179" s="28"/>
      <c r="F179" s="28"/>
      <c r="G179" s="52" t="e">
        <f>IF(M179="","",VLOOKUP(M179,MASTER!$B$11:$C$30,2,0))</f>
        <v>#N/A</v>
      </c>
      <c r="H179" t="s">
        <v>395</v>
      </c>
      <c r="I179" t="s">
        <v>396</v>
      </c>
      <c r="J179" t="s">
        <v>3</v>
      </c>
      <c r="K179">
        <v>1</v>
      </c>
      <c r="L179" t="s">
        <v>40</v>
      </c>
      <c r="M179" s="52" t="e">
        <f t="shared" si="6"/>
        <v>#N/A</v>
      </c>
      <c r="N179" s="52">
        <f t="shared" si="7"/>
        <v>1</v>
      </c>
      <c r="O179" s="2"/>
      <c r="P179" s="2"/>
      <c r="Q179" s="2"/>
      <c r="R179" s="2"/>
      <c r="S179" s="25"/>
    </row>
    <row r="180" spans="1:19" x14ac:dyDescent="0.25">
      <c r="A180" s="28"/>
      <c r="B180" s="28"/>
      <c r="C180" s="28"/>
      <c r="D180" s="28"/>
      <c r="E180" s="28"/>
      <c r="F180" s="28"/>
      <c r="G180" s="52" t="e">
        <f>IF(M180="","",VLOOKUP(M180,MASTER!$B$11:$C$30,2,0))</f>
        <v>#N/A</v>
      </c>
      <c r="H180" t="s">
        <v>397</v>
      </c>
      <c r="I180" t="s">
        <v>398</v>
      </c>
      <c r="J180" t="s">
        <v>3</v>
      </c>
      <c r="K180">
        <v>1</v>
      </c>
      <c r="L180" t="s">
        <v>40</v>
      </c>
      <c r="M180" s="52" t="e">
        <f t="shared" si="6"/>
        <v>#N/A</v>
      </c>
      <c r="N180" s="52">
        <f t="shared" si="7"/>
        <v>1</v>
      </c>
      <c r="O180" s="2"/>
      <c r="P180" s="2"/>
      <c r="Q180" s="2"/>
      <c r="R180" s="2"/>
      <c r="S180" s="25"/>
    </row>
    <row r="181" spans="1:19" x14ac:dyDescent="0.25">
      <c r="A181" s="28"/>
      <c r="B181" s="28"/>
      <c r="C181" s="28"/>
      <c r="D181" s="28"/>
      <c r="E181" s="28"/>
      <c r="F181" s="28"/>
      <c r="G181" s="52" t="e">
        <f>IF(M181="","",VLOOKUP(M181,MASTER!$B$11:$C$30,2,0))</f>
        <v>#N/A</v>
      </c>
      <c r="H181" t="s">
        <v>399</v>
      </c>
      <c r="I181" t="s">
        <v>400</v>
      </c>
      <c r="J181" t="s">
        <v>3</v>
      </c>
      <c r="K181">
        <v>1</v>
      </c>
      <c r="L181" t="s">
        <v>40</v>
      </c>
      <c r="M181" s="52" t="e">
        <f t="shared" si="6"/>
        <v>#N/A</v>
      </c>
      <c r="N181" s="52">
        <f t="shared" si="7"/>
        <v>1</v>
      </c>
      <c r="O181" s="2"/>
      <c r="P181" s="2"/>
      <c r="Q181" s="2"/>
      <c r="R181" s="2"/>
      <c r="S181" s="25"/>
    </row>
    <row r="182" spans="1:19" x14ac:dyDescent="0.25">
      <c r="A182" s="28"/>
      <c r="B182" s="28"/>
      <c r="C182" s="28"/>
      <c r="D182" s="28"/>
      <c r="E182" s="28"/>
      <c r="F182" s="28"/>
      <c r="G182" s="52" t="e">
        <f>IF(M182="","",VLOOKUP(M182,MASTER!$B$11:$C$30,2,0))</f>
        <v>#N/A</v>
      </c>
      <c r="H182" t="s">
        <v>401</v>
      </c>
      <c r="I182" t="s">
        <v>402</v>
      </c>
      <c r="J182" t="s">
        <v>3</v>
      </c>
      <c r="K182">
        <v>1</v>
      </c>
      <c r="L182" t="s">
        <v>40</v>
      </c>
      <c r="M182" s="52" t="e">
        <f t="shared" si="6"/>
        <v>#N/A</v>
      </c>
      <c r="N182" s="52">
        <f t="shared" si="7"/>
        <v>1</v>
      </c>
      <c r="O182" s="2"/>
      <c r="P182" s="2"/>
      <c r="Q182" s="2"/>
      <c r="R182" s="2"/>
      <c r="S182" s="25"/>
    </row>
    <row r="183" spans="1:19" x14ac:dyDescent="0.25">
      <c r="A183" s="28"/>
      <c r="B183" s="28"/>
      <c r="C183" s="28"/>
      <c r="D183" s="28"/>
      <c r="E183" s="28"/>
      <c r="F183" s="28"/>
      <c r="G183" s="52" t="e">
        <f>IF(M183="","",VLOOKUP(M183,MASTER!$B$11:$C$30,2,0))</f>
        <v>#N/A</v>
      </c>
      <c r="H183" t="s">
        <v>403</v>
      </c>
      <c r="I183" t="s">
        <v>404</v>
      </c>
      <c r="J183" t="s">
        <v>3</v>
      </c>
      <c r="K183">
        <v>1</v>
      </c>
      <c r="L183" t="s">
        <v>40</v>
      </c>
      <c r="M183" s="52" t="e">
        <f t="shared" si="6"/>
        <v>#N/A</v>
      </c>
      <c r="N183" s="52">
        <f t="shared" si="7"/>
        <v>1</v>
      </c>
      <c r="O183" s="2"/>
      <c r="P183" s="2"/>
      <c r="Q183" s="2"/>
      <c r="R183" s="2"/>
      <c r="S183" s="25"/>
    </row>
    <row r="184" spans="1:19" x14ac:dyDescent="0.25">
      <c r="A184" s="28"/>
      <c r="B184" s="28"/>
      <c r="C184" s="28"/>
      <c r="D184" s="28"/>
      <c r="E184" s="28"/>
      <c r="F184" s="28"/>
      <c r="G184" s="52" t="e">
        <f>IF(M184="","",VLOOKUP(M184,MASTER!$B$11:$C$30,2,0))</f>
        <v>#N/A</v>
      </c>
      <c r="H184" t="s">
        <v>405</v>
      </c>
      <c r="I184" t="s">
        <v>406</v>
      </c>
      <c r="J184" t="s">
        <v>3</v>
      </c>
      <c r="K184">
        <v>1</v>
      </c>
      <c r="L184" t="s">
        <v>40</v>
      </c>
      <c r="M184" s="52" t="e">
        <f t="shared" si="6"/>
        <v>#N/A</v>
      </c>
      <c r="N184" s="52">
        <f t="shared" si="7"/>
        <v>1</v>
      </c>
      <c r="O184" s="2"/>
      <c r="P184" s="2"/>
      <c r="Q184" s="2"/>
      <c r="R184" s="2"/>
      <c r="S184" s="25"/>
    </row>
    <row r="185" spans="1:19" x14ac:dyDescent="0.25">
      <c r="A185" s="28"/>
      <c r="B185" s="28"/>
      <c r="C185" s="28"/>
      <c r="D185" s="28"/>
      <c r="E185" s="28"/>
      <c r="F185" s="28"/>
      <c r="G185" s="52" t="e">
        <f>IF(M185="","",VLOOKUP(M185,MASTER!$B$11:$C$30,2,0))</f>
        <v>#N/A</v>
      </c>
      <c r="H185" t="s">
        <v>407</v>
      </c>
      <c r="I185" t="s">
        <v>408</v>
      </c>
      <c r="J185" t="s">
        <v>3</v>
      </c>
      <c r="K185">
        <v>1</v>
      </c>
      <c r="L185" t="s">
        <v>40</v>
      </c>
      <c r="M185" s="52" t="e">
        <f t="shared" si="6"/>
        <v>#N/A</v>
      </c>
      <c r="N185" s="52">
        <f t="shared" si="7"/>
        <v>1</v>
      </c>
      <c r="O185" s="2"/>
      <c r="P185" s="2"/>
      <c r="Q185" s="2"/>
      <c r="R185" s="2"/>
      <c r="S185" s="25"/>
    </row>
    <row r="186" spans="1:19" x14ac:dyDescent="0.25">
      <c r="A186" s="28"/>
      <c r="B186" s="28"/>
      <c r="C186" s="28"/>
      <c r="D186" s="28"/>
      <c r="E186" s="28"/>
      <c r="F186" s="28"/>
      <c r="G186" s="52" t="e">
        <f>IF(M186="","",VLOOKUP(M186,MASTER!$B$11:$C$30,2,0))</f>
        <v>#N/A</v>
      </c>
      <c r="H186" t="s">
        <v>409</v>
      </c>
      <c r="I186" t="s">
        <v>410</v>
      </c>
      <c r="J186" t="s">
        <v>3</v>
      </c>
      <c r="K186">
        <v>1</v>
      </c>
      <c r="L186" t="s">
        <v>40</v>
      </c>
      <c r="M186" s="52" t="e">
        <f t="shared" si="6"/>
        <v>#N/A</v>
      </c>
      <c r="N186" s="52">
        <f t="shared" si="7"/>
        <v>1</v>
      </c>
      <c r="O186" s="2"/>
      <c r="P186" s="2"/>
      <c r="Q186" s="2"/>
      <c r="R186" s="2"/>
      <c r="S186" s="25"/>
    </row>
    <row r="187" spans="1:19" x14ac:dyDescent="0.25">
      <c r="A187" s="28"/>
      <c r="B187" s="28"/>
      <c r="C187" s="28"/>
      <c r="D187" s="28"/>
      <c r="E187" s="28"/>
      <c r="F187" s="28"/>
      <c r="G187" s="52" t="e">
        <f>IF(M187="","",VLOOKUP(M187,MASTER!$B$11:$C$30,2,0))</f>
        <v>#N/A</v>
      </c>
      <c r="H187" t="s">
        <v>411</v>
      </c>
      <c r="I187" t="s">
        <v>412</v>
      </c>
      <c r="J187" t="s">
        <v>3</v>
      </c>
      <c r="K187">
        <v>1</v>
      </c>
      <c r="L187" t="s">
        <v>40</v>
      </c>
      <c r="M187" s="52" t="e">
        <f t="shared" si="6"/>
        <v>#N/A</v>
      </c>
      <c r="N187" s="52">
        <f t="shared" si="7"/>
        <v>1</v>
      </c>
      <c r="O187" s="2"/>
      <c r="P187" s="2"/>
      <c r="Q187" s="2"/>
      <c r="R187" s="2"/>
      <c r="S187" s="25"/>
    </row>
    <row r="188" spans="1:19" x14ac:dyDescent="0.25">
      <c r="A188" s="28"/>
      <c r="B188" s="28"/>
      <c r="C188" s="28"/>
      <c r="D188" s="28"/>
      <c r="E188" s="28"/>
      <c r="F188" s="28"/>
      <c r="G188" s="52" t="e">
        <f>IF(M188="","",VLOOKUP(M188,MASTER!$B$11:$C$30,2,0))</f>
        <v>#N/A</v>
      </c>
      <c r="H188" t="s">
        <v>413</v>
      </c>
      <c r="I188" t="s">
        <v>414</v>
      </c>
      <c r="J188" t="s">
        <v>3</v>
      </c>
      <c r="K188">
        <v>1</v>
      </c>
      <c r="L188" t="s">
        <v>40</v>
      </c>
      <c r="M188" s="52" t="e">
        <f t="shared" si="6"/>
        <v>#N/A</v>
      </c>
      <c r="N188" s="52">
        <f t="shared" si="7"/>
        <v>1</v>
      </c>
      <c r="O188" s="2"/>
      <c r="P188" s="2"/>
      <c r="Q188" s="2"/>
      <c r="R188" s="2"/>
      <c r="S188" s="25"/>
    </row>
    <row r="189" spans="1:19" x14ac:dyDescent="0.25">
      <c r="A189" s="28"/>
      <c r="B189" s="28"/>
      <c r="C189" s="28"/>
      <c r="D189" s="28"/>
      <c r="E189" s="28"/>
      <c r="F189" s="28"/>
      <c r="G189" s="52" t="e">
        <f>IF(M189="","",VLOOKUP(M189,MASTER!$B$11:$C$30,2,0))</f>
        <v>#N/A</v>
      </c>
      <c r="H189" t="s">
        <v>415</v>
      </c>
      <c r="I189" t="s">
        <v>416</v>
      </c>
      <c r="J189" t="s">
        <v>3</v>
      </c>
      <c r="K189">
        <v>1</v>
      </c>
      <c r="L189" t="s">
        <v>40</v>
      </c>
      <c r="M189" s="52" t="e">
        <f t="shared" si="6"/>
        <v>#N/A</v>
      </c>
      <c r="N189" s="52">
        <f t="shared" si="7"/>
        <v>1</v>
      </c>
      <c r="O189" s="2"/>
      <c r="P189" s="2"/>
      <c r="Q189" s="2"/>
      <c r="R189" s="2"/>
      <c r="S189" s="25"/>
    </row>
    <row r="190" spans="1:19" x14ac:dyDescent="0.25">
      <c r="A190" s="28"/>
      <c r="B190" s="28"/>
      <c r="C190" s="28"/>
      <c r="D190" s="28"/>
      <c r="E190" s="28"/>
      <c r="F190" s="28"/>
      <c r="G190" s="52" t="e">
        <f>IF(M190="","",VLOOKUP(M190,MASTER!$B$11:$C$30,2,0))</f>
        <v>#N/A</v>
      </c>
      <c r="H190" t="s">
        <v>417</v>
      </c>
      <c r="I190" t="s">
        <v>418</v>
      </c>
      <c r="J190" t="s">
        <v>3</v>
      </c>
      <c r="K190">
        <v>1</v>
      </c>
      <c r="L190" t="s">
        <v>40</v>
      </c>
      <c r="M190" s="52" t="e">
        <f t="shared" si="6"/>
        <v>#N/A</v>
      </c>
      <c r="N190" s="52">
        <f t="shared" si="7"/>
        <v>1</v>
      </c>
      <c r="O190" s="2"/>
      <c r="P190" s="2"/>
      <c r="Q190" s="2"/>
      <c r="R190" s="2"/>
      <c r="S190" s="25"/>
    </row>
    <row r="191" spans="1:19" x14ac:dyDescent="0.25">
      <c r="A191" s="28"/>
      <c r="B191" s="28"/>
      <c r="C191" s="28"/>
      <c r="D191" s="28"/>
      <c r="E191" s="28"/>
      <c r="F191" s="28"/>
      <c r="G191" s="52" t="e">
        <f>IF(M191="","",VLOOKUP(M191,MASTER!$B$11:$C$30,2,0))</f>
        <v>#N/A</v>
      </c>
      <c r="H191" t="s">
        <v>419</v>
      </c>
      <c r="I191" t="s">
        <v>420</v>
      </c>
      <c r="J191" t="s">
        <v>3</v>
      </c>
      <c r="K191">
        <v>1</v>
      </c>
      <c r="L191" t="s">
        <v>40</v>
      </c>
      <c r="M191" s="52" t="e">
        <f t="shared" si="6"/>
        <v>#N/A</v>
      </c>
      <c r="N191" s="52">
        <f t="shared" si="7"/>
        <v>1</v>
      </c>
      <c r="O191" s="2"/>
      <c r="P191" s="2"/>
      <c r="Q191" s="2"/>
      <c r="R191" s="2"/>
      <c r="S191" s="25"/>
    </row>
    <row r="192" spans="1:19" x14ac:dyDescent="0.25">
      <c r="A192" s="28"/>
      <c r="B192" s="28"/>
      <c r="C192" s="28"/>
      <c r="D192" s="28"/>
      <c r="E192" s="28"/>
      <c r="F192" s="28"/>
      <c r="G192" s="52" t="e">
        <f>IF(M192="","",VLOOKUP(M192,MASTER!$B$11:$C$30,2,0))</f>
        <v>#N/A</v>
      </c>
      <c r="H192" t="s">
        <v>421</v>
      </c>
      <c r="I192" t="s">
        <v>422</v>
      </c>
      <c r="J192" t="s">
        <v>3</v>
      </c>
      <c r="K192">
        <v>1</v>
      </c>
      <c r="L192" t="s">
        <v>40</v>
      </c>
      <c r="M192" s="52" t="e">
        <f t="shared" si="6"/>
        <v>#N/A</v>
      </c>
      <c r="N192" s="52">
        <f t="shared" si="7"/>
        <v>1</v>
      </c>
      <c r="O192" s="2"/>
      <c r="P192" s="2"/>
      <c r="Q192" s="2"/>
      <c r="R192" s="2"/>
      <c r="S192" s="25"/>
    </row>
    <row r="193" spans="1:19" x14ac:dyDescent="0.25">
      <c r="A193" s="28"/>
      <c r="B193" s="28"/>
      <c r="C193" s="28"/>
      <c r="D193" s="28"/>
      <c r="E193" s="28"/>
      <c r="F193" s="28"/>
      <c r="G193" s="52" t="e">
        <f>IF(M193="","",VLOOKUP(M193,MASTER!$B$11:$C$30,2,0))</f>
        <v>#N/A</v>
      </c>
      <c r="H193" t="s">
        <v>423</v>
      </c>
      <c r="I193" t="s">
        <v>424</v>
      </c>
      <c r="J193" t="s">
        <v>3</v>
      </c>
      <c r="K193">
        <v>1</v>
      </c>
      <c r="L193" t="s">
        <v>40</v>
      </c>
      <c r="M193" s="52" t="e">
        <f t="shared" si="6"/>
        <v>#N/A</v>
      </c>
      <c r="N193" s="52">
        <f t="shared" si="7"/>
        <v>1</v>
      </c>
      <c r="O193" s="2"/>
      <c r="P193" s="2"/>
      <c r="Q193" s="2"/>
      <c r="R193" s="2"/>
      <c r="S193" s="25"/>
    </row>
    <row r="194" spans="1:19" x14ac:dyDescent="0.25">
      <c r="A194" s="28"/>
      <c r="B194" s="28"/>
      <c r="C194" s="28"/>
      <c r="D194" s="28"/>
      <c r="E194" s="28"/>
      <c r="F194" s="28"/>
      <c r="G194" s="52" t="e">
        <f>IF(M194="","",VLOOKUP(M194,MASTER!$B$11:$C$30,2,0))</f>
        <v>#N/A</v>
      </c>
      <c r="H194" t="s">
        <v>425</v>
      </c>
      <c r="I194" t="s">
        <v>426</v>
      </c>
      <c r="J194" t="s">
        <v>3</v>
      </c>
      <c r="K194">
        <v>1</v>
      </c>
      <c r="L194" t="s">
        <v>40</v>
      </c>
      <c r="M194" s="52" t="e">
        <f t="shared" si="6"/>
        <v>#N/A</v>
      </c>
      <c r="N194" s="52">
        <f t="shared" si="7"/>
        <v>1</v>
      </c>
      <c r="O194" s="2"/>
      <c r="P194" s="2"/>
      <c r="Q194" s="2"/>
      <c r="R194" s="2"/>
      <c r="S194" s="25"/>
    </row>
    <row r="195" spans="1:19" x14ac:dyDescent="0.25">
      <c r="A195" s="28"/>
      <c r="B195" s="28"/>
      <c r="C195" s="28"/>
      <c r="D195" s="28"/>
      <c r="E195" s="28"/>
      <c r="F195" s="28"/>
      <c r="G195" s="52" t="e">
        <f>IF(M195="","",VLOOKUP(M195,MASTER!$B$11:$C$30,2,0))</f>
        <v>#N/A</v>
      </c>
      <c r="H195" t="s">
        <v>427</v>
      </c>
      <c r="I195" t="s">
        <v>428</v>
      </c>
      <c r="J195" t="s">
        <v>3</v>
      </c>
      <c r="K195">
        <v>1</v>
      </c>
      <c r="L195" t="s">
        <v>40</v>
      </c>
      <c r="M195" s="52" t="e">
        <f t="shared" ref="M195:M201" si="8">IF(L195="","",VLOOKUP(L195,$A$10:$B$29,2,0))</f>
        <v>#N/A</v>
      </c>
      <c r="N195" s="52">
        <f t="shared" ref="N195:N201" si="9">IF(K195="","",K195)</f>
        <v>1</v>
      </c>
      <c r="O195" s="2"/>
      <c r="P195" s="2"/>
      <c r="Q195" s="2"/>
      <c r="R195" s="2"/>
      <c r="S195" s="25"/>
    </row>
    <row r="196" spans="1:19" x14ac:dyDescent="0.25">
      <c r="A196" s="28"/>
      <c r="B196" s="28"/>
      <c r="C196" s="28"/>
      <c r="D196" s="28"/>
      <c r="E196" s="28"/>
      <c r="F196" s="28"/>
      <c r="G196" s="52" t="e">
        <f>IF(M196="","",VLOOKUP(M196,MASTER!$B$11:$C$30,2,0))</f>
        <v>#N/A</v>
      </c>
      <c r="H196" t="s">
        <v>429</v>
      </c>
      <c r="I196" t="s">
        <v>430</v>
      </c>
      <c r="J196" t="s">
        <v>3</v>
      </c>
      <c r="K196">
        <v>1</v>
      </c>
      <c r="L196" t="s">
        <v>40</v>
      </c>
      <c r="M196" s="52" t="e">
        <f t="shared" si="8"/>
        <v>#N/A</v>
      </c>
      <c r="N196" s="52">
        <f t="shared" si="9"/>
        <v>1</v>
      </c>
      <c r="O196" s="2"/>
      <c r="P196" s="2"/>
      <c r="Q196" s="2"/>
      <c r="R196" s="2"/>
      <c r="S196" s="25"/>
    </row>
    <row r="197" spans="1:19" x14ac:dyDescent="0.25">
      <c r="A197" s="28"/>
      <c r="B197" s="28"/>
      <c r="C197" s="28"/>
      <c r="D197" s="28"/>
      <c r="E197" s="28"/>
      <c r="F197" s="28"/>
      <c r="G197" s="52" t="e">
        <f>IF(M197="","",VLOOKUP(M197,MASTER!$B$11:$C$30,2,0))</f>
        <v>#N/A</v>
      </c>
      <c r="H197" t="s">
        <v>431</v>
      </c>
      <c r="I197" t="s">
        <v>432</v>
      </c>
      <c r="J197" t="s">
        <v>3</v>
      </c>
      <c r="K197">
        <v>1</v>
      </c>
      <c r="L197" t="s">
        <v>40</v>
      </c>
      <c r="M197" s="52" t="e">
        <f t="shared" si="8"/>
        <v>#N/A</v>
      </c>
      <c r="N197" s="52">
        <f t="shared" si="9"/>
        <v>1</v>
      </c>
      <c r="O197" s="2"/>
      <c r="P197" s="2"/>
      <c r="Q197" s="2"/>
      <c r="R197" s="2"/>
      <c r="S197" s="25"/>
    </row>
    <row r="198" spans="1:19" x14ac:dyDescent="0.25">
      <c r="A198" s="28"/>
      <c r="B198" s="28"/>
      <c r="C198" s="28"/>
      <c r="D198" s="28"/>
      <c r="E198" s="28"/>
      <c r="F198" s="28"/>
      <c r="G198" s="52" t="e">
        <f>IF(M198="","",VLOOKUP(M198,MASTER!$B$11:$C$30,2,0))</f>
        <v>#N/A</v>
      </c>
      <c r="H198" t="s">
        <v>433</v>
      </c>
      <c r="I198" t="s">
        <v>434</v>
      </c>
      <c r="J198" t="s">
        <v>3</v>
      </c>
      <c r="K198">
        <v>1</v>
      </c>
      <c r="L198" t="s">
        <v>40</v>
      </c>
      <c r="M198" s="52" t="e">
        <f t="shared" si="8"/>
        <v>#N/A</v>
      </c>
      <c r="N198" s="52">
        <f t="shared" si="9"/>
        <v>1</v>
      </c>
      <c r="O198" s="2"/>
      <c r="P198" s="2"/>
      <c r="Q198" s="2"/>
      <c r="R198" s="2"/>
      <c r="S198" s="25"/>
    </row>
    <row r="199" spans="1:19" x14ac:dyDescent="0.25">
      <c r="A199" s="28"/>
      <c r="B199" s="28"/>
      <c r="C199" s="28"/>
      <c r="D199" s="28"/>
      <c r="E199" s="28"/>
      <c r="F199" s="28"/>
      <c r="G199" s="52" t="e">
        <f>IF(M199="","",VLOOKUP(M199,MASTER!$B$11:$C$30,2,0))</f>
        <v>#N/A</v>
      </c>
      <c r="H199" t="s">
        <v>435</v>
      </c>
      <c r="I199" t="s">
        <v>436</v>
      </c>
      <c r="J199" t="s">
        <v>3</v>
      </c>
      <c r="K199">
        <v>1</v>
      </c>
      <c r="L199" t="s">
        <v>40</v>
      </c>
      <c r="M199" s="52" t="e">
        <f t="shared" si="8"/>
        <v>#N/A</v>
      </c>
      <c r="N199" s="52">
        <f t="shared" si="9"/>
        <v>1</v>
      </c>
      <c r="O199" s="2"/>
      <c r="P199" s="2"/>
      <c r="Q199" s="2"/>
      <c r="R199" s="2"/>
      <c r="S199" s="25"/>
    </row>
    <row r="200" spans="1:19" x14ac:dyDescent="0.25">
      <c r="A200" s="28"/>
      <c r="B200" s="28"/>
      <c r="C200" s="28"/>
      <c r="D200" s="28"/>
      <c r="E200" s="28"/>
      <c r="F200" s="28"/>
      <c r="G200" s="52" t="e">
        <f>IF(M200="","",VLOOKUP(M200,MASTER!$B$11:$C$30,2,0))</f>
        <v>#N/A</v>
      </c>
      <c r="H200" t="s">
        <v>437</v>
      </c>
      <c r="I200" t="s">
        <v>438</v>
      </c>
      <c r="J200" t="s">
        <v>3</v>
      </c>
      <c r="K200">
        <v>1</v>
      </c>
      <c r="L200" t="s">
        <v>40</v>
      </c>
      <c r="M200" s="52" t="e">
        <f t="shared" si="8"/>
        <v>#N/A</v>
      </c>
      <c r="N200" s="52">
        <f t="shared" si="9"/>
        <v>1</v>
      </c>
      <c r="O200" s="2"/>
      <c r="P200" s="2"/>
      <c r="Q200" s="2"/>
      <c r="R200" s="2"/>
      <c r="S200" s="25"/>
    </row>
    <row r="201" spans="1:19" x14ac:dyDescent="0.25">
      <c r="A201" s="28"/>
      <c r="B201" s="28"/>
      <c r="C201" s="28"/>
      <c r="D201" s="28"/>
      <c r="E201" s="28"/>
      <c r="F201" s="28"/>
      <c r="G201" s="52" t="e">
        <f>IF(M201="","",VLOOKUP(M201,MASTER!$B$11:$C$30,2,0))</f>
        <v>#N/A</v>
      </c>
      <c r="H201" t="s">
        <v>439</v>
      </c>
      <c r="I201" t="s">
        <v>440</v>
      </c>
      <c r="J201" t="s">
        <v>3</v>
      </c>
      <c r="K201">
        <v>1</v>
      </c>
      <c r="L201" t="s">
        <v>40</v>
      </c>
      <c r="M201" s="52" t="e">
        <f t="shared" si="8"/>
        <v>#N/A</v>
      </c>
      <c r="N201" s="52">
        <f t="shared" si="9"/>
        <v>1</v>
      </c>
      <c r="O201" s="2"/>
      <c r="P201" s="2"/>
      <c r="Q201" s="2"/>
      <c r="R201" s="2"/>
      <c r="S201" s="25"/>
    </row>
    <row r="202" spans="1:19" x14ac:dyDescent="0.25">
      <c r="A202" s="50" t="s">
        <v>16</v>
      </c>
      <c r="B202" s="50" t="s">
        <v>16</v>
      </c>
      <c r="C202" s="50" t="s">
        <v>16</v>
      </c>
      <c r="D202" s="50" t="s">
        <v>16</v>
      </c>
      <c r="E202" s="50" t="s">
        <v>16</v>
      </c>
      <c r="F202" s="50" t="s">
        <v>16</v>
      </c>
      <c r="G202" s="50" t="s">
        <v>16</v>
      </c>
      <c r="H202" t="s">
        <v>443</v>
      </c>
      <c r="I202" t="s">
        <v>442</v>
      </c>
      <c r="J202" t="s">
        <v>3</v>
      </c>
      <c r="K202">
        <v>1</v>
      </c>
      <c r="L202" t="s">
        <v>441</v>
      </c>
      <c r="M202" s="50" t="s">
        <v>16</v>
      </c>
      <c r="N202" s="50" t="s">
        <v>16</v>
      </c>
      <c r="O202" s="25" t="s">
        <v>16</v>
      </c>
      <c r="P202" s="25" t="s">
        <v>16</v>
      </c>
      <c r="Q202" s="25" t="s">
        <v>16</v>
      </c>
      <c r="R202" s="25" t="s">
        <v>16</v>
      </c>
      <c r="S202" s="25" t="s">
        <v>16</v>
      </c>
    </row>
    <row r="203" spans="1:19" x14ac:dyDescent="0.25">
      <c r="H203" t="s">
        <v>444</v>
      </c>
      <c r="I203" t="s">
        <v>445</v>
      </c>
      <c r="J203" t="s">
        <v>3</v>
      </c>
      <c r="K203">
        <v>1</v>
      </c>
      <c r="L203" t="s">
        <v>40</v>
      </c>
    </row>
    <row r="204" spans="1:19" x14ac:dyDescent="0.25">
      <c r="H204" t="s">
        <v>446</v>
      </c>
      <c r="I204" t="s">
        <v>447</v>
      </c>
      <c r="J204" t="s">
        <v>3</v>
      </c>
      <c r="K204">
        <v>1</v>
      </c>
      <c r="L204" t="s">
        <v>40</v>
      </c>
    </row>
    <row r="205" spans="1:19" x14ac:dyDescent="0.25">
      <c r="H205" t="s">
        <v>448</v>
      </c>
      <c r="I205" t="s">
        <v>449</v>
      </c>
      <c r="J205" t="s">
        <v>3</v>
      </c>
      <c r="K205">
        <v>1</v>
      </c>
      <c r="L205" t="s">
        <v>40</v>
      </c>
    </row>
    <row r="206" spans="1:19" x14ac:dyDescent="0.25">
      <c r="H206" t="s">
        <v>450</v>
      </c>
      <c r="I206" t="s">
        <v>451</v>
      </c>
      <c r="J206" t="s">
        <v>3</v>
      </c>
      <c r="K206">
        <v>1</v>
      </c>
      <c r="L206" t="s">
        <v>40</v>
      </c>
    </row>
    <row r="207" spans="1:19" x14ac:dyDescent="0.25">
      <c r="H207" t="s">
        <v>452</v>
      </c>
      <c r="I207" t="s">
        <v>453</v>
      </c>
      <c r="J207" t="s">
        <v>3</v>
      </c>
      <c r="K207">
        <v>1</v>
      </c>
      <c r="L207" t="s">
        <v>40</v>
      </c>
    </row>
    <row r="208" spans="1:19" x14ac:dyDescent="0.25">
      <c r="H208" t="s">
        <v>454</v>
      </c>
      <c r="I208" t="s">
        <v>455</v>
      </c>
      <c r="J208" t="s">
        <v>3</v>
      </c>
      <c r="K208">
        <v>1</v>
      </c>
      <c r="L208" t="s">
        <v>40</v>
      </c>
    </row>
    <row r="209" spans="8:12" x14ac:dyDescent="0.25">
      <c r="H209" t="s">
        <v>456</v>
      </c>
      <c r="I209" t="s">
        <v>457</v>
      </c>
      <c r="J209" t="s">
        <v>3</v>
      </c>
      <c r="K209">
        <v>1</v>
      </c>
      <c r="L209" t="s">
        <v>40</v>
      </c>
    </row>
    <row r="210" spans="8:12" x14ac:dyDescent="0.25">
      <c r="H210" t="s">
        <v>458</v>
      </c>
      <c r="I210" t="s">
        <v>459</v>
      </c>
      <c r="J210" t="s">
        <v>3</v>
      </c>
      <c r="K210">
        <v>1</v>
      </c>
      <c r="L210" t="s">
        <v>40</v>
      </c>
    </row>
    <row r="211" spans="8:12" x14ac:dyDescent="0.25">
      <c r="H211" t="s">
        <v>460</v>
      </c>
      <c r="I211" t="s">
        <v>461</v>
      </c>
      <c r="J211" t="s">
        <v>3</v>
      </c>
      <c r="K211">
        <v>1</v>
      </c>
      <c r="L211" t="s">
        <v>40</v>
      </c>
    </row>
    <row r="212" spans="8:12" x14ac:dyDescent="0.25">
      <c r="H212" t="s">
        <v>462</v>
      </c>
      <c r="I212" t="s">
        <v>463</v>
      </c>
      <c r="J212" t="s">
        <v>3</v>
      </c>
      <c r="K212">
        <v>1</v>
      </c>
      <c r="L212" t="s">
        <v>40</v>
      </c>
    </row>
    <row r="213" spans="8:12" x14ac:dyDescent="0.25">
      <c r="H213" t="s">
        <v>464</v>
      </c>
      <c r="I213" t="s">
        <v>465</v>
      </c>
      <c r="J213" t="s">
        <v>3</v>
      </c>
      <c r="K213">
        <v>1</v>
      </c>
      <c r="L213" t="s">
        <v>40</v>
      </c>
    </row>
    <row r="214" spans="8:12" x14ac:dyDescent="0.25">
      <c r="H214" t="s">
        <v>466</v>
      </c>
      <c r="I214" t="s">
        <v>467</v>
      </c>
      <c r="J214" t="s">
        <v>3</v>
      </c>
      <c r="K214">
        <v>1</v>
      </c>
      <c r="L214" t="s">
        <v>40</v>
      </c>
    </row>
    <row r="215" spans="8:12" x14ac:dyDescent="0.25">
      <c r="H215" t="s">
        <v>468</v>
      </c>
      <c r="I215" t="s">
        <v>469</v>
      </c>
      <c r="J215" t="s">
        <v>3</v>
      </c>
      <c r="K215">
        <v>1</v>
      </c>
      <c r="L215" t="s">
        <v>40</v>
      </c>
    </row>
    <row r="216" spans="8:12" x14ac:dyDescent="0.25">
      <c r="H216" t="s">
        <v>470</v>
      </c>
      <c r="I216" t="s">
        <v>471</v>
      </c>
      <c r="J216" t="s">
        <v>3</v>
      </c>
      <c r="K216">
        <v>1</v>
      </c>
      <c r="L216" t="s">
        <v>40</v>
      </c>
    </row>
    <row r="217" spans="8:12" x14ac:dyDescent="0.25">
      <c r="H217" t="s">
        <v>472</v>
      </c>
      <c r="I217" t="s">
        <v>473</v>
      </c>
      <c r="J217" t="s">
        <v>3</v>
      </c>
      <c r="K217">
        <v>1</v>
      </c>
      <c r="L217" t="s">
        <v>40</v>
      </c>
    </row>
    <row r="218" spans="8:12" x14ac:dyDescent="0.25">
      <c r="H218" t="s">
        <v>474</v>
      </c>
      <c r="I218" t="s">
        <v>475</v>
      </c>
      <c r="J218" t="s">
        <v>3</v>
      </c>
      <c r="K218">
        <v>1</v>
      </c>
      <c r="L218" t="s">
        <v>40</v>
      </c>
    </row>
    <row r="219" spans="8:12" x14ac:dyDescent="0.25">
      <c r="H219" t="s">
        <v>476</v>
      </c>
      <c r="I219" t="s">
        <v>477</v>
      </c>
      <c r="J219" t="s">
        <v>3</v>
      </c>
      <c r="K219">
        <v>1</v>
      </c>
      <c r="L219" t="s">
        <v>40</v>
      </c>
    </row>
    <row r="220" spans="8:12" x14ac:dyDescent="0.25">
      <c r="H220" t="s">
        <v>478</v>
      </c>
      <c r="I220" t="s">
        <v>479</v>
      </c>
      <c r="J220" t="s">
        <v>3</v>
      </c>
      <c r="K220">
        <v>1</v>
      </c>
      <c r="L220" t="s">
        <v>40</v>
      </c>
    </row>
    <row r="221" spans="8:12" x14ac:dyDescent="0.25">
      <c r="H221" t="s">
        <v>480</v>
      </c>
      <c r="I221" t="s">
        <v>481</v>
      </c>
      <c r="J221" t="s">
        <v>3</v>
      </c>
      <c r="K221">
        <v>1</v>
      </c>
      <c r="L221" t="s">
        <v>40</v>
      </c>
    </row>
    <row r="222" spans="8:12" x14ac:dyDescent="0.25">
      <c r="H222" t="s">
        <v>482</v>
      </c>
      <c r="I222" t="s">
        <v>483</v>
      </c>
      <c r="J222" t="s">
        <v>3</v>
      </c>
      <c r="K222">
        <v>1</v>
      </c>
      <c r="L222" t="s">
        <v>40</v>
      </c>
    </row>
    <row r="223" spans="8:12" x14ac:dyDescent="0.25">
      <c r="H223" t="s">
        <v>484</v>
      </c>
      <c r="I223" t="s">
        <v>485</v>
      </c>
      <c r="J223" t="s">
        <v>3</v>
      </c>
      <c r="K223">
        <v>1</v>
      </c>
      <c r="L223" t="s">
        <v>40</v>
      </c>
    </row>
    <row r="224" spans="8:12" x14ac:dyDescent="0.25">
      <c r="H224" t="s">
        <v>486</v>
      </c>
      <c r="I224" t="s">
        <v>487</v>
      </c>
      <c r="J224" t="s">
        <v>3</v>
      </c>
      <c r="K224">
        <v>1</v>
      </c>
      <c r="L224" t="s">
        <v>40</v>
      </c>
    </row>
    <row r="225" spans="8:12" x14ac:dyDescent="0.25">
      <c r="H225" t="s">
        <v>488</v>
      </c>
      <c r="I225" t="s">
        <v>489</v>
      </c>
      <c r="J225" t="s">
        <v>3</v>
      </c>
      <c r="K225">
        <v>1</v>
      </c>
      <c r="L225" t="s">
        <v>40</v>
      </c>
    </row>
    <row r="226" spans="8:12" x14ac:dyDescent="0.25">
      <c r="H226" t="s">
        <v>490</v>
      </c>
      <c r="I226" t="s">
        <v>491</v>
      </c>
      <c r="J226" t="s">
        <v>3</v>
      </c>
      <c r="K226">
        <v>1</v>
      </c>
      <c r="L226" t="s">
        <v>40</v>
      </c>
    </row>
    <row r="227" spans="8:12" x14ac:dyDescent="0.25">
      <c r="H227" t="s">
        <v>492</v>
      </c>
      <c r="I227" t="s">
        <v>493</v>
      </c>
      <c r="J227" t="s">
        <v>3</v>
      </c>
      <c r="K227">
        <v>1</v>
      </c>
      <c r="L227" t="s">
        <v>40</v>
      </c>
    </row>
    <row r="228" spans="8:12" x14ac:dyDescent="0.25">
      <c r="H228" t="s">
        <v>494</v>
      </c>
      <c r="I228" t="s">
        <v>495</v>
      </c>
      <c r="J228" t="s">
        <v>3</v>
      </c>
      <c r="K228">
        <v>1</v>
      </c>
      <c r="L228" t="s">
        <v>40</v>
      </c>
    </row>
    <row r="229" spans="8:12" x14ac:dyDescent="0.25">
      <c r="H229" t="s">
        <v>496</v>
      </c>
      <c r="I229" t="s">
        <v>497</v>
      </c>
      <c r="J229" t="s">
        <v>3</v>
      </c>
      <c r="K229">
        <v>1</v>
      </c>
      <c r="L229" t="s">
        <v>40</v>
      </c>
    </row>
    <row r="230" spans="8:12" x14ac:dyDescent="0.25">
      <c r="H230" t="s">
        <v>498</v>
      </c>
      <c r="I230" t="s">
        <v>499</v>
      </c>
      <c r="J230" t="s">
        <v>3</v>
      </c>
      <c r="K230">
        <v>1</v>
      </c>
      <c r="L230" t="s">
        <v>40</v>
      </c>
    </row>
    <row r="231" spans="8:12" x14ac:dyDescent="0.25">
      <c r="H231" t="s">
        <v>500</v>
      </c>
      <c r="I231" t="s">
        <v>501</v>
      </c>
      <c r="J231" t="s">
        <v>3</v>
      </c>
      <c r="K231">
        <v>1</v>
      </c>
      <c r="L231" t="s">
        <v>40</v>
      </c>
    </row>
    <row r="232" spans="8:12" x14ac:dyDescent="0.25">
      <c r="H232" t="s">
        <v>502</v>
      </c>
      <c r="I232" t="s">
        <v>503</v>
      </c>
      <c r="J232" t="s">
        <v>3</v>
      </c>
      <c r="K232">
        <v>1</v>
      </c>
      <c r="L232" t="s">
        <v>40</v>
      </c>
    </row>
    <row r="233" spans="8:12" x14ac:dyDescent="0.25">
      <c r="H233" t="s">
        <v>504</v>
      </c>
      <c r="I233" t="s">
        <v>505</v>
      </c>
      <c r="J233" t="s">
        <v>3</v>
      </c>
      <c r="K233">
        <v>1</v>
      </c>
      <c r="L233" t="s">
        <v>40</v>
      </c>
    </row>
    <row r="234" spans="8:12" x14ac:dyDescent="0.25">
      <c r="H234" t="s">
        <v>506</v>
      </c>
      <c r="I234" t="s">
        <v>507</v>
      </c>
      <c r="J234" t="s">
        <v>3</v>
      </c>
      <c r="K234">
        <v>1</v>
      </c>
      <c r="L234" t="s">
        <v>40</v>
      </c>
    </row>
    <row r="235" spans="8:12" x14ac:dyDescent="0.25">
      <c r="H235" t="s">
        <v>508</v>
      </c>
      <c r="I235" t="s">
        <v>509</v>
      </c>
      <c r="J235" t="s">
        <v>3</v>
      </c>
      <c r="K235">
        <v>1</v>
      </c>
      <c r="L235" t="s">
        <v>40</v>
      </c>
    </row>
    <row r="236" spans="8:12" x14ac:dyDescent="0.25">
      <c r="H236" t="s">
        <v>510</v>
      </c>
      <c r="I236" t="s">
        <v>511</v>
      </c>
      <c r="J236" t="s">
        <v>3</v>
      </c>
      <c r="K236">
        <v>1</v>
      </c>
      <c r="L236" t="s">
        <v>40</v>
      </c>
    </row>
    <row r="237" spans="8:12" x14ac:dyDescent="0.25">
      <c r="H237" t="s">
        <v>512</v>
      </c>
      <c r="I237" t="s">
        <v>513</v>
      </c>
      <c r="J237" t="s">
        <v>3</v>
      </c>
      <c r="K237">
        <v>1</v>
      </c>
      <c r="L237" t="s">
        <v>40</v>
      </c>
    </row>
    <row r="238" spans="8:12" x14ac:dyDescent="0.25">
      <c r="H238" t="s">
        <v>514</v>
      </c>
      <c r="I238" t="s">
        <v>515</v>
      </c>
      <c r="J238" t="s">
        <v>3</v>
      </c>
      <c r="K238">
        <v>1</v>
      </c>
      <c r="L238" t="s">
        <v>40</v>
      </c>
    </row>
    <row r="239" spans="8:12" x14ac:dyDescent="0.25">
      <c r="H239" t="s">
        <v>516</v>
      </c>
      <c r="I239" t="s">
        <v>517</v>
      </c>
      <c r="J239" t="s">
        <v>3</v>
      </c>
      <c r="K239">
        <v>1</v>
      </c>
      <c r="L239" t="s">
        <v>40</v>
      </c>
    </row>
    <row r="240" spans="8:12" x14ac:dyDescent="0.25">
      <c r="H240" t="s">
        <v>518</v>
      </c>
      <c r="I240" t="s">
        <v>519</v>
      </c>
      <c r="J240" t="s">
        <v>3</v>
      </c>
      <c r="K240">
        <v>1</v>
      </c>
      <c r="L240" t="s">
        <v>40</v>
      </c>
    </row>
    <row r="241" spans="8:12" x14ac:dyDescent="0.25">
      <c r="H241" t="s">
        <v>520</v>
      </c>
      <c r="I241" t="s">
        <v>521</v>
      </c>
      <c r="J241" t="s">
        <v>3</v>
      </c>
      <c r="K241">
        <v>1</v>
      </c>
      <c r="L241" t="s">
        <v>40</v>
      </c>
    </row>
    <row r="242" spans="8:12" x14ac:dyDescent="0.25">
      <c r="H242" t="s">
        <v>522</v>
      </c>
      <c r="I242" t="s">
        <v>523</v>
      </c>
      <c r="J242" t="s">
        <v>3</v>
      </c>
      <c r="K242">
        <v>1</v>
      </c>
      <c r="L242" t="s">
        <v>40</v>
      </c>
    </row>
    <row r="243" spans="8:12" x14ac:dyDescent="0.25">
      <c r="H243" t="s">
        <v>524</v>
      </c>
      <c r="I243" t="s">
        <v>525</v>
      </c>
      <c r="J243" t="s">
        <v>3</v>
      </c>
      <c r="K243">
        <v>1</v>
      </c>
      <c r="L243" t="s">
        <v>40</v>
      </c>
    </row>
    <row r="244" spans="8:12" x14ac:dyDescent="0.25">
      <c r="H244" t="s">
        <v>526</v>
      </c>
      <c r="I244" t="s">
        <v>527</v>
      </c>
      <c r="J244" t="s">
        <v>3</v>
      </c>
      <c r="K244">
        <v>1</v>
      </c>
      <c r="L244" t="s">
        <v>40</v>
      </c>
    </row>
    <row r="245" spans="8:12" x14ac:dyDescent="0.25">
      <c r="H245" t="s">
        <v>528</v>
      </c>
      <c r="I245" t="s">
        <v>529</v>
      </c>
      <c r="J245" t="s">
        <v>3</v>
      </c>
      <c r="K245">
        <v>1</v>
      </c>
      <c r="L245" t="s">
        <v>40</v>
      </c>
    </row>
    <row r="246" spans="8:12" x14ac:dyDescent="0.25">
      <c r="H246" t="s">
        <v>530</v>
      </c>
      <c r="I246" t="s">
        <v>531</v>
      </c>
      <c r="J246" t="s">
        <v>3</v>
      </c>
      <c r="K246">
        <v>1</v>
      </c>
      <c r="L246" t="s">
        <v>40</v>
      </c>
    </row>
    <row r="247" spans="8:12" x14ac:dyDescent="0.25">
      <c r="H247" t="s">
        <v>532</v>
      </c>
      <c r="I247" t="s">
        <v>533</v>
      </c>
      <c r="J247" t="s">
        <v>3</v>
      </c>
      <c r="K247">
        <v>1</v>
      </c>
      <c r="L247" t="s">
        <v>40</v>
      </c>
    </row>
    <row r="248" spans="8:12" x14ac:dyDescent="0.25">
      <c r="H248" t="s">
        <v>534</v>
      </c>
      <c r="I248" t="s">
        <v>535</v>
      </c>
      <c r="J248" t="s">
        <v>3</v>
      </c>
      <c r="K248">
        <v>1</v>
      </c>
      <c r="L248" t="s">
        <v>40</v>
      </c>
    </row>
    <row r="249" spans="8:12" x14ac:dyDescent="0.25">
      <c r="H249" t="s">
        <v>536</v>
      </c>
      <c r="I249" t="s">
        <v>537</v>
      </c>
      <c r="J249" t="s">
        <v>3</v>
      </c>
      <c r="K249">
        <v>1</v>
      </c>
      <c r="L249" t="s">
        <v>40</v>
      </c>
    </row>
    <row r="250" spans="8:12" x14ac:dyDescent="0.25">
      <c r="H250" t="s">
        <v>538</v>
      </c>
      <c r="I250" t="s">
        <v>539</v>
      </c>
      <c r="J250" t="s">
        <v>3</v>
      </c>
      <c r="K250">
        <v>1</v>
      </c>
      <c r="L250" t="s">
        <v>40</v>
      </c>
    </row>
    <row r="251" spans="8:12" x14ac:dyDescent="0.25">
      <c r="H251" t="s">
        <v>540</v>
      </c>
      <c r="I251" t="s">
        <v>541</v>
      </c>
      <c r="J251" t="s">
        <v>3</v>
      </c>
      <c r="K251">
        <v>1</v>
      </c>
      <c r="L251" t="s">
        <v>40</v>
      </c>
    </row>
    <row r="252" spans="8:12" x14ac:dyDescent="0.25">
      <c r="H252" t="s">
        <v>542</v>
      </c>
      <c r="I252" t="s">
        <v>543</v>
      </c>
      <c r="J252" t="s">
        <v>3</v>
      </c>
      <c r="K252">
        <v>1</v>
      </c>
      <c r="L252" t="s">
        <v>40</v>
      </c>
    </row>
    <row r="253" spans="8:12" x14ac:dyDescent="0.25">
      <c r="H253" t="s">
        <v>544</v>
      </c>
      <c r="I253" t="s">
        <v>545</v>
      </c>
      <c r="J253" t="s">
        <v>3</v>
      </c>
      <c r="K253">
        <v>1</v>
      </c>
      <c r="L253" t="s">
        <v>40</v>
      </c>
    </row>
    <row r="254" spans="8:12" x14ac:dyDescent="0.25">
      <c r="H254" t="s">
        <v>546</v>
      </c>
      <c r="I254" t="s">
        <v>547</v>
      </c>
      <c r="J254" t="s">
        <v>3</v>
      </c>
      <c r="K254">
        <v>1</v>
      </c>
      <c r="L254" t="s">
        <v>40</v>
      </c>
    </row>
    <row r="255" spans="8:12" x14ac:dyDescent="0.25">
      <c r="H255" t="s">
        <v>548</v>
      </c>
      <c r="I255" t="s">
        <v>549</v>
      </c>
      <c r="J255" t="s">
        <v>3</v>
      </c>
      <c r="K255">
        <v>1</v>
      </c>
      <c r="L255" t="s">
        <v>40</v>
      </c>
    </row>
    <row r="256" spans="8:12" x14ac:dyDescent="0.25">
      <c r="H256" t="s">
        <v>550</v>
      </c>
      <c r="I256" t="s">
        <v>551</v>
      </c>
      <c r="J256" t="s">
        <v>3</v>
      </c>
      <c r="K256">
        <v>1</v>
      </c>
      <c r="L256" t="s">
        <v>40</v>
      </c>
    </row>
    <row r="257" spans="8:12" x14ac:dyDescent="0.25">
      <c r="H257" t="s">
        <v>552</v>
      </c>
      <c r="I257" t="s">
        <v>553</v>
      </c>
      <c r="J257" t="s">
        <v>3</v>
      </c>
      <c r="K257">
        <v>1</v>
      </c>
      <c r="L257" t="s">
        <v>40</v>
      </c>
    </row>
    <row r="258" spans="8:12" x14ac:dyDescent="0.25">
      <c r="H258" t="s">
        <v>554</v>
      </c>
      <c r="I258" t="s">
        <v>555</v>
      </c>
      <c r="J258" t="s">
        <v>3</v>
      </c>
      <c r="K258">
        <v>1</v>
      </c>
      <c r="L258" t="s">
        <v>40</v>
      </c>
    </row>
    <row r="259" spans="8:12" x14ac:dyDescent="0.25">
      <c r="H259" t="s">
        <v>556</v>
      </c>
      <c r="I259" t="s">
        <v>557</v>
      </c>
      <c r="J259" t="s">
        <v>3</v>
      </c>
      <c r="K259">
        <v>1</v>
      </c>
      <c r="L259" t="s">
        <v>40</v>
      </c>
    </row>
    <row r="260" spans="8:12" x14ac:dyDescent="0.25">
      <c r="H260" t="s">
        <v>558</v>
      </c>
      <c r="I260" t="s">
        <v>559</v>
      </c>
      <c r="J260" t="s">
        <v>3</v>
      </c>
      <c r="K260">
        <v>1</v>
      </c>
      <c r="L260" t="s">
        <v>40</v>
      </c>
    </row>
    <row r="261" spans="8:12" x14ac:dyDescent="0.25">
      <c r="H261" t="s">
        <v>560</v>
      </c>
      <c r="I261" t="s">
        <v>561</v>
      </c>
      <c r="J261" t="s">
        <v>3</v>
      </c>
      <c r="K261">
        <v>1</v>
      </c>
      <c r="L261" t="s">
        <v>40</v>
      </c>
    </row>
    <row r="262" spans="8:12" x14ac:dyDescent="0.25">
      <c r="H262" t="s">
        <v>562</v>
      </c>
      <c r="I262" t="s">
        <v>563</v>
      </c>
      <c r="J262" t="s">
        <v>3</v>
      </c>
      <c r="K262">
        <v>1</v>
      </c>
      <c r="L262" t="s">
        <v>40</v>
      </c>
    </row>
    <row r="263" spans="8:12" x14ac:dyDescent="0.25">
      <c r="H263" t="s">
        <v>564</v>
      </c>
      <c r="I263" t="s">
        <v>565</v>
      </c>
      <c r="J263" t="s">
        <v>3</v>
      </c>
      <c r="K263">
        <v>1</v>
      </c>
      <c r="L263" t="s">
        <v>40</v>
      </c>
    </row>
    <row r="264" spans="8:12" x14ac:dyDescent="0.25">
      <c r="H264" t="s">
        <v>566</v>
      </c>
      <c r="I264" t="s">
        <v>567</v>
      </c>
      <c r="J264" t="s">
        <v>3</v>
      </c>
      <c r="K264">
        <v>1</v>
      </c>
      <c r="L264" t="s">
        <v>40</v>
      </c>
    </row>
    <row r="265" spans="8:12" x14ac:dyDescent="0.25">
      <c r="H265" t="s">
        <v>568</v>
      </c>
      <c r="I265" t="s">
        <v>569</v>
      </c>
      <c r="J265" t="s">
        <v>3</v>
      </c>
      <c r="K265">
        <v>1</v>
      </c>
      <c r="L265" t="s">
        <v>40</v>
      </c>
    </row>
    <row r="266" spans="8:12" x14ac:dyDescent="0.25">
      <c r="H266" t="s">
        <v>570</v>
      </c>
      <c r="I266" t="s">
        <v>571</v>
      </c>
      <c r="J266" t="s">
        <v>3</v>
      </c>
      <c r="K266">
        <v>1</v>
      </c>
      <c r="L266" t="s">
        <v>40</v>
      </c>
    </row>
    <row r="267" spans="8:12" x14ac:dyDescent="0.25">
      <c r="H267" t="s">
        <v>572</v>
      </c>
      <c r="I267" t="s">
        <v>573</v>
      </c>
      <c r="J267" t="s">
        <v>3</v>
      </c>
      <c r="K267">
        <v>1</v>
      </c>
      <c r="L267" t="s">
        <v>40</v>
      </c>
    </row>
    <row r="268" spans="8:12" x14ac:dyDescent="0.25">
      <c r="H268" t="s">
        <v>574</v>
      </c>
      <c r="I268" t="s">
        <v>575</v>
      </c>
      <c r="J268" t="s">
        <v>3</v>
      </c>
      <c r="K268">
        <v>1</v>
      </c>
      <c r="L268" t="s">
        <v>40</v>
      </c>
    </row>
    <row r="269" spans="8:12" x14ac:dyDescent="0.25">
      <c r="H269" t="s">
        <v>576</v>
      </c>
      <c r="I269" t="s">
        <v>577</v>
      </c>
      <c r="J269" t="s">
        <v>3</v>
      </c>
      <c r="K269">
        <v>1</v>
      </c>
      <c r="L269" t="s">
        <v>40</v>
      </c>
    </row>
    <row r="270" spans="8:12" x14ac:dyDescent="0.25">
      <c r="H270" t="s">
        <v>578</v>
      </c>
      <c r="I270" t="s">
        <v>579</v>
      </c>
      <c r="J270" t="s">
        <v>3</v>
      </c>
      <c r="K270">
        <v>1</v>
      </c>
      <c r="L270" t="s">
        <v>40</v>
      </c>
    </row>
    <row r="271" spans="8:12" x14ac:dyDescent="0.25">
      <c r="H271" t="s">
        <v>580</v>
      </c>
      <c r="I271" t="s">
        <v>581</v>
      </c>
      <c r="J271" t="s">
        <v>3</v>
      </c>
      <c r="K271">
        <v>1</v>
      </c>
      <c r="L271" t="s">
        <v>40</v>
      </c>
    </row>
    <row r="272" spans="8:12" x14ac:dyDescent="0.25">
      <c r="H272" t="s">
        <v>582</v>
      </c>
      <c r="I272" t="s">
        <v>583</v>
      </c>
      <c r="J272" t="s">
        <v>3</v>
      </c>
      <c r="K272">
        <v>1</v>
      </c>
      <c r="L272" t="s">
        <v>40</v>
      </c>
    </row>
    <row r="273" spans="8:12" x14ac:dyDescent="0.25">
      <c r="H273" t="s">
        <v>584</v>
      </c>
      <c r="I273" t="s">
        <v>585</v>
      </c>
      <c r="J273" t="s">
        <v>3</v>
      </c>
      <c r="K273">
        <v>1</v>
      </c>
      <c r="L273" t="s">
        <v>40</v>
      </c>
    </row>
    <row r="274" spans="8:12" x14ac:dyDescent="0.25">
      <c r="H274" t="s">
        <v>586</v>
      </c>
      <c r="I274" t="s">
        <v>587</v>
      </c>
      <c r="J274" t="s">
        <v>3</v>
      </c>
      <c r="K274">
        <v>1</v>
      </c>
      <c r="L274" t="s">
        <v>40</v>
      </c>
    </row>
    <row r="275" spans="8:12" x14ac:dyDescent="0.25">
      <c r="H275" t="s">
        <v>588</v>
      </c>
      <c r="I275" t="s">
        <v>589</v>
      </c>
      <c r="J275" t="s">
        <v>3</v>
      </c>
      <c r="K275">
        <v>1</v>
      </c>
      <c r="L275" t="s">
        <v>40</v>
      </c>
    </row>
    <row r="276" spans="8:12" x14ac:dyDescent="0.25">
      <c r="H276" t="s">
        <v>590</v>
      </c>
      <c r="I276" t="s">
        <v>591</v>
      </c>
      <c r="J276" t="s">
        <v>3</v>
      </c>
      <c r="K276">
        <v>1</v>
      </c>
      <c r="L276" t="s">
        <v>40</v>
      </c>
    </row>
    <row r="277" spans="8:12" x14ac:dyDescent="0.25">
      <c r="H277" t="s">
        <v>592</v>
      </c>
      <c r="I277" t="s">
        <v>593</v>
      </c>
      <c r="J277" t="s">
        <v>3</v>
      </c>
      <c r="K277">
        <v>1</v>
      </c>
      <c r="L277" t="s">
        <v>40</v>
      </c>
    </row>
    <row r="278" spans="8:12" x14ac:dyDescent="0.25">
      <c r="H278" t="s">
        <v>594</v>
      </c>
      <c r="I278" t="s">
        <v>595</v>
      </c>
      <c r="J278" t="s">
        <v>3</v>
      </c>
      <c r="K278">
        <v>1</v>
      </c>
      <c r="L278" t="s">
        <v>40</v>
      </c>
    </row>
    <row r="279" spans="8:12" x14ac:dyDescent="0.25">
      <c r="H279" t="s">
        <v>596</v>
      </c>
      <c r="I279" t="s">
        <v>597</v>
      </c>
      <c r="J279" t="s">
        <v>3</v>
      </c>
      <c r="K279">
        <v>1</v>
      </c>
      <c r="L279" t="s">
        <v>40</v>
      </c>
    </row>
    <row r="280" spans="8:12" x14ac:dyDescent="0.25">
      <c r="H280" t="s">
        <v>598</v>
      </c>
      <c r="I280" t="s">
        <v>599</v>
      </c>
      <c r="J280" t="s">
        <v>3</v>
      </c>
      <c r="K280">
        <v>1</v>
      </c>
      <c r="L280" t="s">
        <v>40</v>
      </c>
    </row>
    <row r="281" spans="8:12" x14ac:dyDescent="0.25">
      <c r="H281" t="s">
        <v>600</v>
      </c>
      <c r="I281" t="s">
        <v>601</v>
      </c>
      <c r="J281" t="s">
        <v>3</v>
      </c>
      <c r="K281">
        <v>1</v>
      </c>
      <c r="L281" t="s">
        <v>40</v>
      </c>
    </row>
    <row r="282" spans="8:12" x14ac:dyDescent="0.25">
      <c r="H282" t="s">
        <v>602</v>
      </c>
      <c r="I282" t="s">
        <v>603</v>
      </c>
      <c r="J282" t="s">
        <v>3</v>
      </c>
      <c r="K282">
        <v>1</v>
      </c>
      <c r="L282" t="s">
        <v>40</v>
      </c>
    </row>
    <row r="283" spans="8:12" x14ac:dyDescent="0.25">
      <c r="H283" t="s">
        <v>604</v>
      </c>
      <c r="I283" t="s">
        <v>605</v>
      </c>
      <c r="J283" t="s">
        <v>3</v>
      </c>
      <c r="K283">
        <v>1</v>
      </c>
      <c r="L283" t="s">
        <v>40</v>
      </c>
    </row>
    <row r="284" spans="8:12" x14ac:dyDescent="0.25">
      <c r="H284" t="s">
        <v>606</v>
      </c>
      <c r="I284" t="s">
        <v>607</v>
      </c>
      <c r="J284" t="s">
        <v>3</v>
      </c>
      <c r="K284">
        <v>1</v>
      </c>
      <c r="L284" t="s">
        <v>40</v>
      </c>
    </row>
    <row r="285" spans="8:12" x14ac:dyDescent="0.25">
      <c r="H285" t="s">
        <v>608</v>
      </c>
      <c r="I285" t="s">
        <v>609</v>
      </c>
      <c r="J285" t="s">
        <v>3</v>
      </c>
      <c r="K285">
        <v>1</v>
      </c>
      <c r="L285" t="s">
        <v>40</v>
      </c>
    </row>
    <row r="286" spans="8:12" x14ac:dyDescent="0.25">
      <c r="H286" t="s">
        <v>610</v>
      </c>
      <c r="I286" t="s">
        <v>611</v>
      </c>
      <c r="J286" t="s">
        <v>3</v>
      </c>
      <c r="K286">
        <v>1</v>
      </c>
      <c r="L286" t="s">
        <v>40</v>
      </c>
    </row>
    <row r="287" spans="8:12" x14ac:dyDescent="0.25">
      <c r="H287" t="s">
        <v>612</v>
      </c>
      <c r="I287" t="s">
        <v>613</v>
      </c>
      <c r="J287" t="s">
        <v>3</v>
      </c>
      <c r="K287">
        <v>1</v>
      </c>
      <c r="L287" t="s">
        <v>40</v>
      </c>
    </row>
    <row r="288" spans="8:12" x14ac:dyDescent="0.25">
      <c r="H288" t="s">
        <v>614</v>
      </c>
      <c r="I288" t="s">
        <v>615</v>
      </c>
      <c r="J288" t="s">
        <v>3</v>
      </c>
      <c r="K288">
        <v>1</v>
      </c>
      <c r="L288" t="s">
        <v>40</v>
      </c>
    </row>
    <row r="289" spans="8:12" x14ac:dyDescent="0.25">
      <c r="H289" t="s">
        <v>616</v>
      </c>
      <c r="I289" t="s">
        <v>617</v>
      </c>
      <c r="J289" t="s">
        <v>3</v>
      </c>
      <c r="K289">
        <v>1</v>
      </c>
      <c r="L289" t="s">
        <v>40</v>
      </c>
    </row>
    <row r="290" spans="8:12" x14ac:dyDescent="0.25">
      <c r="H290" t="s">
        <v>618</v>
      </c>
      <c r="I290" t="s">
        <v>619</v>
      </c>
      <c r="J290" t="s">
        <v>3</v>
      </c>
      <c r="K290">
        <v>1</v>
      </c>
      <c r="L290" t="s">
        <v>40</v>
      </c>
    </row>
    <row r="291" spans="8:12" x14ac:dyDescent="0.25">
      <c r="H291" t="s">
        <v>620</v>
      </c>
      <c r="I291" t="s">
        <v>621</v>
      </c>
      <c r="J291" t="s">
        <v>3</v>
      </c>
      <c r="K291">
        <v>1</v>
      </c>
      <c r="L291" t="s">
        <v>40</v>
      </c>
    </row>
    <row r="292" spans="8:12" x14ac:dyDescent="0.25">
      <c r="H292" t="s">
        <v>622</v>
      </c>
      <c r="I292" t="s">
        <v>623</v>
      </c>
      <c r="J292" t="s">
        <v>3</v>
      </c>
      <c r="K292">
        <v>1</v>
      </c>
      <c r="L292" t="s">
        <v>40</v>
      </c>
    </row>
    <row r="293" spans="8:12" x14ac:dyDescent="0.25">
      <c r="H293" t="s">
        <v>624</v>
      </c>
      <c r="I293" t="s">
        <v>625</v>
      </c>
      <c r="J293" t="s">
        <v>3</v>
      </c>
      <c r="K293">
        <v>1</v>
      </c>
      <c r="L293" t="s">
        <v>40</v>
      </c>
    </row>
    <row r="294" spans="8:12" x14ac:dyDescent="0.25">
      <c r="H294" t="s">
        <v>626</v>
      </c>
      <c r="I294" t="s">
        <v>627</v>
      </c>
      <c r="J294" t="s">
        <v>3</v>
      </c>
      <c r="K294">
        <v>1</v>
      </c>
      <c r="L294" t="s">
        <v>40</v>
      </c>
    </row>
    <row r="295" spans="8:12" x14ac:dyDescent="0.25">
      <c r="H295" t="s">
        <v>628</v>
      </c>
      <c r="I295" t="s">
        <v>629</v>
      </c>
      <c r="J295" t="s">
        <v>3</v>
      </c>
      <c r="K295">
        <v>1</v>
      </c>
      <c r="L295" t="s">
        <v>40</v>
      </c>
    </row>
    <row r="296" spans="8:12" x14ac:dyDescent="0.25">
      <c r="H296" t="s">
        <v>630</v>
      </c>
      <c r="I296" t="s">
        <v>631</v>
      </c>
      <c r="J296" t="s">
        <v>3</v>
      </c>
      <c r="K296">
        <v>1</v>
      </c>
      <c r="L296" t="s">
        <v>40</v>
      </c>
    </row>
    <row r="297" spans="8:12" x14ac:dyDescent="0.25">
      <c r="H297" t="s">
        <v>632</v>
      </c>
      <c r="I297" t="s">
        <v>633</v>
      </c>
      <c r="J297" t="s">
        <v>3</v>
      </c>
      <c r="K297">
        <v>1</v>
      </c>
      <c r="L297" t="s">
        <v>40</v>
      </c>
    </row>
    <row r="298" spans="8:12" x14ac:dyDescent="0.25">
      <c r="H298" t="s">
        <v>634</v>
      </c>
      <c r="I298" t="s">
        <v>635</v>
      </c>
      <c r="J298" t="s">
        <v>3</v>
      </c>
      <c r="K298">
        <v>1</v>
      </c>
      <c r="L298" t="s">
        <v>40</v>
      </c>
    </row>
    <row r="299" spans="8:12" x14ac:dyDescent="0.25">
      <c r="H299" t="s">
        <v>636</v>
      </c>
      <c r="I299" t="s">
        <v>637</v>
      </c>
      <c r="J299" t="s">
        <v>3</v>
      </c>
      <c r="K299">
        <v>1</v>
      </c>
      <c r="L299" t="s">
        <v>40</v>
      </c>
    </row>
    <row r="300" spans="8:12" x14ac:dyDescent="0.25">
      <c r="H300" t="s">
        <v>638</v>
      </c>
      <c r="I300" t="s">
        <v>639</v>
      </c>
      <c r="J300" t="s">
        <v>3</v>
      </c>
      <c r="K300">
        <v>1</v>
      </c>
      <c r="L300" t="s">
        <v>40</v>
      </c>
    </row>
    <row r="301" spans="8:12" x14ac:dyDescent="0.25">
      <c r="H301" t="s">
        <v>640</v>
      </c>
      <c r="I301" t="s">
        <v>641</v>
      </c>
      <c r="J301" t="s">
        <v>3</v>
      </c>
      <c r="K301">
        <v>1</v>
      </c>
      <c r="L301" t="s">
        <v>40</v>
      </c>
    </row>
    <row r="302" spans="8:12" x14ac:dyDescent="0.25">
      <c r="H302" t="s">
        <v>642</v>
      </c>
      <c r="I302" t="s">
        <v>643</v>
      </c>
      <c r="J302" t="s">
        <v>3</v>
      </c>
      <c r="K302">
        <v>1</v>
      </c>
      <c r="L302" t="s">
        <v>40</v>
      </c>
    </row>
    <row r="303" spans="8:12" x14ac:dyDescent="0.25">
      <c r="H303" t="s">
        <v>644</v>
      </c>
      <c r="I303" t="s">
        <v>645</v>
      </c>
      <c r="J303" t="s">
        <v>3</v>
      </c>
      <c r="K303">
        <v>1</v>
      </c>
      <c r="L303" t="s">
        <v>40</v>
      </c>
    </row>
    <row r="304" spans="8:12" x14ac:dyDescent="0.25">
      <c r="H304" t="s">
        <v>646</v>
      </c>
      <c r="I304" t="s">
        <v>647</v>
      </c>
      <c r="J304" t="s">
        <v>3</v>
      </c>
      <c r="K304">
        <v>1</v>
      </c>
      <c r="L304" t="s">
        <v>40</v>
      </c>
    </row>
    <row r="305" spans="8:12" x14ac:dyDescent="0.25">
      <c r="H305" t="s">
        <v>648</v>
      </c>
      <c r="I305" t="s">
        <v>649</v>
      </c>
      <c r="J305" t="s">
        <v>3</v>
      </c>
      <c r="K305">
        <v>1</v>
      </c>
      <c r="L305" t="s">
        <v>40</v>
      </c>
    </row>
    <row r="306" spans="8:12" x14ac:dyDescent="0.25">
      <c r="H306" t="s">
        <v>650</v>
      </c>
      <c r="I306" t="s">
        <v>651</v>
      </c>
      <c r="J306" t="s">
        <v>3</v>
      </c>
      <c r="K306">
        <v>1</v>
      </c>
      <c r="L306" t="s">
        <v>40</v>
      </c>
    </row>
    <row r="307" spans="8:12" x14ac:dyDescent="0.25">
      <c r="H307" t="s">
        <v>652</v>
      </c>
      <c r="I307" t="s">
        <v>653</v>
      </c>
      <c r="J307" t="s">
        <v>3</v>
      </c>
      <c r="K307">
        <v>1</v>
      </c>
      <c r="L307" t="s">
        <v>40</v>
      </c>
    </row>
    <row r="308" spans="8:12" x14ac:dyDescent="0.25">
      <c r="H308" t="s">
        <v>654</v>
      </c>
      <c r="I308" t="s">
        <v>655</v>
      </c>
      <c r="J308" t="s">
        <v>3</v>
      </c>
      <c r="K308">
        <v>1</v>
      </c>
      <c r="L308" t="s">
        <v>40</v>
      </c>
    </row>
    <row r="309" spans="8:12" x14ac:dyDescent="0.25">
      <c r="H309" t="s">
        <v>656</v>
      </c>
      <c r="I309" t="s">
        <v>657</v>
      </c>
      <c r="J309" t="s">
        <v>3</v>
      </c>
      <c r="K309">
        <v>1</v>
      </c>
      <c r="L309" t="s">
        <v>40</v>
      </c>
    </row>
    <row r="310" spans="8:12" x14ac:dyDescent="0.25">
      <c r="H310" t="s">
        <v>658</v>
      </c>
      <c r="I310" t="s">
        <v>659</v>
      </c>
      <c r="J310" t="s">
        <v>3</v>
      </c>
      <c r="K310">
        <v>1</v>
      </c>
      <c r="L310" t="s">
        <v>40</v>
      </c>
    </row>
    <row r="311" spans="8:12" x14ac:dyDescent="0.25">
      <c r="H311" t="s">
        <v>660</v>
      </c>
      <c r="I311" t="s">
        <v>661</v>
      </c>
      <c r="J311" t="s">
        <v>3</v>
      </c>
      <c r="K311">
        <v>1</v>
      </c>
      <c r="L311" t="s">
        <v>662</v>
      </c>
    </row>
    <row r="312" spans="8:12" x14ac:dyDescent="0.25">
      <c r="H312" t="s">
        <v>663</v>
      </c>
      <c r="I312" t="s">
        <v>664</v>
      </c>
      <c r="J312" t="s">
        <v>3</v>
      </c>
      <c r="K312">
        <v>1</v>
      </c>
      <c r="L312" t="s">
        <v>662</v>
      </c>
    </row>
    <row r="313" spans="8:12" x14ac:dyDescent="0.25">
      <c r="H313" t="s">
        <v>665</v>
      </c>
      <c r="I313" t="s">
        <v>666</v>
      </c>
      <c r="J313" t="s">
        <v>3</v>
      </c>
      <c r="K313">
        <v>1</v>
      </c>
      <c r="L313" t="s">
        <v>662</v>
      </c>
    </row>
    <row r="314" spans="8:12" x14ac:dyDescent="0.25">
      <c r="H314" t="s">
        <v>667</v>
      </c>
      <c r="I314" t="s">
        <v>668</v>
      </c>
      <c r="J314" t="s">
        <v>3</v>
      </c>
      <c r="K314">
        <v>1</v>
      </c>
      <c r="L314" t="s">
        <v>662</v>
      </c>
    </row>
    <row r="315" spans="8:12" x14ac:dyDescent="0.25">
      <c r="H315" t="s">
        <v>669</v>
      </c>
      <c r="I315" t="s">
        <v>670</v>
      </c>
      <c r="J315" t="s">
        <v>3</v>
      </c>
      <c r="K315">
        <v>1</v>
      </c>
      <c r="L315" t="s">
        <v>662</v>
      </c>
    </row>
    <row r="316" spans="8:12" x14ac:dyDescent="0.25">
      <c r="H316" t="s">
        <v>671</v>
      </c>
      <c r="I316" t="s">
        <v>672</v>
      </c>
      <c r="J316" t="s">
        <v>3</v>
      </c>
      <c r="K316">
        <v>1</v>
      </c>
      <c r="L316" t="s">
        <v>662</v>
      </c>
    </row>
    <row r="317" spans="8:12" x14ac:dyDescent="0.25">
      <c r="H317" t="s">
        <v>673</v>
      </c>
      <c r="I317" t="s">
        <v>674</v>
      </c>
      <c r="J317" t="s">
        <v>3</v>
      </c>
      <c r="K317">
        <v>1</v>
      </c>
      <c r="L317" t="s">
        <v>662</v>
      </c>
    </row>
    <row r="318" spans="8:12" x14ac:dyDescent="0.25">
      <c r="H318" t="s">
        <v>675</v>
      </c>
      <c r="I318" t="s">
        <v>676</v>
      </c>
      <c r="J318" t="s">
        <v>3</v>
      </c>
      <c r="K318">
        <v>1</v>
      </c>
      <c r="L318" t="s">
        <v>662</v>
      </c>
    </row>
    <row r="319" spans="8:12" x14ac:dyDescent="0.25">
      <c r="H319" t="s">
        <v>677</v>
      </c>
      <c r="I319" t="s">
        <v>678</v>
      </c>
      <c r="J319" t="s">
        <v>3</v>
      </c>
      <c r="K319">
        <v>1</v>
      </c>
      <c r="L319" t="s">
        <v>662</v>
      </c>
    </row>
    <row r="320" spans="8:12" x14ac:dyDescent="0.25">
      <c r="H320" t="s">
        <v>679</v>
      </c>
      <c r="I320" t="s">
        <v>680</v>
      </c>
      <c r="J320" t="s">
        <v>3</v>
      </c>
      <c r="K320">
        <v>1</v>
      </c>
      <c r="L320" t="s">
        <v>662</v>
      </c>
    </row>
    <row r="321" spans="8:12" x14ac:dyDescent="0.25">
      <c r="H321" t="s">
        <v>681</v>
      </c>
      <c r="I321" t="s">
        <v>682</v>
      </c>
      <c r="J321" t="s">
        <v>3</v>
      </c>
      <c r="K321">
        <v>1</v>
      </c>
      <c r="L321" t="s">
        <v>662</v>
      </c>
    </row>
    <row r="322" spans="8:12" x14ac:dyDescent="0.25">
      <c r="H322" t="s">
        <v>683</v>
      </c>
      <c r="I322" t="s">
        <v>684</v>
      </c>
      <c r="J322" t="s">
        <v>3</v>
      </c>
      <c r="K322">
        <v>1</v>
      </c>
      <c r="L322" t="s">
        <v>662</v>
      </c>
    </row>
    <row r="323" spans="8:12" x14ac:dyDescent="0.25">
      <c r="H323" t="s">
        <v>685</v>
      </c>
      <c r="I323" t="s">
        <v>686</v>
      </c>
      <c r="J323" t="s">
        <v>3</v>
      </c>
      <c r="K323">
        <v>1</v>
      </c>
      <c r="L323" t="s">
        <v>662</v>
      </c>
    </row>
    <row r="324" spans="8:12" x14ac:dyDescent="0.25">
      <c r="H324" t="s">
        <v>687</v>
      </c>
      <c r="I324" t="s">
        <v>688</v>
      </c>
      <c r="J324" t="s">
        <v>3</v>
      </c>
      <c r="K324">
        <v>1</v>
      </c>
      <c r="L324" t="s">
        <v>662</v>
      </c>
    </row>
    <row r="325" spans="8:12" x14ac:dyDescent="0.25">
      <c r="H325" t="s">
        <v>689</v>
      </c>
      <c r="I325" t="s">
        <v>690</v>
      </c>
      <c r="J325" t="s">
        <v>3</v>
      </c>
      <c r="K325">
        <v>1</v>
      </c>
      <c r="L325" t="s">
        <v>662</v>
      </c>
    </row>
    <row r="326" spans="8:12" x14ac:dyDescent="0.25">
      <c r="H326" t="s">
        <v>691</v>
      </c>
      <c r="I326" t="s">
        <v>692</v>
      </c>
      <c r="J326" t="s">
        <v>3</v>
      </c>
      <c r="K326">
        <v>1</v>
      </c>
      <c r="L326" t="s">
        <v>662</v>
      </c>
    </row>
    <row r="327" spans="8:12" x14ac:dyDescent="0.25">
      <c r="H327" t="s">
        <v>693</v>
      </c>
      <c r="I327" t="s">
        <v>694</v>
      </c>
      <c r="J327" t="s">
        <v>3</v>
      </c>
      <c r="K327">
        <v>1</v>
      </c>
      <c r="L327" t="s">
        <v>662</v>
      </c>
    </row>
    <row r="328" spans="8:12" x14ac:dyDescent="0.25">
      <c r="H328" t="s">
        <v>695</v>
      </c>
      <c r="I328" t="s">
        <v>696</v>
      </c>
      <c r="J328" t="s">
        <v>3</v>
      </c>
      <c r="K328">
        <v>1</v>
      </c>
      <c r="L328" t="s">
        <v>662</v>
      </c>
    </row>
    <row r="329" spans="8:12" x14ac:dyDescent="0.25">
      <c r="H329" t="s">
        <v>697</v>
      </c>
      <c r="I329" t="s">
        <v>698</v>
      </c>
      <c r="J329" t="s">
        <v>3</v>
      </c>
      <c r="K329">
        <v>1</v>
      </c>
      <c r="L329" t="s">
        <v>662</v>
      </c>
    </row>
    <row r="330" spans="8:12" x14ac:dyDescent="0.25">
      <c r="H330" t="s">
        <v>699</v>
      </c>
      <c r="I330" t="s">
        <v>700</v>
      </c>
      <c r="J330" t="s">
        <v>3</v>
      </c>
      <c r="K330">
        <v>1</v>
      </c>
      <c r="L330" t="s">
        <v>662</v>
      </c>
    </row>
    <row r="331" spans="8:12" x14ac:dyDescent="0.25">
      <c r="H331" t="s">
        <v>701</v>
      </c>
      <c r="I331" t="s">
        <v>702</v>
      </c>
      <c r="J331" t="s">
        <v>3</v>
      </c>
      <c r="K331">
        <v>1</v>
      </c>
      <c r="L331" t="s">
        <v>662</v>
      </c>
    </row>
    <row r="332" spans="8:12" x14ac:dyDescent="0.25">
      <c r="H332" t="s">
        <v>703</v>
      </c>
      <c r="I332" t="s">
        <v>704</v>
      </c>
      <c r="J332" t="s">
        <v>3</v>
      </c>
      <c r="K332">
        <v>1</v>
      </c>
      <c r="L332" t="s">
        <v>662</v>
      </c>
    </row>
    <row r="333" spans="8:12" x14ac:dyDescent="0.25">
      <c r="H333" t="s">
        <v>705</v>
      </c>
      <c r="I333" t="s">
        <v>706</v>
      </c>
      <c r="J333" t="s">
        <v>3</v>
      </c>
      <c r="K333">
        <v>1</v>
      </c>
      <c r="L333" t="s">
        <v>662</v>
      </c>
    </row>
    <row r="334" spans="8:12" x14ac:dyDescent="0.25">
      <c r="H334" t="s">
        <v>707</v>
      </c>
      <c r="I334" t="s">
        <v>708</v>
      </c>
      <c r="J334" t="s">
        <v>3</v>
      </c>
      <c r="K334">
        <v>1</v>
      </c>
      <c r="L334" t="s">
        <v>662</v>
      </c>
    </row>
    <row r="335" spans="8:12" x14ac:dyDescent="0.25">
      <c r="H335" t="s">
        <v>709</v>
      </c>
      <c r="I335" t="s">
        <v>710</v>
      </c>
      <c r="J335" t="s">
        <v>3</v>
      </c>
      <c r="K335">
        <v>1</v>
      </c>
      <c r="L335" t="s">
        <v>662</v>
      </c>
    </row>
    <row r="336" spans="8:12" x14ac:dyDescent="0.25">
      <c r="H336" t="s">
        <v>711</v>
      </c>
      <c r="I336" t="s">
        <v>712</v>
      </c>
      <c r="J336" t="s">
        <v>3</v>
      </c>
      <c r="K336">
        <v>1</v>
      </c>
      <c r="L336" t="s">
        <v>662</v>
      </c>
    </row>
    <row r="337" spans="8:12" x14ac:dyDescent="0.25">
      <c r="H337" t="s">
        <v>713</v>
      </c>
      <c r="I337" t="s">
        <v>714</v>
      </c>
      <c r="J337" t="s">
        <v>3</v>
      </c>
      <c r="K337">
        <v>1</v>
      </c>
      <c r="L337" t="s">
        <v>662</v>
      </c>
    </row>
    <row r="338" spans="8:12" x14ac:dyDescent="0.25">
      <c r="H338" t="s">
        <v>715</v>
      </c>
      <c r="I338" t="s">
        <v>716</v>
      </c>
      <c r="J338" t="s">
        <v>3</v>
      </c>
      <c r="K338">
        <v>1</v>
      </c>
      <c r="L338" t="s">
        <v>662</v>
      </c>
    </row>
    <row r="339" spans="8:12" x14ac:dyDescent="0.25">
      <c r="H339" t="s">
        <v>717</v>
      </c>
      <c r="I339" t="s">
        <v>718</v>
      </c>
      <c r="J339" t="s">
        <v>3</v>
      </c>
      <c r="K339">
        <v>1</v>
      </c>
      <c r="L339" t="s">
        <v>662</v>
      </c>
    </row>
    <row r="340" spans="8:12" x14ac:dyDescent="0.25">
      <c r="H340" t="s">
        <v>719</v>
      </c>
      <c r="I340" t="s">
        <v>720</v>
      </c>
      <c r="J340" t="s">
        <v>3</v>
      </c>
      <c r="K340">
        <v>1</v>
      </c>
      <c r="L340" t="s">
        <v>662</v>
      </c>
    </row>
    <row r="341" spans="8:12" x14ac:dyDescent="0.25">
      <c r="H341" t="s">
        <v>721</v>
      </c>
      <c r="I341" t="s">
        <v>722</v>
      </c>
      <c r="J341" t="s">
        <v>3</v>
      </c>
      <c r="K341">
        <v>1</v>
      </c>
      <c r="L341" t="s">
        <v>662</v>
      </c>
    </row>
    <row r="342" spans="8:12" x14ac:dyDescent="0.25">
      <c r="H342" t="s">
        <v>723</v>
      </c>
      <c r="I342" t="s">
        <v>724</v>
      </c>
      <c r="J342" t="s">
        <v>3</v>
      </c>
      <c r="K342">
        <v>1</v>
      </c>
      <c r="L342" t="s">
        <v>662</v>
      </c>
    </row>
    <row r="343" spans="8:12" x14ac:dyDescent="0.25">
      <c r="H343" t="s">
        <v>725</v>
      </c>
      <c r="I343" t="s">
        <v>726</v>
      </c>
      <c r="J343" t="s">
        <v>3</v>
      </c>
      <c r="K343">
        <v>1</v>
      </c>
      <c r="L343" t="s">
        <v>662</v>
      </c>
    </row>
    <row r="344" spans="8:12" x14ac:dyDescent="0.25">
      <c r="H344" t="s">
        <v>727</v>
      </c>
      <c r="I344" t="s">
        <v>728</v>
      </c>
      <c r="J344" t="s">
        <v>3</v>
      </c>
      <c r="K344">
        <v>1</v>
      </c>
      <c r="L344" t="s">
        <v>662</v>
      </c>
    </row>
    <row r="345" spans="8:12" x14ac:dyDescent="0.25">
      <c r="H345" t="s">
        <v>729</v>
      </c>
      <c r="I345" t="s">
        <v>730</v>
      </c>
      <c r="J345" t="s">
        <v>3</v>
      </c>
      <c r="K345">
        <v>1</v>
      </c>
      <c r="L345" t="s">
        <v>662</v>
      </c>
    </row>
    <row r="346" spans="8:12" x14ac:dyDescent="0.25">
      <c r="H346" t="s">
        <v>731</v>
      </c>
      <c r="I346" t="s">
        <v>732</v>
      </c>
      <c r="J346" t="s">
        <v>3</v>
      </c>
      <c r="K346">
        <v>1</v>
      </c>
      <c r="L346" t="s">
        <v>662</v>
      </c>
    </row>
    <row r="347" spans="8:12" x14ac:dyDescent="0.25">
      <c r="H347" t="s">
        <v>733</v>
      </c>
      <c r="I347" t="s">
        <v>734</v>
      </c>
      <c r="J347" t="s">
        <v>3</v>
      </c>
      <c r="K347">
        <v>1</v>
      </c>
      <c r="L347" t="s">
        <v>662</v>
      </c>
    </row>
    <row r="348" spans="8:12" x14ac:dyDescent="0.25">
      <c r="H348" t="s">
        <v>735</v>
      </c>
      <c r="I348" t="s">
        <v>736</v>
      </c>
      <c r="J348" t="s">
        <v>3</v>
      </c>
      <c r="K348">
        <v>1</v>
      </c>
      <c r="L348" t="s">
        <v>662</v>
      </c>
    </row>
    <row r="349" spans="8:12" x14ac:dyDescent="0.25">
      <c r="H349" t="s">
        <v>737</v>
      </c>
      <c r="I349" t="s">
        <v>738</v>
      </c>
      <c r="J349" t="s">
        <v>3</v>
      </c>
      <c r="K349">
        <v>1</v>
      </c>
      <c r="L349" t="s">
        <v>662</v>
      </c>
    </row>
    <row r="350" spans="8:12" x14ac:dyDescent="0.25">
      <c r="H350" t="s">
        <v>739</v>
      </c>
      <c r="I350" t="s">
        <v>740</v>
      </c>
      <c r="J350" t="s">
        <v>3</v>
      </c>
      <c r="K350">
        <v>1</v>
      </c>
      <c r="L350" t="s">
        <v>662</v>
      </c>
    </row>
    <row r="351" spans="8:12" x14ac:dyDescent="0.25">
      <c r="H351" t="s">
        <v>741</v>
      </c>
      <c r="I351" t="s">
        <v>742</v>
      </c>
      <c r="J351" t="s">
        <v>3</v>
      </c>
      <c r="K351">
        <v>1</v>
      </c>
      <c r="L351" t="s">
        <v>662</v>
      </c>
    </row>
    <row r="352" spans="8:12" x14ac:dyDescent="0.25">
      <c r="H352" t="s">
        <v>743</v>
      </c>
      <c r="I352" t="s">
        <v>744</v>
      </c>
      <c r="J352" t="s">
        <v>3</v>
      </c>
      <c r="K352">
        <v>1</v>
      </c>
      <c r="L352" t="s">
        <v>662</v>
      </c>
    </row>
    <row r="353" spans="8:12" x14ac:dyDescent="0.25">
      <c r="H353" t="s">
        <v>745</v>
      </c>
      <c r="I353" t="s">
        <v>746</v>
      </c>
      <c r="J353" t="s">
        <v>3</v>
      </c>
      <c r="K353">
        <v>1</v>
      </c>
      <c r="L353" t="s">
        <v>662</v>
      </c>
    </row>
    <row r="354" spans="8:12" x14ac:dyDescent="0.25">
      <c r="H354" t="s">
        <v>747</v>
      </c>
      <c r="I354" t="s">
        <v>748</v>
      </c>
      <c r="J354" t="s">
        <v>3</v>
      </c>
      <c r="K354">
        <v>1</v>
      </c>
      <c r="L354" t="s">
        <v>662</v>
      </c>
    </row>
    <row r="355" spans="8:12" x14ac:dyDescent="0.25">
      <c r="H355" t="s">
        <v>749</v>
      </c>
      <c r="I355" t="s">
        <v>750</v>
      </c>
      <c r="J355" t="s">
        <v>3</v>
      </c>
      <c r="K355">
        <v>1</v>
      </c>
      <c r="L355" t="s">
        <v>662</v>
      </c>
    </row>
    <row r="356" spans="8:12" x14ac:dyDescent="0.25">
      <c r="H356" t="s">
        <v>751</v>
      </c>
      <c r="I356" t="s">
        <v>752</v>
      </c>
      <c r="J356" t="s">
        <v>3</v>
      </c>
      <c r="K356">
        <v>1</v>
      </c>
      <c r="L356" t="s">
        <v>662</v>
      </c>
    </row>
    <row r="357" spans="8:12" x14ac:dyDescent="0.25">
      <c r="H357" t="s">
        <v>753</v>
      </c>
      <c r="I357" t="s">
        <v>754</v>
      </c>
      <c r="J357" t="s">
        <v>3</v>
      </c>
      <c r="K357">
        <v>1</v>
      </c>
      <c r="L357" t="s">
        <v>662</v>
      </c>
    </row>
    <row r="358" spans="8:12" x14ac:dyDescent="0.25">
      <c r="H358" t="s">
        <v>755</v>
      </c>
      <c r="I358" t="s">
        <v>756</v>
      </c>
      <c r="J358" t="s">
        <v>3</v>
      </c>
      <c r="K358">
        <v>1</v>
      </c>
      <c r="L358" t="s">
        <v>662</v>
      </c>
    </row>
    <row r="359" spans="8:12" x14ac:dyDescent="0.25">
      <c r="H359" t="s">
        <v>757</v>
      </c>
      <c r="I359" t="s">
        <v>758</v>
      </c>
      <c r="J359" t="s">
        <v>3</v>
      </c>
      <c r="K359">
        <v>1</v>
      </c>
      <c r="L359" t="s">
        <v>662</v>
      </c>
    </row>
    <row r="360" spans="8:12" x14ac:dyDescent="0.25">
      <c r="H360" t="s">
        <v>759</v>
      </c>
      <c r="I360" t="s">
        <v>760</v>
      </c>
      <c r="J360" t="s">
        <v>3</v>
      </c>
      <c r="K360">
        <v>1</v>
      </c>
      <c r="L360" t="s">
        <v>662</v>
      </c>
    </row>
    <row r="361" spans="8:12" x14ac:dyDescent="0.25">
      <c r="H361" t="s">
        <v>761</v>
      </c>
      <c r="I361" t="s">
        <v>762</v>
      </c>
      <c r="J361" t="s">
        <v>3</v>
      </c>
      <c r="K361">
        <v>1</v>
      </c>
      <c r="L361" t="s">
        <v>662</v>
      </c>
    </row>
    <row r="362" spans="8:12" x14ac:dyDescent="0.25">
      <c r="H362" t="s">
        <v>763</v>
      </c>
      <c r="I362" t="s">
        <v>764</v>
      </c>
      <c r="J362" t="s">
        <v>3</v>
      </c>
      <c r="K362">
        <v>1</v>
      </c>
      <c r="L362" t="s">
        <v>662</v>
      </c>
    </row>
    <row r="363" spans="8:12" x14ac:dyDescent="0.25">
      <c r="H363" t="s">
        <v>765</v>
      </c>
      <c r="I363" t="s">
        <v>766</v>
      </c>
      <c r="J363" t="s">
        <v>3</v>
      </c>
      <c r="K363">
        <v>1</v>
      </c>
      <c r="L363" t="s">
        <v>662</v>
      </c>
    </row>
    <row r="364" spans="8:12" x14ac:dyDescent="0.25">
      <c r="H364" t="s">
        <v>767</v>
      </c>
      <c r="I364" t="s">
        <v>768</v>
      </c>
      <c r="J364" t="s">
        <v>3</v>
      </c>
      <c r="K364">
        <v>1</v>
      </c>
      <c r="L364" t="s">
        <v>662</v>
      </c>
    </row>
    <row r="365" spans="8:12" x14ac:dyDescent="0.25">
      <c r="H365" t="s">
        <v>769</v>
      </c>
      <c r="I365" t="s">
        <v>770</v>
      </c>
      <c r="J365" t="s">
        <v>3</v>
      </c>
      <c r="K365">
        <v>1</v>
      </c>
      <c r="L365" t="s">
        <v>662</v>
      </c>
    </row>
    <row r="366" spans="8:12" x14ac:dyDescent="0.25">
      <c r="H366" t="s">
        <v>771</v>
      </c>
      <c r="I366" t="s">
        <v>772</v>
      </c>
      <c r="J366" t="s">
        <v>3</v>
      </c>
      <c r="K366">
        <v>1</v>
      </c>
      <c r="L366" t="s">
        <v>662</v>
      </c>
    </row>
    <row r="367" spans="8:12" x14ac:dyDescent="0.25">
      <c r="H367" t="s">
        <v>773</v>
      </c>
      <c r="I367" t="s">
        <v>774</v>
      </c>
      <c r="J367" t="s">
        <v>3</v>
      </c>
      <c r="K367">
        <v>1</v>
      </c>
      <c r="L367" t="s">
        <v>662</v>
      </c>
    </row>
    <row r="368" spans="8:12" x14ac:dyDescent="0.25">
      <c r="H368" t="s">
        <v>775</v>
      </c>
      <c r="I368" t="s">
        <v>776</v>
      </c>
      <c r="J368" t="s">
        <v>3</v>
      </c>
      <c r="K368">
        <v>1</v>
      </c>
      <c r="L368" t="s">
        <v>662</v>
      </c>
    </row>
    <row r="369" spans="8:12" x14ac:dyDescent="0.25">
      <c r="H369" t="s">
        <v>777</v>
      </c>
      <c r="I369" t="s">
        <v>778</v>
      </c>
      <c r="J369" t="s">
        <v>3</v>
      </c>
      <c r="K369">
        <v>1</v>
      </c>
      <c r="L369" t="s">
        <v>662</v>
      </c>
    </row>
    <row r="370" spans="8:12" x14ac:dyDescent="0.25">
      <c r="H370" t="s">
        <v>779</v>
      </c>
      <c r="I370" t="s">
        <v>780</v>
      </c>
      <c r="J370" t="s">
        <v>3</v>
      </c>
      <c r="K370">
        <v>1</v>
      </c>
      <c r="L370" t="s">
        <v>662</v>
      </c>
    </row>
    <row r="371" spans="8:12" x14ac:dyDescent="0.25">
      <c r="H371" t="s">
        <v>781</v>
      </c>
      <c r="I371" t="s">
        <v>782</v>
      </c>
      <c r="J371" t="s">
        <v>3</v>
      </c>
      <c r="K371">
        <v>1</v>
      </c>
      <c r="L371" t="s">
        <v>662</v>
      </c>
    </row>
    <row r="372" spans="8:12" x14ac:dyDescent="0.25">
      <c r="H372" t="s">
        <v>783</v>
      </c>
      <c r="I372" t="s">
        <v>784</v>
      </c>
      <c r="J372" t="s">
        <v>3</v>
      </c>
      <c r="K372">
        <v>1</v>
      </c>
      <c r="L372" t="s">
        <v>662</v>
      </c>
    </row>
    <row r="373" spans="8:12" x14ac:dyDescent="0.25">
      <c r="H373" t="s">
        <v>785</v>
      </c>
      <c r="I373" t="s">
        <v>786</v>
      </c>
      <c r="J373" t="s">
        <v>3</v>
      </c>
      <c r="K373">
        <v>1</v>
      </c>
      <c r="L373" t="s">
        <v>662</v>
      </c>
    </row>
    <row r="374" spans="8:12" x14ac:dyDescent="0.25">
      <c r="H374" t="s">
        <v>787</v>
      </c>
      <c r="I374" t="s">
        <v>788</v>
      </c>
      <c r="J374" t="s">
        <v>3</v>
      </c>
      <c r="K374">
        <v>1</v>
      </c>
      <c r="L374" t="s">
        <v>662</v>
      </c>
    </row>
    <row r="375" spans="8:12" x14ac:dyDescent="0.25">
      <c r="H375" t="s">
        <v>789</v>
      </c>
      <c r="I375" t="s">
        <v>790</v>
      </c>
      <c r="J375" t="s">
        <v>3</v>
      </c>
      <c r="K375">
        <v>1</v>
      </c>
      <c r="L375" t="s">
        <v>662</v>
      </c>
    </row>
    <row r="376" spans="8:12" x14ac:dyDescent="0.25">
      <c r="H376" t="s">
        <v>791</v>
      </c>
      <c r="I376" t="s">
        <v>792</v>
      </c>
      <c r="J376" t="s">
        <v>3</v>
      </c>
      <c r="K376">
        <v>1</v>
      </c>
      <c r="L376" t="s">
        <v>662</v>
      </c>
    </row>
    <row r="377" spans="8:12" x14ac:dyDescent="0.25">
      <c r="H377" t="s">
        <v>793</v>
      </c>
      <c r="I377" t="s">
        <v>794</v>
      </c>
      <c r="J377" t="s">
        <v>3</v>
      </c>
      <c r="K377">
        <v>1</v>
      </c>
      <c r="L377" t="s">
        <v>662</v>
      </c>
    </row>
    <row r="378" spans="8:12" x14ac:dyDescent="0.25">
      <c r="H378" t="s">
        <v>795</v>
      </c>
      <c r="I378" t="s">
        <v>796</v>
      </c>
      <c r="J378" t="s">
        <v>3</v>
      </c>
      <c r="K378">
        <v>1</v>
      </c>
      <c r="L378" t="s">
        <v>662</v>
      </c>
    </row>
    <row r="379" spans="8:12" x14ac:dyDescent="0.25">
      <c r="H379" t="s">
        <v>797</v>
      </c>
      <c r="I379" t="s">
        <v>798</v>
      </c>
      <c r="J379" t="s">
        <v>3</v>
      </c>
      <c r="K379">
        <v>1</v>
      </c>
      <c r="L379" t="s">
        <v>662</v>
      </c>
    </row>
    <row r="380" spans="8:12" x14ac:dyDescent="0.25">
      <c r="H380" t="s">
        <v>799</v>
      </c>
      <c r="I380" t="s">
        <v>800</v>
      </c>
      <c r="J380" t="s">
        <v>3</v>
      </c>
      <c r="K380">
        <v>1</v>
      </c>
      <c r="L380" t="s">
        <v>662</v>
      </c>
    </row>
    <row r="381" spans="8:12" x14ac:dyDescent="0.25">
      <c r="H381" t="s">
        <v>801</v>
      </c>
      <c r="I381" t="s">
        <v>802</v>
      </c>
      <c r="J381" t="s">
        <v>3</v>
      </c>
      <c r="K381">
        <v>1</v>
      </c>
      <c r="L381" t="s">
        <v>662</v>
      </c>
    </row>
    <row r="382" spans="8:12" x14ac:dyDescent="0.25">
      <c r="H382" t="s">
        <v>803</v>
      </c>
      <c r="I382" t="s">
        <v>804</v>
      </c>
      <c r="J382" t="s">
        <v>3</v>
      </c>
      <c r="K382">
        <v>1</v>
      </c>
      <c r="L382" t="s">
        <v>662</v>
      </c>
    </row>
    <row r="383" spans="8:12" x14ac:dyDescent="0.25">
      <c r="H383" t="s">
        <v>805</v>
      </c>
      <c r="I383" t="s">
        <v>806</v>
      </c>
      <c r="J383" t="s">
        <v>3</v>
      </c>
      <c r="K383">
        <v>1</v>
      </c>
      <c r="L383" t="s">
        <v>662</v>
      </c>
    </row>
    <row r="384" spans="8:12" x14ac:dyDescent="0.25">
      <c r="H384" t="s">
        <v>807</v>
      </c>
      <c r="I384" t="s">
        <v>808</v>
      </c>
      <c r="J384" t="s">
        <v>3</v>
      </c>
      <c r="K384">
        <v>1</v>
      </c>
      <c r="L384" t="s">
        <v>662</v>
      </c>
    </row>
    <row r="385" spans="8:12" x14ac:dyDescent="0.25">
      <c r="H385" t="s">
        <v>809</v>
      </c>
      <c r="I385" t="s">
        <v>810</v>
      </c>
      <c r="J385" t="s">
        <v>3</v>
      </c>
      <c r="K385">
        <v>1</v>
      </c>
      <c r="L385" t="s">
        <v>662</v>
      </c>
    </row>
    <row r="386" spans="8:12" x14ac:dyDescent="0.25">
      <c r="H386" t="s">
        <v>811</v>
      </c>
      <c r="I386" t="s">
        <v>812</v>
      </c>
      <c r="J386" t="s">
        <v>3</v>
      </c>
      <c r="K386">
        <v>1</v>
      </c>
      <c r="L386" t="s">
        <v>662</v>
      </c>
    </row>
    <row r="387" spans="8:12" x14ac:dyDescent="0.25">
      <c r="H387" t="s">
        <v>813</v>
      </c>
      <c r="I387" t="s">
        <v>814</v>
      </c>
      <c r="J387" t="s">
        <v>3</v>
      </c>
      <c r="K387">
        <v>1</v>
      </c>
      <c r="L387" t="s">
        <v>662</v>
      </c>
    </row>
    <row r="388" spans="8:12" x14ac:dyDescent="0.25">
      <c r="H388" t="s">
        <v>815</v>
      </c>
      <c r="I388" t="s">
        <v>816</v>
      </c>
      <c r="J388" t="s">
        <v>3</v>
      </c>
      <c r="K388">
        <v>1</v>
      </c>
      <c r="L388" t="s">
        <v>662</v>
      </c>
    </row>
    <row r="389" spans="8:12" x14ac:dyDescent="0.25">
      <c r="H389" t="s">
        <v>817</v>
      </c>
      <c r="I389" t="s">
        <v>818</v>
      </c>
      <c r="J389" t="s">
        <v>3</v>
      </c>
      <c r="K389">
        <v>1</v>
      </c>
      <c r="L389" t="s">
        <v>662</v>
      </c>
    </row>
    <row r="390" spans="8:12" x14ac:dyDescent="0.25">
      <c r="H390" t="s">
        <v>819</v>
      </c>
      <c r="I390" t="s">
        <v>820</v>
      </c>
      <c r="J390" t="s">
        <v>3</v>
      </c>
      <c r="K390">
        <v>1</v>
      </c>
      <c r="L390" t="s">
        <v>662</v>
      </c>
    </row>
    <row r="391" spans="8:12" x14ac:dyDescent="0.25">
      <c r="H391" t="s">
        <v>821</v>
      </c>
      <c r="I391" t="s">
        <v>822</v>
      </c>
      <c r="J391" t="s">
        <v>3</v>
      </c>
      <c r="K391">
        <v>1</v>
      </c>
      <c r="L391" t="s">
        <v>662</v>
      </c>
    </row>
    <row r="392" spans="8:12" x14ac:dyDescent="0.25">
      <c r="H392" t="s">
        <v>823</v>
      </c>
      <c r="I392" t="s">
        <v>824</v>
      </c>
      <c r="J392" t="s">
        <v>3</v>
      </c>
      <c r="K392">
        <v>1</v>
      </c>
      <c r="L392" t="s">
        <v>662</v>
      </c>
    </row>
    <row r="393" spans="8:12" x14ac:dyDescent="0.25">
      <c r="H393" t="s">
        <v>825</v>
      </c>
      <c r="I393" t="s">
        <v>826</v>
      </c>
      <c r="J393" t="s">
        <v>3</v>
      </c>
      <c r="K393">
        <v>1</v>
      </c>
      <c r="L393" t="s">
        <v>662</v>
      </c>
    </row>
    <row r="394" spans="8:12" x14ac:dyDescent="0.25">
      <c r="H394" t="s">
        <v>827</v>
      </c>
      <c r="I394" t="s">
        <v>828</v>
      </c>
      <c r="J394" t="s">
        <v>3</v>
      </c>
      <c r="K394">
        <v>1</v>
      </c>
      <c r="L394" t="s">
        <v>662</v>
      </c>
    </row>
    <row r="395" spans="8:12" x14ac:dyDescent="0.25">
      <c r="H395" t="s">
        <v>829</v>
      </c>
      <c r="I395" t="s">
        <v>830</v>
      </c>
      <c r="J395" t="s">
        <v>3</v>
      </c>
      <c r="K395">
        <v>1</v>
      </c>
      <c r="L395" t="s">
        <v>662</v>
      </c>
    </row>
    <row r="396" spans="8:12" x14ac:dyDescent="0.25">
      <c r="H396" t="s">
        <v>831</v>
      </c>
      <c r="I396" t="s">
        <v>832</v>
      </c>
      <c r="J396" t="s">
        <v>3</v>
      </c>
      <c r="K396">
        <v>1</v>
      </c>
      <c r="L396" t="s">
        <v>662</v>
      </c>
    </row>
    <row r="397" spans="8:12" x14ac:dyDescent="0.25">
      <c r="H397" t="s">
        <v>833</v>
      </c>
      <c r="I397" t="s">
        <v>834</v>
      </c>
      <c r="J397" t="s">
        <v>3</v>
      </c>
      <c r="K397">
        <v>1</v>
      </c>
      <c r="L397" t="s">
        <v>662</v>
      </c>
    </row>
    <row r="398" spans="8:12" x14ac:dyDescent="0.25">
      <c r="H398" t="s">
        <v>835</v>
      </c>
      <c r="I398" t="s">
        <v>836</v>
      </c>
      <c r="J398" t="s">
        <v>3</v>
      </c>
      <c r="K398">
        <v>1</v>
      </c>
      <c r="L398" t="s">
        <v>662</v>
      </c>
    </row>
    <row r="399" spans="8:12" x14ac:dyDescent="0.25">
      <c r="H399" t="s">
        <v>837</v>
      </c>
      <c r="I399" t="s">
        <v>838</v>
      </c>
      <c r="J399" t="s">
        <v>3</v>
      </c>
      <c r="K399">
        <v>1</v>
      </c>
      <c r="L399" t="s">
        <v>662</v>
      </c>
    </row>
    <row r="400" spans="8:12" x14ac:dyDescent="0.25">
      <c r="H400" t="s">
        <v>839</v>
      </c>
      <c r="I400" t="s">
        <v>840</v>
      </c>
      <c r="J400" t="s">
        <v>3</v>
      </c>
      <c r="K400">
        <v>1</v>
      </c>
      <c r="L400" t="s">
        <v>662</v>
      </c>
    </row>
    <row r="401" spans="8:12" x14ac:dyDescent="0.25">
      <c r="H401" t="s">
        <v>841</v>
      </c>
      <c r="I401" t="s">
        <v>842</v>
      </c>
      <c r="J401" t="s">
        <v>3</v>
      </c>
      <c r="K401">
        <v>1</v>
      </c>
      <c r="L401" t="s">
        <v>662</v>
      </c>
    </row>
    <row r="402" spans="8:12" x14ac:dyDescent="0.25">
      <c r="H402" t="s">
        <v>843</v>
      </c>
      <c r="I402" t="s">
        <v>844</v>
      </c>
      <c r="J402" t="s">
        <v>3</v>
      </c>
      <c r="K402">
        <v>1</v>
      </c>
      <c r="L402" t="s">
        <v>662</v>
      </c>
    </row>
    <row r="403" spans="8:12" x14ac:dyDescent="0.25">
      <c r="H403" t="s">
        <v>845</v>
      </c>
      <c r="I403" t="s">
        <v>846</v>
      </c>
      <c r="J403" t="s">
        <v>3</v>
      </c>
      <c r="K403">
        <v>1</v>
      </c>
      <c r="L403" t="s">
        <v>662</v>
      </c>
    </row>
    <row r="404" spans="8:12" x14ac:dyDescent="0.25">
      <c r="H404" t="s">
        <v>847</v>
      </c>
      <c r="I404" t="s">
        <v>848</v>
      </c>
      <c r="J404" t="s">
        <v>3</v>
      </c>
      <c r="K404">
        <v>1</v>
      </c>
      <c r="L404" t="s">
        <v>662</v>
      </c>
    </row>
    <row r="405" spans="8:12" x14ac:dyDescent="0.25">
      <c r="H405" t="s">
        <v>849</v>
      </c>
      <c r="I405" t="s">
        <v>850</v>
      </c>
      <c r="J405" t="s">
        <v>3</v>
      </c>
      <c r="K405">
        <v>1</v>
      </c>
      <c r="L405" t="s">
        <v>662</v>
      </c>
    </row>
    <row r="406" spans="8:12" x14ac:dyDescent="0.25">
      <c r="H406" t="s">
        <v>851</v>
      </c>
      <c r="I406" t="s">
        <v>852</v>
      </c>
      <c r="J406" t="s">
        <v>3</v>
      </c>
      <c r="K406">
        <v>1</v>
      </c>
      <c r="L406" t="s">
        <v>662</v>
      </c>
    </row>
    <row r="407" spans="8:12" x14ac:dyDescent="0.25">
      <c r="H407" t="s">
        <v>853</v>
      </c>
      <c r="I407" t="s">
        <v>854</v>
      </c>
      <c r="J407" t="s">
        <v>3</v>
      </c>
      <c r="K407">
        <v>1</v>
      </c>
      <c r="L407" t="s">
        <v>662</v>
      </c>
    </row>
    <row r="408" spans="8:12" x14ac:dyDescent="0.25">
      <c r="H408" t="s">
        <v>855</v>
      </c>
      <c r="I408" t="s">
        <v>856</v>
      </c>
      <c r="J408" t="s">
        <v>3</v>
      </c>
      <c r="K408">
        <v>1</v>
      </c>
      <c r="L408" t="s">
        <v>662</v>
      </c>
    </row>
    <row r="409" spans="8:12" x14ac:dyDescent="0.25">
      <c r="H409" t="s">
        <v>857</v>
      </c>
      <c r="I409" t="s">
        <v>858</v>
      </c>
      <c r="J409" t="s">
        <v>3</v>
      </c>
      <c r="K409">
        <v>1</v>
      </c>
      <c r="L409" t="s">
        <v>662</v>
      </c>
    </row>
    <row r="410" spans="8:12" x14ac:dyDescent="0.25">
      <c r="H410" t="s">
        <v>859</v>
      </c>
      <c r="I410" t="s">
        <v>860</v>
      </c>
      <c r="J410" t="s">
        <v>3</v>
      </c>
      <c r="K410">
        <v>1</v>
      </c>
      <c r="L410" t="s">
        <v>662</v>
      </c>
    </row>
    <row r="411" spans="8:12" x14ac:dyDescent="0.25">
      <c r="H411" t="s">
        <v>861</v>
      </c>
      <c r="I411" t="s">
        <v>862</v>
      </c>
      <c r="J411" t="s">
        <v>3</v>
      </c>
      <c r="K411">
        <v>1</v>
      </c>
      <c r="L411" t="s">
        <v>662</v>
      </c>
    </row>
    <row r="412" spans="8:12" x14ac:dyDescent="0.25">
      <c r="H412" t="s">
        <v>863</v>
      </c>
      <c r="I412" t="s">
        <v>864</v>
      </c>
      <c r="J412" t="s">
        <v>3</v>
      </c>
      <c r="K412">
        <v>1</v>
      </c>
      <c r="L412" t="s">
        <v>662</v>
      </c>
    </row>
    <row r="413" spans="8:12" x14ac:dyDescent="0.25">
      <c r="H413" t="s">
        <v>865</v>
      </c>
      <c r="I413" t="s">
        <v>866</v>
      </c>
      <c r="J413" t="s">
        <v>3</v>
      </c>
      <c r="K413">
        <v>1</v>
      </c>
      <c r="L413" t="s">
        <v>662</v>
      </c>
    </row>
    <row r="414" spans="8:12" x14ac:dyDescent="0.25">
      <c r="H414" t="s">
        <v>867</v>
      </c>
      <c r="I414" t="s">
        <v>868</v>
      </c>
      <c r="J414" t="s">
        <v>3</v>
      </c>
      <c r="K414">
        <v>1</v>
      </c>
      <c r="L414" t="s">
        <v>662</v>
      </c>
    </row>
    <row r="415" spans="8:12" x14ac:dyDescent="0.25">
      <c r="H415" t="s">
        <v>869</v>
      </c>
      <c r="I415" t="s">
        <v>870</v>
      </c>
      <c r="J415" t="s">
        <v>3</v>
      </c>
      <c r="K415">
        <v>1</v>
      </c>
      <c r="L415" t="s">
        <v>662</v>
      </c>
    </row>
    <row r="416" spans="8:12" x14ac:dyDescent="0.25">
      <c r="H416" t="s">
        <v>871</v>
      </c>
      <c r="I416" t="s">
        <v>872</v>
      </c>
      <c r="J416" t="s">
        <v>3</v>
      </c>
      <c r="K416">
        <v>1</v>
      </c>
      <c r="L416" t="s">
        <v>662</v>
      </c>
    </row>
    <row r="417" spans="8:12" x14ac:dyDescent="0.25">
      <c r="H417" t="s">
        <v>873</v>
      </c>
      <c r="I417" t="s">
        <v>874</v>
      </c>
      <c r="J417" t="s">
        <v>3</v>
      </c>
      <c r="K417">
        <v>1</v>
      </c>
      <c r="L417" t="s">
        <v>662</v>
      </c>
    </row>
    <row r="418" spans="8:12" x14ac:dyDescent="0.25">
      <c r="H418" t="s">
        <v>875</v>
      </c>
      <c r="I418" t="s">
        <v>876</v>
      </c>
      <c r="J418" t="s">
        <v>3</v>
      </c>
      <c r="K418">
        <v>1</v>
      </c>
      <c r="L418" t="s">
        <v>662</v>
      </c>
    </row>
    <row r="419" spans="8:12" x14ac:dyDescent="0.25">
      <c r="H419" t="s">
        <v>877</v>
      </c>
      <c r="I419" t="s">
        <v>878</v>
      </c>
      <c r="J419" t="s">
        <v>3</v>
      </c>
      <c r="K419">
        <v>1</v>
      </c>
      <c r="L419" t="s">
        <v>662</v>
      </c>
    </row>
    <row r="420" spans="8:12" x14ac:dyDescent="0.25">
      <c r="H420" t="s">
        <v>879</v>
      </c>
      <c r="I420" t="s">
        <v>880</v>
      </c>
      <c r="J420" t="s">
        <v>3</v>
      </c>
      <c r="K420">
        <v>1</v>
      </c>
      <c r="L420" t="s">
        <v>662</v>
      </c>
    </row>
    <row r="421" spans="8:12" x14ac:dyDescent="0.25">
      <c r="H421" t="s">
        <v>881</v>
      </c>
      <c r="I421" t="s">
        <v>882</v>
      </c>
      <c r="J421" t="s">
        <v>3</v>
      </c>
      <c r="K421">
        <v>1</v>
      </c>
      <c r="L421" t="s">
        <v>662</v>
      </c>
    </row>
    <row r="422" spans="8:12" x14ac:dyDescent="0.25">
      <c r="H422" t="s">
        <v>883</v>
      </c>
      <c r="I422" t="s">
        <v>884</v>
      </c>
      <c r="J422" t="s">
        <v>3</v>
      </c>
      <c r="K422">
        <v>1</v>
      </c>
      <c r="L422" t="s">
        <v>662</v>
      </c>
    </row>
    <row r="423" spans="8:12" x14ac:dyDescent="0.25">
      <c r="H423" t="s">
        <v>885</v>
      </c>
      <c r="I423" t="s">
        <v>886</v>
      </c>
      <c r="J423" t="s">
        <v>3</v>
      </c>
      <c r="K423">
        <v>1</v>
      </c>
      <c r="L423" t="s">
        <v>662</v>
      </c>
    </row>
    <row r="424" spans="8:12" x14ac:dyDescent="0.25">
      <c r="H424" t="s">
        <v>887</v>
      </c>
      <c r="I424" t="s">
        <v>888</v>
      </c>
      <c r="J424" t="s">
        <v>3</v>
      </c>
      <c r="K424">
        <v>1</v>
      </c>
      <c r="L424" t="s">
        <v>662</v>
      </c>
    </row>
    <row r="425" spans="8:12" x14ac:dyDescent="0.25">
      <c r="H425" t="s">
        <v>889</v>
      </c>
      <c r="I425" t="s">
        <v>890</v>
      </c>
      <c r="J425" t="s">
        <v>3</v>
      </c>
      <c r="K425">
        <v>1</v>
      </c>
      <c r="L425" t="s">
        <v>662</v>
      </c>
    </row>
    <row r="426" spans="8:12" x14ac:dyDescent="0.25">
      <c r="H426" t="s">
        <v>891</v>
      </c>
      <c r="I426" t="s">
        <v>892</v>
      </c>
      <c r="J426" t="s">
        <v>3</v>
      </c>
      <c r="K426">
        <v>1</v>
      </c>
      <c r="L426" t="s">
        <v>662</v>
      </c>
    </row>
    <row r="427" spans="8:12" x14ac:dyDescent="0.25">
      <c r="H427" t="s">
        <v>893</v>
      </c>
      <c r="I427" t="s">
        <v>894</v>
      </c>
      <c r="J427" t="s">
        <v>3</v>
      </c>
      <c r="K427">
        <v>1</v>
      </c>
      <c r="L427" t="s">
        <v>662</v>
      </c>
    </row>
    <row r="428" spans="8:12" x14ac:dyDescent="0.25">
      <c r="H428" t="s">
        <v>895</v>
      </c>
      <c r="I428" t="s">
        <v>896</v>
      </c>
      <c r="J428" t="s">
        <v>3</v>
      </c>
      <c r="K428">
        <v>1</v>
      </c>
      <c r="L428" t="s">
        <v>662</v>
      </c>
    </row>
    <row r="429" spans="8:12" x14ac:dyDescent="0.25">
      <c r="H429" t="s">
        <v>897</v>
      </c>
      <c r="I429" t="s">
        <v>898</v>
      </c>
      <c r="J429" t="s">
        <v>3</v>
      </c>
      <c r="K429">
        <v>1</v>
      </c>
      <c r="L429" t="s">
        <v>662</v>
      </c>
    </row>
    <row r="430" spans="8:12" x14ac:dyDescent="0.25">
      <c r="H430" t="s">
        <v>899</v>
      </c>
      <c r="I430" t="s">
        <v>900</v>
      </c>
      <c r="J430" t="s">
        <v>3</v>
      </c>
      <c r="K430">
        <v>1</v>
      </c>
      <c r="L430" t="s">
        <v>662</v>
      </c>
    </row>
    <row r="431" spans="8:12" x14ac:dyDescent="0.25">
      <c r="H431" t="s">
        <v>901</v>
      </c>
      <c r="I431" t="s">
        <v>902</v>
      </c>
      <c r="J431" t="s">
        <v>3</v>
      </c>
      <c r="K431">
        <v>1</v>
      </c>
      <c r="L431" t="s">
        <v>662</v>
      </c>
    </row>
    <row r="432" spans="8:12" x14ac:dyDescent="0.25">
      <c r="H432" t="s">
        <v>903</v>
      </c>
      <c r="I432" t="s">
        <v>904</v>
      </c>
      <c r="J432" t="s">
        <v>3</v>
      </c>
      <c r="K432">
        <v>1</v>
      </c>
      <c r="L432" t="s">
        <v>662</v>
      </c>
    </row>
    <row r="433" spans="8:12" x14ac:dyDescent="0.25">
      <c r="H433" t="s">
        <v>905</v>
      </c>
      <c r="I433" t="s">
        <v>906</v>
      </c>
      <c r="J433" t="s">
        <v>3</v>
      </c>
      <c r="K433">
        <v>1</v>
      </c>
      <c r="L433" t="s">
        <v>662</v>
      </c>
    </row>
    <row r="434" spans="8:12" x14ac:dyDescent="0.25">
      <c r="H434" t="s">
        <v>907</v>
      </c>
      <c r="I434" t="s">
        <v>908</v>
      </c>
      <c r="J434" t="s">
        <v>3</v>
      </c>
      <c r="K434">
        <v>1</v>
      </c>
      <c r="L434" t="s">
        <v>662</v>
      </c>
    </row>
    <row r="435" spans="8:12" x14ac:dyDescent="0.25">
      <c r="H435" t="s">
        <v>909</v>
      </c>
      <c r="I435" t="s">
        <v>910</v>
      </c>
      <c r="J435" t="s">
        <v>3</v>
      </c>
      <c r="K435">
        <v>1</v>
      </c>
      <c r="L435" t="s">
        <v>662</v>
      </c>
    </row>
    <row r="436" spans="8:12" x14ac:dyDescent="0.25">
      <c r="H436" t="s">
        <v>911</v>
      </c>
      <c r="I436" t="s">
        <v>912</v>
      </c>
      <c r="J436" t="s">
        <v>3</v>
      </c>
      <c r="K436">
        <v>1</v>
      </c>
      <c r="L436" t="s">
        <v>662</v>
      </c>
    </row>
    <row r="437" spans="8:12" x14ac:dyDescent="0.25">
      <c r="H437" t="s">
        <v>913</v>
      </c>
      <c r="I437" t="s">
        <v>914</v>
      </c>
      <c r="J437" t="s">
        <v>3</v>
      </c>
      <c r="K437">
        <v>1</v>
      </c>
      <c r="L437" t="s">
        <v>662</v>
      </c>
    </row>
    <row r="438" spans="8:12" x14ac:dyDescent="0.25">
      <c r="H438" t="s">
        <v>915</v>
      </c>
      <c r="I438" t="s">
        <v>916</v>
      </c>
      <c r="J438" t="s">
        <v>3</v>
      </c>
      <c r="K438">
        <v>1</v>
      </c>
      <c r="L438" t="s">
        <v>662</v>
      </c>
    </row>
    <row r="439" spans="8:12" x14ac:dyDescent="0.25">
      <c r="H439" t="s">
        <v>917</v>
      </c>
      <c r="I439" t="s">
        <v>918</v>
      </c>
      <c r="J439" t="s">
        <v>3</v>
      </c>
      <c r="K439">
        <v>1</v>
      </c>
      <c r="L439" t="s">
        <v>662</v>
      </c>
    </row>
    <row r="440" spans="8:12" x14ac:dyDescent="0.25">
      <c r="H440" t="s">
        <v>919</v>
      </c>
      <c r="I440" t="s">
        <v>920</v>
      </c>
      <c r="J440" t="s">
        <v>3</v>
      </c>
      <c r="K440">
        <v>1</v>
      </c>
      <c r="L440" t="s">
        <v>662</v>
      </c>
    </row>
    <row r="441" spans="8:12" x14ac:dyDescent="0.25">
      <c r="H441" t="s">
        <v>921</v>
      </c>
      <c r="I441" t="s">
        <v>922</v>
      </c>
      <c r="J441" t="s">
        <v>3</v>
      </c>
      <c r="K441">
        <v>1</v>
      </c>
      <c r="L441" t="s">
        <v>662</v>
      </c>
    </row>
    <row r="442" spans="8:12" x14ac:dyDescent="0.25">
      <c r="H442" t="s">
        <v>923</v>
      </c>
      <c r="I442" t="s">
        <v>924</v>
      </c>
      <c r="J442" t="s">
        <v>3</v>
      </c>
      <c r="K442">
        <v>1</v>
      </c>
      <c r="L442" t="s">
        <v>662</v>
      </c>
    </row>
    <row r="443" spans="8:12" x14ac:dyDescent="0.25">
      <c r="H443" t="s">
        <v>925</v>
      </c>
      <c r="I443" t="s">
        <v>926</v>
      </c>
      <c r="J443" t="s">
        <v>3</v>
      </c>
      <c r="K443">
        <v>1</v>
      </c>
      <c r="L443" t="s">
        <v>662</v>
      </c>
    </row>
    <row r="444" spans="8:12" x14ac:dyDescent="0.25">
      <c r="H444" t="s">
        <v>927</v>
      </c>
      <c r="I444" t="s">
        <v>928</v>
      </c>
      <c r="J444" t="s">
        <v>3</v>
      </c>
      <c r="K444">
        <v>1</v>
      </c>
      <c r="L444" t="s">
        <v>662</v>
      </c>
    </row>
    <row r="445" spans="8:12" x14ac:dyDescent="0.25">
      <c r="H445" t="s">
        <v>929</v>
      </c>
      <c r="I445" t="s">
        <v>930</v>
      </c>
      <c r="J445" t="s">
        <v>3</v>
      </c>
      <c r="K445">
        <v>1</v>
      </c>
      <c r="L445" t="s">
        <v>662</v>
      </c>
    </row>
    <row r="446" spans="8:12" x14ac:dyDescent="0.25">
      <c r="H446" t="s">
        <v>931</v>
      </c>
      <c r="I446" t="s">
        <v>932</v>
      </c>
      <c r="J446" t="s">
        <v>3</v>
      </c>
      <c r="K446">
        <v>1</v>
      </c>
      <c r="L446" t="s">
        <v>662</v>
      </c>
    </row>
    <row r="447" spans="8:12" x14ac:dyDescent="0.25">
      <c r="H447" t="s">
        <v>933</v>
      </c>
      <c r="I447" t="s">
        <v>934</v>
      </c>
      <c r="J447" t="s">
        <v>3</v>
      </c>
      <c r="K447">
        <v>1</v>
      </c>
      <c r="L447" t="s">
        <v>662</v>
      </c>
    </row>
    <row r="448" spans="8:12" x14ac:dyDescent="0.25">
      <c r="H448" t="s">
        <v>935</v>
      </c>
      <c r="I448" t="s">
        <v>936</v>
      </c>
      <c r="J448" t="s">
        <v>3</v>
      </c>
      <c r="K448">
        <v>1</v>
      </c>
      <c r="L448" t="s">
        <v>662</v>
      </c>
    </row>
    <row r="449" spans="8:12" x14ac:dyDescent="0.25">
      <c r="H449" t="s">
        <v>937</v>
      </c>
      <c r="I449" t="s">
        <v>938</v>
      </c>
      <c r="J449" t="s">
        <v>3</v>
      </c>
      <c r="K449">
        <v>1</v>
      </c>
      <c r="L449" t="s">
        <v>662</v>
      </c>
    </row>
    <row r="450" spans="8:12" x14ac:dyDescent="0.25">
      <c r="H450" t="s">
        <v>939</v>
      </c>
      <c r="I450" t="s">
        <v>940</v>
      </c>
      <c r="J450" t="s">
        <v>3</v>
      </c>
      <c r="K450">
        <v>1</v>
      </c>
      <c r="L450" t="s">
        <v>662</v>
      </c>
    </row>
    <row r="451" spans="8:12" x14ac:dyDescent="0.25">
      <c r="H451" t="s">
        <v>941</v>
      </c>
      <c r="I451" t="s">
        <v>942</v>
      </c>
      <c r="J451" t="s">
        <v>3</v>
      </c>
      <c r="K451">
        <v>1</v>
      </c>
      <c r="L451" t="s">
        <v>662</v>
      </c>
    </row>
    <row r="452" spans="8:12" x14ac:dyDescent="0.25">
      <c r="H452" t="s">
        <v>943</v>
      </c>
      <c r="I452" t="s">
        <v>944</v>
      </c>
      <c r="J452" t="s">
        <v>3</v>
      </c>
      <c r="K452">
        <v>1</v>
      </c>
      <c r="L452" t="s">
        <v>662</v>
      </c>
    </row>
    <row r="453" spans="8:12" x14ac:dyDescent="0.25">
      <c r="H453" t="s">
        <v>945</v>
      </c>
      <c r="I453" t="s">
        <v>946</v>
      </c>
      <c r="J453" t="s">
        <v>3</v>
      </c>
      <c r="K453">
        <v>1</v>
      </c>
      <c r="L453" t="s">
        <v>662</v>
      </c>
    </row>
    <row r="454" spans="8:12" x14ac:dyDescent="0.25">
      <c r="H454" t="s">
        <v>947</v>
      </c>
      <c r="I454" t="s">
        <v>948</v>
      </c>
      <c r="J454" t="s">
        <v>3</v>
      </c>
      <c r="K454">
        <v>1</v>
      </c>
      <c r="L454" t="s">
        <v>662</v>
      </c>
    </row>
    <row r="455" spans="8:12" x14ac:dyDescent="0.25">
      <c r="H455" t="s">
        <v>949</v>
      </c>
      <c r="I455" t="s">
        <v>950</v>
      </c>
      <c r="J455" t="s">
        <v>3</v>
      </c>
      <c r="K455">
        <v>1</v>
      </c>
      <c r="L455" t="s">
        <v>662</v>
      </c>
    </row>
    <row r="456" spans="8:12" x14ac:dyDescent="0.25">
      <c r="H456" t="s">
        <v>951</v>
      </c>
      <c r="I456" t="s">
        <v>952</v>
      </c>
      <c r="J456" t="s">
        <v>3</v>
      </c>
      <c r="K456">
        <v>1</v>
      </c>
      <c r="L456" t="s">
        <v>662</v>
      </c>
    </row>
    <row r="457" spans="8:12" x14ac:dyDescent="0.25">
      <c r="H457" t="s">
        <v>953</v>
      </c>
      <c r="I457" t="s">
        <v>954</v>
      </c>
      <c r="J457" t="s">
        <v>3</v>
      </c>
      <c r="K457">
        <v>1</v>
      </c>
      <c r="L457" t="s">
        <v>662</v>
      </c>
    </row>
    <row r="458" spans="8:12" x14ac:dyDescent="0.25">
      <c r="H458" t="s">
        <v>955</v>
      </c>
      <c r="I458" t="s">
        <v>956</v>
      </c>
      <c r="J458" t="s">
        <v>3</v>
      </c>
      <c r="K458">
        <v>1</v>
      </c>
      <c r="L458" t="s">
        <v>662</v>
      </c>
    </row>
    <row r="459" spans="8:12" x14ac:dyDescent="0.25">
      <c r="H459" t="s">
        <v>957</v>
      </c>
      <c r="I459" t="s">
        <v>958</v>
      </c>
      <c r="J459" t="s">
        <v>3</v>
      </c>
      <c r="K459">
        <v>1</v>
      </c>
      <c r="L459" t="s">
        <v>662</v>
      </c>
    </row>
    <row r="460" spans="8:12" x14ac:dyDescent="0.25">
      <c r="H460" t="s">
        <v>959</v>
      </c>
      <c r="I460" t="s">
        <v>960</v>
      </c>
      <c r="J460" t="s">
        <v>3</v>
      </c>
      <c r="K460">
        <v>1</v>
      </c>
      <c r="L460" t="s">
        <v>662</v>
      </c>
    </row>
    <row r="461" spans="8:12" x14ac:dyDescent="0.25">
      <c r="H461" t="s">
        <v>961</v>
      </c>
      <c r="I461" t="s">
        <v>962</v>
      </c>
      <c r="J461" t="s">
        <v>3</v>
      </c>
      <c r="K461">
        <v>1</v>
      </c>
      <c r="L461" t="s">
        <v>662</v>
      </c>
    </row>
    <row r="462" spans="8:12" x14ac:dyDescent="0.25">
      <c r="H462" t="s">
        <v>963</v>
      </c>
      <c r="I462" t="s">
        <v>964</v>
      </c>
      <c r="J462" t="s">
        <v>3</v>
      </c>
      <c r="K462">
        <v>1</v>
      </c>
      <c r="L462" t="s">
        <v>662</v>
      </c>
    </row>
    <row r="463" spans="8:12" x14ac:dyDescent="0.25">
      <c r="H463" t="s">
        <v>965</v>
      </c>
      <c r="I463" t="s">
        <v>966</v>
      </c>
      <c r="J463" t="s">
        <v>3</v>
      </c>
      <c r="K463">
        <v>1</v>
      </c>
      <c r="L463" t="s">
        <v>662</v>
      </c>
    </row>
    <row r="464" spans="8:12" x14ac:dyDescent="0.25">
      <c r="H464" t="s">
        <v>967</v>
      </c>
      <c r="I464" t="s">
        <v>968</v>
      </c>
      <c r="J464" t="s">
        <v>3</v>
      </c>
      <c r="K464">
        <v>1</v>
      </c>
      <c r="L464" t="s">
        <v>662</v>
      </c>
    </row>
    <row r="465" spans="8:12" x14ac:dyDescent="0.25">
      <c r="H465" t="s">
        <v>969</v>
      </c>
      <c r="I465" t="s">
        <v>970</v>
      </c>
      <c r="J465" t="s">
        <v>3</v>
      </c>
      <c r="K465">
        <v>1</v>
      </c>
      <c r="L465" t="s">
        <v>662</v>
      </c>
    </row>
    <row r="466" spans="8:12" x14ac:dyDescent="0.25">
      <c r="H466" t="s">
        <v>971</v>
      </c>
      <c r="I466" t="s">
        <v>972</v>
      </c>
      <c r="J466" t="s">
        <v>3</v>
      </c>
      <c r="K466">
        <v>1</v>
      </c>
      <c r="L466" t="s">
        <v>662</v>
      </c>
    </row>
    <row r="467" spans="8:12" x14ac:dyDescent="0.25">
      <c r="H467" t="s">
        <v>973</v>
      </c>
      <c r="I467" t="s">
        <v>974</v>
      </c>
      <c r="J467" t="s">
        <v>3</v>
      </c>
      <c r="K467">
        <v>1</v>
      </c>
      <c r="L467" t="s">
        <v>662</v>
      </c>
    </row>
    <row r="468" spans="8:12" x14ac:dyDescent="0.25">
      <c r="H468" t="s">
        <v>975</v>
      </c>
      <c r="I468" t="s">
        <v>976</v>
      </c>
      <c r="J468" t="s">
        <v>3</v>
      </c>
      <c r="K468">
        <v>1</v>
      </c>
      <c r="L468" t="s">
        <v>662</v>
      </c>
    </row>
    <row r="469" spans="8:12" x14ac:dyDescent="0.25">
      <c r="H469" t="s">
        <v>977</v>
      </c>
      <c r="I469" t="s">
        <v>978</v>
      </c>
      <c r="J469" t="s">
        <v>3</v>
      </c>
      <c r="K469">
        <v>1</v>
      </c>
      <c r="L469" t="s">
        <v>662</v>
      </c>
    </row>
    <row r="470" spans="8:12" x14ac:dyDescent="0.25">
      <c r="H470" t="s">
        <v>979</v>
      </c>
      <c r="I470" t="s">
        <v>980</v>
      </c>
      <c r="J470" t="s">
        <v>3</v>
      </c>
      <c r="K470">
        <v>1</v>
      </c>
      <c r="L470" t="s">
        <v>662</v>
      </c>
    </row>
    <row r="471" spans="8:12" x14ac:dyDescent="0.25">
      <c r="H471" t="s">
        <v>981</v>
      </c>
      <c r="I471" t="s">
        <v>982</v>
      </c>
      <c r="J471" t="s">
        <v>3</v>
      </c>
      <c r="K471">
        <v>1</v>
      </c>
      <c r="L471" t="s">
        <v>662</v>
      </c>
    </row>
    <row r="472" spans="8:12" x14ac:dyDescent="0.25">
      <c r="H472" t="s">
        <v>983</v>
      </c>
      <c r="I472" t="s">
        <v>984</v>
      </c>
      <c r="J472" t="s">
        <v>3</v>
      </c>
      <c r="K472">
        <v>1</v>
      </c>
      <c r="L472" t="s">
        <v>662</v>
      </c>
    </row>
    <row r="473" spans="8:12" x14ac:dyDescent="0.25">
      <c r="H473" t="s">
        <v>985</v>
      </c>
      <c r="I473" t="s">
        <v>986</v>
      </c>
      <c r="J473" t="s">
        <v>3</v>
      </c>
      <c r="K473">
        <v>1</v>
      </c>
      <c r="L473" t="s">
        <v>662</v>
      </c>
    </row>
    <row r="474" spans="8:12" x14ac:dyDescent="0.25">
      <c r="H474" t="s">
        <v>987</v>
      </c>
      <c r="I474" t="s">
        <v>988</v>
      </c>
      <c r="J474" t="s">
        <v>3</v>
      </c>
      <c r="K474">
        <v>1</v>
      </c>
      <c r="L474" t="s">
        <v>662</v>
      </c>
    </row>
    <row r="475" spans="8:12" x14ac:dyDescent="0.25">
      <c r="H475" t="s">
        <v>989</v>
      </c>
      <c r="I475" t="s">
        <v>990</v>
      </c>
      <c r="J475" t="s">
        <v>3</v>
      </c>
      <c r="K475">
        <v>1</v>
      </c>
      <c r="L475" t="s">
        <v>662</v>
      </c>
    </row>
    <row r="476" spans="8:12" x14ac:dyDescent="0.25">
      <c r="H476" t="s">
        <v>991</v>
      </c>
      <c r="I476" t="s">
        <v>992</v>
      </c>
      <c r="J476" t="s">
        <v>3</v>
      </c>
      <c r="K476">
        <v>1</v>
      </c>
      <c r="L476" t="s">
        <v>662</v>
      </c>
    </row>
    <row r="477" spans="8:12" x14ac:dyDescent="0.25">
      <c r="H477" t="s">
        <v>993</v>
      </c>
      <c r="I477" t="s">
        <v>994</v>
      </c>
      <c r="J477" t="s">
        <v>3</v>
      </c>
      <c r="K477">
        <v>1</v>
      </c>
      <c r="L477" t="s">
        <v>662</v>
      </c>
    </row>
    <row r="478" spans="8:12" x14ac:dyDescent="0.25">
      <c r="H478" t="s">
        <v>995</v>
      </c>
      <c r="I478" t="s">
        <v>996</v>
      </c>
      <c r="J478" t="s">
        <v>3</v>
      </c>
      <c r="K478">
        <v>1</v>
      </c>
      <c r="L478" t="s">
        <v>662</v>
      </c>
    </row>
    <row r="479" spans="8:12" x14ac:dyDescent="0.25">
      <c r="H479" t="s">
        <v>997</v>
      </c>
      <c r="I479" t="s">
        <v>998</v>
      </c>
      <c r="J479" t="s">
        <v>3</v>
      </c>
      <c r="K479">
        <v>1</v>
      </c>
      <c r="L479" t="s">
        <v>662</v>
      </c>
    </row>
    <row r="480" spans="8:12" x14ac:dyDescent="0.25">
      <c r="H480" t="s">
        <v>999</v>
      </c>
      <c r="I480" t="s">
        <v>1000</v>
      </c>
      <c r="J480" t="s">
        <v>3</v>
      </c>
      <c r="K480">
        <v>1</v>
      </c>
      <c r="L480" t="s">
        <v>662</v>
      </c>
    </row>
    <row r="481" spans="8:12" x14ac:dyDescent="0.25">
      <c r="H481" t="s">
        <v>1001</v>
      </c>
      <c r="I481" t="s">
        <v>1002</v>
      </c>
      <c r="J481" t="s">
        <v>3</v>
      </c>
      <c r="K481">
        <v>1</v>
      </c>
      <c r="L481" t="s">
        <v>662</v>
      </c>
    </row>
    <row r="482" spans="8:12" x14ac:dyDescent="0.25">
      <c r="H482" t="s">
        <v>1003</v>
      </c>
      <c r="I482" t="s">
        <v>1004</v>
      </c>
      <c r="J482" t="s">
        <v>3</v>
      </c>
      <c r="K482">
        <v>1</v>
      </c>
      <c r="L482" t="s">
        <v>662</v>
      </c>
    </row>
    <row r="483" spans="8:12" x14ac:dyDescent="0.25">
      <c r="H483" t="s">
        <v>1005</v>
      </c>
      <c r="I483" t="s">
        <v>1006</v>
      </c>
      <c r="J483" t="s">
        <v>3</v>
      </c>
      <c r="K483">
        <v>1</v>
      </c>
      <c r="L483" t="s">
        <v>662</v>
      </c>
    </row>
    <row r="484" spans="8:12" x14ac:dyDescent="0.25">
      <c r="H484" t="s">
        <v>1007</v>
      </c>
      <c r="I484" t="s">
        <v>1008</v>
      </c>
      <c r="J484" t="s">
        <v>3</v>
      </c>
      <c r="K484">
        <v>1</v>
      </c>
      <c r="L484" t="s">
        <v>662</v>
      </c>
    </row>
    <row r="485" spans="8:12" x14ac:dyDescent="0.25">
      <c r="H485" t="s">
        <v>1009</v>
      </c>
      <c r="I485" t="s">
        <v>1010</v>
      </c>
      <c r="J485" t="s">
        <v>3</v>
      </c>
      <c r="K485">
        <v>1</v>
      </c>
      <c r="L485" t="s">
        <v>662</v>
      </c>
    </row>
    <row r="486" spans="8:12" x14ac:dyDescent="0.25">
      <c r="H486" t="s">
        <v>1011</v>
      </c>
      <c r="I486" t="s">
        <v>1012</v>
      </c>
      <c r="J486" t="s">
        <v>3</v>
      </c>
      <c r="K486">
        <v>1</v>
      </c>
      <c r="L486" t="s">
        <v>662</v>
      </c>
    </row>
    <row r="487" spans="8:12" x14ac:dyDescent="0.25">
      <c r="H487" t="s">
        <v>1013</v>
      </c>
      <c r="I487" t="s">
        <v>1014</v>
      </c>
      <c r="J487" t="s">
        <v>3</v>
      </c>
      <c r="K487">
        <v>1</v>
      </c>
      <c r="L487" t="s">
        <v>662</v>
      </c>
    </row>
    <row r="488" spans="8:12" x14ac:dyDescent="0.25">
      <c r="H488" t="s">
        <v>1015</v>
      </c>
      <c r="I488" t="s">
        <v>1016</v>
      </c>
      <c r="J488" t="s">
        <v>3</v>
      </c>
      <c r="K488">
        <v>1</v>
      </c>
      <c r="L488" t="s">
        <v>662</v>
      </c>
    </row>
    <row r="489" spans="8:12" x14ac:dyDescent="0.25">
      <c r="H489" t="s">
        <v>1017</v>
      </c>
      <c r="I489" t="s">
        <v>1018</v>
      </c>
      <c r="J489" t="s">
        <v>3</v>
      </c>
      <c r="K489">
        <v>1</v>
      </c>
      <c r="L489" t="s">
        <v>662</v>
      </c>
    </row>
    <row r="490" spans="8:12" x14ac:dyDescent="0.25">
      <c r="H490" t="s">
        <v>1019</v>
      </c>
      <c r="I490" t="s">
        <v>1020</v>
      </c>
      <c r="J490" t="s">
        <v>3</v>
      </c>
      <c r="K490">
        <v>1</v>
      </c>
      <c r="L490" t="s">
        <v>662</v>
      </c>
    </row>
    <row r="491" spans="8:12" x14ac:dyDescent="0.25">
      <c r="H491" t="s">
        <v>1021</v>
      </c>
      <c r="I491" t="s">
        <v>1022</v>
      </c>
      <c r="J491" t="s">
        <v>3</v>
      </c>
      <c r="K491">
        <v>1</v>
      </c>
      <c r="L491" t="s">
        <v>662</v>
      </c>
    </row>
    <row r="492" spans="8:12" x14ac:dyDescent="0.25">
      <c r="H492" t="s">
        <v>1023</v>
      </c>
      <c r="I492" t="s">
        <v>1024</v>
      </c>
      <c r="J492" t="s">
        <v>3</v>
      </c>
      <c r="K492">
        <v>1</v>
      </c>
      <c r="L492" t="s">
        <v>662</v>
      </c>
    </row>
    <row r="493" spans="8:12" x14ac:dyDescent="0.25">
      <c r="H493" t="s">
        <v>1025</v>
      </c>
      <c r="I493" t="s">
        <v>1026</v>
      </c>
      <c r="J493" t="s">
        <v>3</v>
      </c>
      <c r="K493">
        <v>1</v>
      </c>
      <c r="L493" t="s">
        <v>662</v>
      </c>
    </row>
    <row r="494" spans="8:12" x14ac:dyDescent="0.25">
      <c r="H494" t="s">
        <v>1027</v>
      </c>
      <c r="I494" t="s">
        <v>1028</v>
      </c>
      <c r="J494" t="s">
        <v>3</v>
      </c>
      <c r="K494">
        <v>1</v>
      </c>
      <c r="L494" t="s">
        <v>662</v>
      </c>
    </row>
    <row r="495" spans="8:12" x14ac:dyDescent="0.25">
      <c r="H495" t="s">
        <v>1029</v>
      </c>
      <c r="I495" t="s">
        <v>1030</v>
      </c>
      <c r="J495" t="s">
        <v>3</v>
      </c>
      <c r="K495">
        <v>1</v>
      </c>
      <c r="L495" t="s">
        <v>662</v>
      </c>
    </row>
    <row r="496" spans="8:12" x14ac:dyDescent="0.25">
      <c r="H496" t="s">
        <v>1031</v>
      </c>
      <c r="I496" t="s">
        <v>1032</v>
      </c>
      <c r="J496" t="s">
        <v>3</v>
      </c>
      <c r="K496">
        <v>1</v>
      </c>
      <c r="L496" t="s">
        <v>662</v>
      </c>
    </row>
    <row r="497" spans="8:12" x14ac:dyDescent="0.25">
      <c r="H497" t="s">
        <v>1033</v>
      </c>
      <c r="I497" t="s">
        <v>1034</v>
      </c>
      <c r="J497" t="s">
        <v>3</v>
      </c>
      <c r="K497">
        <v>1</v>
      </c>
      <c r="L497" t="s">
        <v>662</v>
      </c>
    </row>
    <row r="498" spans="8:12" x14ac:dyDescent="0.25">
      <c r="H498" t="s">
        <v>1035</v>
      </c>
      <c r="I498" t="s">
        <v>1036</v>
      </c>
      <c r="J498" t="s">
        <v>3</v>
      </c>
      <c r="K498">
        <v>1</v>
      </c>
      <c r="L498" t="s">
        <v>662</v>
      </c>
    </row>
    <row r="499" spans="8:12" x14ac:dyDescent="0.25">
      <c r="H499" t="s">
        <v>1037</v>
      </c>
      <c r="I499" t="s">
        <v>1038</v>
      </c>
      <c r="J499" t="s">
        <v>3</v>
      </c>
      <c r="K499">
        <v>1</v>
      </c>
      <c r="L499" t="s">
        <v>662</v>
      </c>
    </row>
    <row r="500" spans="8:12" x14ac:dyDescent="0.25">
      <c r="H500" t="s">
        <v>1039</v>
      </c>
      <c r="I500" t="s">
        <v>1040</v>
      </c>
      <c r="J500" t="s">
        <v>3</v>
      </c>
      <c r="K500">
        <v>1</v>
      </c>
      <c r="L500" t="s">
        <v>662</v>
      </c>
    </row>
    <row r="501" spans="8:12" x14ac:dyDescent="0.25">
      <c r="H501" t="s">
        <v>1041</v>
      </c>
      <c r="I501" t="s">
        <v>1042</v>
      </c>
      <c r="J501" t="s">
        <v>3</v>
      </c>
      <c r="K501">
        <v>1</v>
      </c>
      <c r="L501" t="s">
        <v>662</v>
      </c>
    </row>
    <row r="502" spans="8:12" x14ac:dyDescent="0.25">
      <c r="H502" t="s">
        <v>1043</v>
      </c>
      <c r="I502" t="s">
        <v>1044</v>
      </c>
      <c r="J502" t="s">
        <v>3</v>
      </c>
      <c r="K502">
        <v>1</v>
      </c>
      <c r="L502" t="s">
        <v>662</v>
      </c>
    </row>
    <row r="503" spans="8:12" x14ac:dyDescent="0.25">
      <c r="H503" t="s">
        <v>1045</v>
      </c>
      <c r="I503" t="s">
        <v>1046</v>
      </c>
      <c r="J503" t="s">
        <v>3</v>
      </c>
      <c r="K503">
        <v>1</v>
      </c>
      <c r="L503" t="s">
        <v>662</v>
      </c>
    </row>
    <row r="504" spans="8:12" x14ac:dyDescent="0.25">
      <c r="H504" t="s">
        <v>1047</v>
      </c>
      <c r="I504" t="s">
        <v>1048</v>
      </c>
      <c r="J504" t="s">
        <v>3</v>
      </c>
      <c r="K504">
        <v>1</v>
      </c>
      <c r="L504" t="s">
        <v>662</v>
      </c>
    </row>
    <row r="505" spans="8:12" x14ac:dyDescent="0.25">
      <c r="H505" t="s">
        <v>1049</v>
      </c>
      <c r="I505" t="s">
        <v>1050</v>
      </c>
      <c r="J505" t="s">
        <v>3</v>
      </c>
      <c r="K505">
        <v>1</v>
      </c>
      <c r="L505" t="s">
        <v>662</v>
      </c>
    </row>
    <row r="506" spans="8:12" x14ac:dyDescent="0.25">
      <c r="H506" t="s">
        <v>1051</v>
      </c>
      <c r="I506" t="s">
        <v>1052</v>
      </c>
      <c r="J506" t="s">
        <v>3</v>
      </c>
      <c r="K506">
        <v>1</v>
      </c>
      <c r="L506" t="s">
        <v>662</v>
      </c>
    </row>
    <row r="507" spans="8:12" x14ac:dyDescent="0.25">
      <c r="H507" t="s">
        <v>1053</v>
      </c>
      <c r="I507" t="s">
        <v>1054</v>
      </c>
      <c r="J507" t="s">
        <v>3</v>
      </c>
      <c r="K507">
        <v>1</v>
      </c>
      <c r="L507" t="s">
        <v>662</v>
      </c>
    </row>
    <row r="508" spans="8:12" x14ac:dyDescent="0.25">
      <c r="H508" t="s">
        <v>1055</v>
      </c>
      <c r="I508" t="s">
        <v>1056</v>
      </c>
      <c r="J508" t="s">
        <v>3</v>
      </c>
      <c r="K508">
        <v>1</v>
      </c>
      <c r="L508" t="s">
        <v>662</v>
      </c>
    </row>
    <row r="509" spans="8:12" x14ac:dyDescent="0.25">
      <c r="H509" t="s">
        <v>1057</v>
      </c>
      <c r="I509" t="s">
        <v>1058</v>
      </c>
      <c r="J509" t="s">
        <v>3</v>
      </c>
      <c r="K509">
        <v>1</v>
      </c>
      <c r="L509" t="s">
        <v>662</v>
      </c>
    </row>
    <row r="510" spans="8:12" x14ac:dyDescent="0.25">
      <c r="H510" t="s">
        <v>1059</v>
      </c>
      <c r="I510" t="s">
        <v>1060</v>
      </c>
      <c r="J510" t="s">
        <v>3</v>
      </c>
      <c r="K510">
        <v>1</v>
      </c>
      <c r="L510" t="s">
        <v>662</v>
      </c>
    </row>
    <row r="511" spans="8:12" x14ac:dyDescent="0.25">
      <c r="H511" t="s">
        <v>1061</v>
      </c>
      <c r="I511" t="s">
        <v>1062</v>
      </c>
      <c r="J511" t="s">
        <v>3</v>
      </c>
      <c r="K511">
        <v>1</v>
      </c>
      <c r="L511" t="s">
        <v>662</v>
      </c>
    </row>
    <row r="512" spans="8:12" x14ac:dyDescent="0.25">
      <c r="H512" t="s">
        <v>1063</v>
      </c>
      <c r="I512" t="s">
        <v>1064</v>
      </c>
      <c r="J512" t="s">
        <v>3</v>
      </c>
      <c r="K512">
        <v>1</v>
      </c>
      <c r="L512" t="s">
        <v>662</v>
      </c>
    </row>
    <row r="513" spans="8:12" x14ac:dyDescent="0.25">
      <c r="H513" t="s">
        <v>1065</v>
      </c>
      <c r="I513" t="s">
        <v>1066</v>
      </c>
      <c r="J513" t="s">
        <v>3</v>
      </c>
      <c r="K513">
        <v>1</v>
      </c>
      <c r="L513" t="s">
        <v>662</v>
      </c>
    </row>
    <row r="514" spans="8:12" x14ac:dyDescent="0.25">
      <c r="H514" t="s">
        <v>1067</v>
      </c>
      <c r="I514" t="s">
        <v>1068</v>
      </c>
      <c r="J514" t="s">
        <v>3</v>
      </c>
      <c r="K514">
        <v>1</v>
      </c>
      <c r="L514" t="s">
        <v>662</v>
      </c>
    </row>
    <row r="515" spans="8:12" x14ac:dyDescent="0.25">
      <c r="H515" t="s">
        <v>1069</v>
      </c>
      <c r="I515" t="s">
        <v>1070</v>
      </c>
      <c r="J515" t="s">
        <v>3</v>
      </c>
      <c r="K515">
        <v>1</v>
      </c>
      <c r="L515" t="s">
        <v>662</v>
      </c>
    </row>
    <row r="516" spans="8:12" x14ac:dyDescent="0.25">
      <c r="H516" t="s">
        <v>1071</v>
      </c>
      <c r="I516" t="s">
        <v>1072</v>
      </c>
      <c r="J516" t="s">
        <v>3</v>
      </c>
      <c r="K516">
        <v>1</v>
      </c>
      <c r="L516" t="s">
        <v>662</v>
      </c>
    </row>
    <row r="517" spans="8:12" x14ac:dyDescent="0.25">
      <c r="H517" t="s">
        <v>1073</v>
      </c>
      <c r="I517" t="s">
        <v>1074</v>
      </c>
      <c r="J517" t="s">
        <v>3</v>
      </c>
      <c r="K517">
        <v>1</v>
      </c>
      <c r="L517" t="s">
        <v>662</v>
      </c>
    </row>
    <row r="518" spans="8:12" x14ac:dyDescent="0.25">
      <c r="H518" t="s">
        <v>1075</v>
      </c>
      <c r="I518" t="s">
        <v>1076</v>
      </c>
      <c r="J518" t="s">
        <v>3</v>
      </c>
      <c r="K518">
        <v>1</v>
      </c>
      <c r="L518" t="s">
        <v>662</v>
      </c>
    </row>
    <row r="519" spans="8:12" x14ac:dyDescent="0.25">
      <c r="H519" t="s">
        <v>1077</v>
      </c>
      <c r="I519" t="s">
        <v>1078</v>
      </c>
      <c r="J519" t="s">
        <v>3</v>
      </c>
      <c r="K519">
        <v>1</v>
      </c>
      <c r="L519" t="s">
        <v>662</v>
      </c>
    </row>
    <row r="520" spans="8:12" x14ac:dyDescent="0.25">
      <c r="H520" t="s">
        <v>1079</v>
      </c>
      <c r="I520" t="s">
        <v>1080</v>
      </c>
      <c r="J520" t="s">
        <v>3</v>
      </c>
      <c r="K520">
        <v>1</v>
      </c>
      <c r="L520" t="s">
        <v>662</v>
      </c>
    </row>
    <row r="521" spans="8:12" x14ac:dyDescent="0.25">
      <c r="H521" t="s">
        <v>1081</v>
      </c>
      <c r="I521" t="s">
        <v>1082</v>
      </c>
      <c r="J521" t="s">
        <v>3</v>
      </c>
      <c r="K521">
        <v>1</v>
      </c>
      <c r="L521" t="s">
        <v>662</v>
      </c>
    </row>
    <row r="522" spans="8:12" x14ac:dyDescent="0.25">
      <c r="H522" t="s">
        <v>1083</v>
      </c>
      <c r="I522" t="s">
        <v>1084</v>
      </c>
      <c r="J522" t="s">
        <v>3</v>
      </c>
      <c r="K522">
        <v>1</v>
      </c>
      <c r="L522" t="s">
        <v>662</v>
      </c>
    </row>
    <row r="523" spans="8:12" x14ac:dyDescent="0.25">
      <c r="H523" t="s">
        <v>1085</v>
      </c>
      <c r="I523" t="s">
        <v>1086</v>
      </c>
      <c r="J523" t="s">
        <v>3</v>
      </c>
      <c r="K523">
        <v>1</v>
      </c>
      <c r="L523" t="s">
        <v>662</v>
      </c>
    </row>
    <row r="524" spans="8:12" x14ac:dyDescent="0.25">
      <c r="H524" t="s">
        <v>1087</v>
      </c>
      <c r="I524" t="s">
        <v>1088</v>
      </c>
      <c r="J524" t="s">
        <v>3</v>
      </c>
      <c r="K524">
        <v>1</v>
      </c>
      <c r="L524" t="s">
        <v>662</v>
      </c>
    </row>
    <row r="525" spans="8:12" x14ac:dyDescent="0.25">
      <c r="H525" t="s">
        <v>1089</v>
      </c>
      <c r="I525" t="s">
        <v>1090</v>
      </c>
      <c r="J525" t="s">
        <v>3</v>
      </c>
      <c r="K525">
        <v>1</v>
      </c>
      <c r="L525" t="s">
        <v>662</v>
      </c>
    </row>
    <row r="526" spans="8:12" x14ac:dyDescent="0.25">
      <c r="H526" t="s">
        <v>1091</v>
      </c>
      <c r="I526" t="s">
        <v>1092</v>
      </c>
      <c r="J526" t="s">
        <v>3</v>
      </c>
      <c r="K526">
        <v>1</v>
      </c>
      <c r="L526" t="s">
        <v>662</v>
      </c>
    </row>
    <row r="527" spans="8:12" x14ac:dyDescent="0.25">
      <c r="H527" t="s">
        <v>1093</v>
      </c>
      <c r="I527" t="s">
        <v>1094</v>
      </c>
      <c r="J527" t="s">
        <v>3</v>
      </c>
      <c r="K527">
        <v>1</v>
      </c>
      <c r="L527" t="s">
        <v>662</v>
      </c>
    </row>
    <row r="528" spans="8:12" x14ac:dyDescent="0.25">
      <c r="H528" t="s">
        <v>1095</v>
      </c>
      <c r="I528" t="s">
        <v>1096</v>
      </c>
      <c r="J528" t="s">
        <v>3</v>
      </c>
      <c r="K528">
        <v>1</v>
      </c>
      <c r="L528" t="s">
        <v>662</v>
      </c>
    </row>
    <row r="529" spans="8:12" x14ac:dyDescent="0.25">
      <c r="H529" t="s">
        <v>1097</v>
      </c>
      <c r="I529" t="s">
        <v>1098</v>
      </c>
      <c r="J529" t="s">
        <v>3</v>
      </c>
      <c r="K529">
        <v>1</v>
      </c>
      <c r="L529" t="s">
        <v>662</v>
      </c>
    </row>
    <row r="530" spans="8:12" x14ac:dyDescent="0.25">
      <c r="H530" t="s">
        <v>1099</v>
      </c>
      <c r="I530" t="s">
        <v>1100</v>
      </c>
      <c r="J530" t="s">
        <v>3</v>
      </c>
      <c r="K530">
        <v>1</v>
      </c>
      <c r="L530" t="s">
        <v>662</v>
      </c>
    </row>
    <row r="531" spans="8:12" x14ac:dyDescent="0.25">
      <c r="H531" t="s">
        <v>1101</v>
      </c>
      <c r="I531" t="s">
        <v>1102</v>
      </c>
      <c r="J531" t="s">
        <v>3</v>
      </c>
      <c r="K531">
        <v>1</v>
      </c>
      <c r="L531" t="s">
        <v>662</v>
      </c>
    </row>
    <row r="532" spans="8:12" x14ac:dyDescent="0.25">
      <c r="H532" t="s">
        <v>1103</v>
      </c>
      <c r="I532" t="s">
        <v>1104</v>
      </c>
      <c r="J532" t="s">
        <v>3</v>
      </c>
      <c r="K532">
        <v>1</v>
      </c>
      <c r="L532" t="s">
        <v>662</v>
      </c>
    </row>
    <row r="533" spans="8:12" x14ac:dyDescent="0.25">
      <c r="H533" t="s">
        <v>1105</v>
      </c>
      <c r="I533" t="s">
        <v>1106</v>
      </c>
      <c r="J533" t="s">
        <v>3</v>
      </c>
      <c r="K533">
        <v>1</v>
      </c>
      <c r="L533" t="s">
        <v>662</v>
      </c>
    </row>
    <row r="534" spans="8:12" x14ac:dyDescent="0.25">
      <c r="H534" t="s">
        <v>1107</v>
      </c>
      <c r="I534" t="s">
        <v>1108</v>
      </c>
      <c r="J534" t="s">
        <v>3</v>
      </c>
      <c r="K534">
        <v>1</v>
      </c>
      <c r="L534" t="s">
        <v>662</v>
      </c>
    </row>
    <row r="535" spans="8:12" x14ac:dyDescent="0.25">
      <c r="H535" t="s">
        <v>1109</v>
      </c>
      <c r="I535" t="s">
        <v>1110</v>
      </c>
      <c r="J535" t="s">
        <v>3</v>
      </c>
      <c r="K535">
        <v>1</v>
      </c>
      <c r="L535" t="s">
        <v>662</v>
      </c>
    </row>
    <row r="536" spans="8:12" x14ac:dyDescent="0.25">
      <c r="H536" t="s">
        <v>1111</v>
      </c>
      <c r="I536" t="s">
        <v>1112</v>
      </c>
      <c r="J536" t="s">
        <v>3</v>
      </c>
      <c r="K536">
        <v>1</v>
      </c>
      <c r="L536" t="s">
        <v>662</v>
      </c>
    </row>
    <row r="537" spans="8:12" x14ac:dyDescent="0.25">
      <c r="H537" t="s">
        <v>1113</v>
      </c>
      <c r="I537" t="s">
        <v>1114</v>
      </c>
      <c r="J537" t="s">
        <v>3</v>
      </c>
      <c r="K537">
        <v>1</v>
      </c>
      <c r="L537" t="s">
        <v>662</v>
      </c>
    </row>
    <row r="538" spans="8:12" x14ac:dyDescent="0.25">
      <c r="H538" t="s">
        <v>1115</v>
      </c>
      <c r="I538" t="s">
        <v>1116</v>
      </c>
      <c r="J538" t="s">
        <v>3</v>
      </c>
      <c r="K538">
        <v>1</v>
      </c>
      <c r="L538" t="s">
        <v>662</v>
      </c>
    </row>
    <row r="539" spans="8:12" x14ac:dyDescent="0.25">
      <c r="H539" t="s">
        <v>1117</v>
      </c>
      <c r="I539" t="s">
        <v>1118</v>
      </c>
      <c r="J539" t="s">
        <v>3</v>
      </c>
      <c r="K539">
        <v>1</v>
      </c>
      <c r="L539" t="s">
        <v>662</v>
      </c>
    </row>
    <row r="540" spans="8:12" x14ac:dyDescent="0.25">
      <c r="H540" t="s">
        <v>1119</v>
      </c>
      <c r="I540" t="s">
        <v>1120</v>
      </c>
      <c r="J540" t="s">
        <v>3</v>
      </c>
      <c r="K540">
        <v>1</v>
      </c>
      <c r="L540" t="s">
        <v>662</v>
      </c>
    </row>
    <row r="541" spans="8:12" x14ac:dyDescent="0.25">
      <c r="H541" t="s">
        <v>1121</v>
      </c>
      <c r="I541" t="s">
        <v>1122</v>
      </c>
      <c r="J541" t="s">
        <v>3</v>
      </c>
      <c r="K541">
        <v>1</v>
      </c>
      <c r="L541" t="s">
        <v>662</v>
      </c>
    </row>
    <row r="542" spans="8:12" x14ac:dyDescent="0.25">
      <c r="H542" t="s">
        <v>1123</v>
      </c>
      <c r="I542" t="s">
        <v>1124</v>
      </c>
      <c r="J542" t="s">
        <v>3</v>
      </c>
      <c r="K542">
        <v>1</v>
      </c>
      <c r="L542" t="s">
        <v>662</v>
      </c>
    </row>
    <row r="543" spans="8:12" x14ac:dyDescent="0.25">
      <c r="H543" t="s">
        <v>1125</v>
      </c>
      <c r="I543" t="s">
        <v>1126</v>
      </c>
      <c r="J543" t="s">
        <v>3</v>
      </c>
      <c r="K543">
        <v>1</v>
      </c>
      <c r="L543" t="s">
        <v>662</v>
      </c>
    </row>
    <row r="544" spans="8:12" x14ac:dyDescent="0.25">
      <c r="H544" t="s">
        <v>1127</v>
      </c>
      <c r="I544" t="s">
        <v>1128</v>
      </c>
      <c r="J544" t="s">
        <v>3</v>
      </c>
      <c r="K544">
        <v>1</v>
      </c>
      <c r="L544" t="s">
        <v>662</v>
      </c>
    </row>
    <row r="545" spans="8:12" x14ac:dyDescent="0.25">
      <c r="H545" t="s">
        <v>1129</v>
      </c>
      <c r="I545" t="s">
        <v>1130</v>
      </c>
      <c r="J545" t="s">
        <v>3</v>
      </c>
      <c r="K545">
        <v>1</v>
      </c>
      <c r="L545" t="s">
        <v>662</v>
      </c>
    </row>
    <row r="546" spans="8:12" x14ac:dyDescent="0.25">
      <c r="H546" t="s">
        <v>1131</v>
      </c>
      <c r="I546" t="s">
        <v>1132</v>
      </c>
      <c r="J546" t="s">
        <v>3</v>
      </c>
      <c r="K546">
        <v>1</v>
      </c>
      <c r="L546" t="s">
        <v>662</v>
      </c>
    </row>
    <row r="547" spans="8:12" x14ac:dyDescent="0.25">
      <c r="H547" t="s">
        <v>1133</v>
      </c>
      <c r="I547" t="s">
        <v>1134</v>
      </c>
      <c r="J547" t="s">
        <v>3</v>
      </c>
      <c r="K547">
        <v>1</v>
      </c>
      <c r="L547" t="s">
        <v>662</v>
      </c>
    </row>
    <row r="548" spans="8:12" x14ac:dyDescent="0.25">
      <c r="H548" t="s">
        <v>1135</v>
      </c>
      <c r="I548" t="s">
        <v>1136</v>
      </c>
      <c r="J548" t="s">
        <v>3</v>
      </c>
      <c r="K548">
        <v>1</v>
      </c>
      <c r="L548" t="s">
        <v>662</v>
      </c>
    </row>
    <row r="549" spans="8:12" x14ac:dyDescent="0.25">
      <c r="H549" t="s">
        <v>1137</v>
      </c>
      <c r="I549" t="s">
        <v>1138</v>
      </c>
      <c r="J549" t="s">
        <v>3</v>
      </c>
      <c r="K549">
        <v>1</v>
      </c>
      <c r="L549" t="s">
        <v>662</v>
      </c>
    </row>
    <row r="550" spans="8:12" x14ac:dyDescent="0.25">
      <c r="H550" t="s">
        <v>1139</v>
      </c>
      <c r="I550" t="s">
        <v>1140</v>
      </c>
      <c r="J550" t="s">
        <v>3</v>
      </c>
      <c r="K550">
        <v>1</v>
      </c>
      <c r="L550" t="s">
        <v>662</v>
      </c>
    </row>
    <row r="551" spans="8:12" x14ac:dyDescent="0.25">
      <c r="H551" t="s">
        <v>1141</v>
      </c>
      <c r="I551" t="s">
        <v>1142</v>
      </c>
      <c r="J551" t="s">
        <v>3</v>
      </c>
      <c r="K551">
        <v>1</v>
      </c>
      <c r="L551" t="s">
        <v>662</v>
      </c>
    </row>
    <row r="552" spans="8:12" x14ac:dyDescent="0.25">
      <c r="H552" t="s">
        <v>1143</v>
      </c>
      <c r="I552" t="s">
        <v>1144</v>
      </c>
      <c r="J552" t="s">
        <v>3</v>
      </c>
      <c r="K552">
        <v>1</v>
      </c>
      <c r="L552" t="s">
        <v>662</v>
      </c>
    </row>
    <row r="553" spans="8:12" x14ac:dyDescent="0.25">
      <c r="H553" t="s">
        <v>1145</v>
      </c>
      <c r="I553" t="s">
        <v>1146</v>
      </c>
      <c r="J553" t="s">
        <v>3</v>
      </c>
      <c r="K553">
        <v>1</v>
      </c>
      <c r="L553" t="s">
        <v>662</v>
      </c>
    </row>
    <row r="554" spans="8:12" x14ac:dyDescent="0.25">
      <c r="H554" t="s">
        <v>1147</v>
      </c>
      <c r="I554" t="s">
        <v>1148</v>
      </c>
      <c r="J554" t="s">
        <v>3</v>
      </c>
      <c r="K554">
        <v>1</v>
      </c>
      <c r="L554" t="s">
        <v>662</v>
      </c>
    </row>
    <row r="555" spans="8:12" x14ac:dyDescent="0.25">
      <c r="H555" t="s">
        <v>1149</v>
      </c>
      <c r="I555" t="s">
        <v>1150</v>
      </c>
      <c r="J555" t="s">
        <v>3</v>
      </c>
      <c r="K555">
        <v>1</v>
      </c>
      <c r="L555" t="s">
        <v>662</v>
      </c>
    </row>
    <row r="556" spans="8:12" x14ac:dyDescent="0.25">
      <c r="H556" t="s">
        <v>1151</v>
      </c>
      <c r="I556" t="s">
        <v>1152</v>
      </c>
      <c r="J556" t="s">
        <v>3</v>
      </c>
      <c r="K556">
        <v>1</v>
      </c>
      <c r="L556" t="s">
        <v>662</v>
      </c>
    </row>
    <row r="557" spans="8:12" x14ac:dyDescent="0.25">
      <c r="H557" t="s">
        <v>1153</v>
      </c>
      <c r="I557" t="s">
        <v>1154</v>
      </c>
      <c r="J557" t="s">
        <v>3</v>
      </c>
      <c r="K557">
        <v>1</v>
      </c>
      <c r="L557" t="s">
        <v>662</v>
      </c>
    </row>
    <row r="558" spans="8:12" x14ac:dyDescent="0.25">
      <c r="H558" t="s">
        <v>1155</v>
      </c>
      <c r="I558" t="s">
        <v>1156</v>
      </c>
      <c r="J558" t="s">
        <v>3</v>
      </c>
      <c r="K558">
        <v>1</v>
      </c>
      <c r="L558" t="s">
        <v>662</v>
      </c>
    </row>
    <row r="559" spans="8:12" x14ac:dyDescent="0.25">
      <c r="H559" t="s">
        <v>1157</v>
      </c>
      <c r="I559" t="s">
        <v>1158</v>
      </c>
      <c r="J559" t="s">
        <v>3</v>
      </c>
      <c r="K559">
        <v>1</v>
      </c>
      <c r="L559" t="s">
        <v>662</v>
      </c>
    </row>
    <row r="560" spans="8:12" x14ac:dyDescent="0.25">
      <c r="H560" t="s">
        <v>1159</v>
      </c>
      <c r="I560" t="s">
        <v>1160</v>
      </c>
      <c r="J560" t="s">
        <v>3</v>
      </c>
      <c r="K560">
        <v>1</v>
      </c>
      <c r="L560" t="s">
        <v>662</v>
      </c>
    </row>
    <row r="561" spans="8:12" x14ac:dyDescent="0.25">
      <c r="H561" t="s">
        <v>1161</v>
      </c>
      <c r="I561" t="s">
        <v>1162</v>
      </c>
      <c r="J561" t="s">
        <v>3</v>
      </c>
      <c r="K561">
        <v>1</v>
      </c>
      <c r="L561" t="s">
        <v>662</v>
      </c>
    </row>
    <row r="562" spans="8:12" x14ac:dyDescent="0.25">
      <c r="H562" t="s">
        <v>1163</v>
      </c>
      <c r="I562" t="s">
        <v>1164</v>
      </c>
      <c r="J562" t="s">
        <v>3</v>
      </c>
      <c r="K562">
        <v>1</v>
      </c>
      <c r="L562" t="s">
        <v>662</v>
      </c>
    </row>
    <row r="563" spans="8:12" x14ac:dyDescent="0.25">
      <c r="H563" t="s">
        <v>1165</v>
      </c>
      <c r="I563" t="s">
        <v>1166</v>
      </c>
      <c r="J563" t="s">
        <v>3</v>
      </c>
      <c r="K563">
        <v>1</v>
      </c>
      <c r="L563" t="s">
        <v>662</v>
      </c>
    </row>
    <row r="564" spans="8:12" x14ac:dyDescent="0.25">
      <c r="H564" t="s">
        <v>1167</v>
      </c>
      <c r="I564" t="s">
        <v>1168</v>
      </c>
      <c r="J564" t="s">
        <v>3</v>
      </c>
      <c r="K564">
        <v>1</v>
      </c>
      <c r="L564" t="s">
        <v>662</v>
      </c>
    </row>
    <row r="565" spans="8:12" x14ac:dyDescent="0.25">
      <c r="H565" t="s">
        <v>1169</v>
      </c>
      <c r="I565" t="s">
        <v>1170</v>
      </c>
      <c r="J565" t="s">
        <v>3</v>
      </c>
      <c r="K565">
        <v>1</v>
      </c>
      <c r="L565" t="s">
        <v>662</v>
      </c>
    </row>
    <row r="566" spans="8:12" x14ac:dyDescent="0.25">
      <c r="H566" t="s">
        <v>1171</v>
      </c>
      <c r="I566" t="s">
        <v>1172</v>
      </c>
      <c r="J566" t="s">
        <v>3</v>
      </c>
      <c r="K566">
        <v>1</v>
      </c>
      <c r="L566" t="s">
        <v>662</v>
      </c>
    </row>
    <row r="567" spans="8:12" x14ac:dyDescent="0.25">
      <c r="H567" t="s">
        <v>1173</v>
      </c>
      <c r="I567" t="s">
        <v>1174</v>
      </c>
      <c r="J567" t="s">
        <v>3</v>
      </c>
      <c r="K567">
        <v>1</v>
      </c>
      <c r="L567" t="s">
        <v>662</v>
      </c>
    </row>
    <row r="568" spans="8:12" x14ac:dyDescent="0.25">
      <c r="H568" t="s">
        <v>1175</v>
      </c>
      <c r="I568" t="s">
        <v>1176</v>
      </c>
      <c r="J568" t="s">
        <v>3</v>
      </c>
      <c r="K568">
        <v>1</v>
      </c>
      <c r="L568" t="s">
        <v>662</v>
      </c>
    </row>
    <row r="569" spans="8:12" x14ac:dyDescent="0.25">
      <c r="H569" t="s">
        <v>1177</v>
      </c>
      <c r="I569" t="s">
        <v>1178</v>
      </c>
      <c r="J569" t="s">
        <v>3</v>
      </c>
      <c r="K569">
        <v>1</v>
      </c>
      <c r="L569" t="s">
        <v>662</v>
      </c>
    </row>
    <row r="570" spans="8:12" x14ac:dyDescent="0.25">
      <c r="H570" t="s">
        <v>1179</v>
      </c>
      <c r="I570" t="s">
        <v>1180</v>
      </c>
      <c r="J570" t="s">
        <v>3</v>
      </c>
      <c r="K570">
        <v>1</v>
      </c>
      <c r="L570" t="s">
        <v>662</v>
      </c>
    </row>
    <row r="571" spans="8:12" x14ac:dyDescent="0.25">
      <c r="H571" t="s">
        <v>1181</v>
      </c>
      <c r="I571" t="s">
        <v>1182</v>
      </c>
      <c r="J571" t="s">
        <v>3</v>
      </c>
      <c r="K571">
        <v>1</v>
      </c>
      <c r="L571" t="s">
        <v>662</v>
      </c>
    </row>
    <row r="572" spans="8:12" x14ac:dyDescent="0.25">
      <c r="H572" t="s">
        <v>1183</v>
      </c>
      <c r="I572" t="s">
        <v>1184</v>
      </c>
      <c r="J572" t="s">
        <v>3</v>
      </c>
      <c r="K572">
        <v>1</v>
      </c>
      <c r="L572" t="s">
        <v>662</v>
      </c>
    </row>
    <row r="573" spans="8:12" x14ac:dyDescent="0.25">
      <c r="H573" t="s">
        <v>1185</v>
      </c>
      <c r="I573" t="s">
        <v>1186</v>
      </c>
      <c r="J573" t="s">
        <v>3</v>
      </c>
      <c r="K573">
        <v>1</v>
      </c>
      <c r="L573" t="s">
        <v>662</v>
      </c>
    </row>
    <row r="574" spans="8:12" x14ac:dyDescent="0.25">
      <c r="H574" t="s">
        <v>1187</v>
      </c>
      <c r="I574" t="s">
        <v>1188</v>
      </c>
      <c r="J574" t="s">
        <v>3</v>
      </c>
      <c r="K574">
        <v>1</v>
      </c>
      <c r="L574" t="s">
        <v>662</v>
      </c>
    </row>
    <row r="575" spans="8:12" x14ac:dyDescent="0.25">
      <c r="H575" t="s">
        <v>1189</v>
      </c>
      <c r="I575" t="s">
        <v>1190</v>
      </c>
      <c r="J575" t="s">
        <v>3</v>
      </c>
      <c r="K575">
        <v>1</v>
      </c>
      <c r="L575" t="s">
        <v>662</v>
      </c>
    </row>
    <row r="576" spans="8:12" x14ac:dyDescent="0.25">
      <c r="H576" t="s">
        <v>1191</v>
      </c>
      <c r="I576" t="s">
        <v>1192</v>
      </c>
      <c r="J576" t="s">
        <v>3</v>
      </c>
      <c r="K576">
        <v>1</v>
      </c>
      <c r="L576" t="s">
        <v>662</v>
      </c>
    </row>
    <row r="577" spans="8:12" x14ac:dyDescent="0.25">
      <c r="H577" t="s">
        <v>1193</v>
      </c>
      <c r="I577" t="s">
        <v>1194</v>
      </c>
      <c r="J577" t="s">
        <v>3</v>
      </c>
      <c r="K577">
        <v>1</v>
      </c>
      <c r="L577" t="s">
        <v>662</v>
      </c>
    </row>
    <row r="578" spans="8:12" x14ac:dyDescent="0.25">
      <c r="H578" t="s">
        <v>1195</v>
      </c>
      <c r="I578" t="s">
        <v>1196</v>
      </c>
      <c r="J578" t="s">
        <v>3</v>
      </c>
      <c r="K578">
        <v>1</v>
      </c>
      <c r="L578" t="s">
        <v>662</v>
      </c>
    </row>
    <row r="579" spans="8:12" x14ac:dyDescent="0.25">
      <c r="H579" t="s">
        <v>1197</v>
      </c>
      <c r="I579" t="s">
        <v>1198</v>
      </c>
      <c r="J579" t="s">
        <v>3</v>
      </c>
      <c r="K579">
        <v>1</v>
      </c>
      <c r="L579" t="s">
        <v>662</v>
      </c>
    </row>
    <row r="580" spans="8:12" x14ac:dyDescent="0.25">
      <c r="H580" t="s">
        <v>1199</v>
      </c>
      <c r="I580" t="s">
        <v>1200</v>
      </c>
      <c r="J580" t="s">
        <v>3</v>
      </c>
      <c r="K580">
        <v>1</v>
      </c>
      <c r="L580" t="s">
        <v>662</v>
      </c>
    </row>
    <row r="581" spans="8:12" x14ac:dyDescent="0.25">
      <c r="H581" t="s">
        <v>1201</v>
      </c>
      <c r="I581" t="s">
        <v>1202</v>
      </c>
      <c r="J581" t="s">
        <v>3</v>
      </c>
      <c r="K581">
        <v>1</v>
      </c>
      <c r="L581" t="s">
        <v>662</v>
      </c>
    </row>
    <row r="582" spans="8:12" x14ac:dyDescent="0.25">
      <c r="H582" t="s">
        <v>1203</v>
      </c>
      <c r="I582" t="s">
        <v>1204</v>
      </c>
      <c r="J582" t="s">
        <v>3</v>
      </c>
      <c r="K582">
        <v>1</v>
      </c>
      <c r="L582" t="s">
        <v>662</v>
      </c>
    </row>
    <row r="583" spans="8:12" x14ac:dyDescent="0.25">
      <c r="H583" t="s">
        <v>1205</v>
      </c>
      <c r="I583" t="s">
        <v>1206</v>
      </c>
      <c r="J583" t="s">
        <v>3</v>
      </c>
      <c r="K583">
        <v>1</v>
      </c>
      <c r="L583" t="s">
        <v>662</v>
      </c>
    </row>
    <row r="584" spans="8:12" x14ac:dyDescent="0.25">
      <c r="H584" t="s">
        <v>1207</v>
      </c>
      <c r="I584" t="s">
        <v>1208</v>
      </c>
      <c r="J584" t="s">
        <v>3</v>
      </c>
      <c r="K584">
        <v>1</v>
      </c>
      <c r="L584" t="s">
        <v>662</v>
      </c>
    </row>
    <row r="585" spans="8:12" x14ac:dyDescent="0.25">
      <c r="H585" t="s">
        <v>1209</v>
      </c>
      <c r="I585" t="s">
        <v>1210</v>
      </c>
      <c r="J585" t="s">
        <v>3</v>
      </c>
      <c r="K585">
        <v>1</v>
      </c>
      <c r="L585" t="s">
        <v>662</v>
      </c>
    </row>
    <row r="586" spans="8:12" x14ac:dyDescent="0.25">
      <c r="H586" t="s">
        <v>1211</v>
      </c>
      <c r="I586" t="s">
        <v>1212</v>
      </c>
      <c r="J586" t="s">
        <v>3</v>
      </c>
      <c r="K586">
        <v>1</v>
      </c>
      <c r="L586" t="s">
        <v>662</v>
      </c>
    </row>
    <row r="587" spans="8:12" x14ac:dyDescent="0.25">
      <c r="H587" t="s">
        <v>1213</v>
      </c>
      <c r="I587" t="s">
        <v>1214</v>
      </c>
      <c r="J587" t="s">
        <v>3</v>
      </c>
      <c r="K587">
        <v>1</v>
      </c>
      <c r="L587" t="s">
        <v>662</v>
      </c>
    </row>
    <row r="588" spans="8:12" x14ac:dyDescent="0.25">
      <c r="H588" t="s">
        <v>1215</v>
      </c>
      <c r="I588" t="s">
        <v>1216</v>
      </c>
      <c r="J588" t="s">
        <v>3</v>
      </c>
      <c r="K588">
        <v>1</v>
      </c>
      <c r="L588" t="s">
        <v>662</v>
      </c>
    </row>
    <row r="589" spans="8:12" x14ac:dyDescent="0.25">
      <c r="H589" t="s">
        <v>1217</v>
      </c>
      <c r="I589" t="s">
        <v>1218</v>
      </c>
      <c r="J589" t="s">
        <v>3</v>
      </c>
      <c r="K589">
        <v>1</v>
      </c>
      <c r="L589" t="s">
        <v>662</v>
      </c>
    </row>
    <row r="590" spans="8:12" x14ac:dyDescent="0.25">
      <c r="H590" t="s">
        <v>1219</v>
      </c>
      <c r="I590" t="s">
        <v>1220</v>
      </c>
      <c r="J590" t="s">
        <v>3</v>
      </c>
      <c r="K590">
        <v>1</v>
      </c>
      <c r="L590" t="s">
        <v>662</v>
      </c>
    </row>
    <row r="591" spans="8:12" x14ac:dyDescent="0.25">
      <c r="H591" t="s">
        <v>1221</v>
      </c>
      <c r="I591" t="s">
        <v>1222</v>
      </c>
      <c r="J591" t="s">
        <v>3</v>
      </c>
      <c r="K591">
        <v>1</v>
      </c>
      <c r="L591" t="s">
        <v>662</v>
      </c>
    </row>
    <row r="592" spans="8:12" x14ac:dyDescent="0.25">
      <c r="H592" t="s">
        <v>1223</v>
      </c>
      <c r="I592" t="s">
        <v>1224</v>
      </c>
      <c r="J592" t="s">
        <v>3</v>
      </c>
      <c r="K592">
        <v>1</v>
      </c>
      <c r="L592" t="s">
        <v>662</v>
      </c>
    </row>
    <row r="593" spans="8:12" x14ac:dyDescent="0.25">
      <c r="H593" t="s">
        <v>1225</v>
      </c>
      <c r="I593" t="s">
        <v>1226</v>
      </c>
      <c r="J593" t="s">
        <v>3</v>
      </c>
      <c r="K593">
        <v>1</v>
      </c>
      <c r="L593" t="s">
        <v>662</v>
      </c>
    </row>
    <row r="594" spans="8:12" x14ac:dyDescent="0.25">
      <c r="H594" t="s">
        <v>1227</v>
      </c>
      <c r="I594" t="s">
        <v>1228</v>
      </c>
      <c r="J594" t="s">
        <v>3</v>
      </c>
      <c r="K594">
        <v>1</v>
      </c>
      <c r="L594" t="s">
        <v>662</v>
      </c>
    </row>
    <row r="595" spans="8:12" x14ac:dyDescent="0.25">
      <c r="H595" t="s">
        <v>1229</v>
      </c>
      <c r="I595" t="s">
        <v>1230</v>
      </c>
      <c r="J595" t="s">
        <v>3</v>
      </c>
      <c r="K595">
        <v>1</v>
      </c>
      <c r="L595" t="s">
        <v>662</v>
      </c>
    </row>
    <row r="596" spans="8:12" x14ac:dyDescent="0.25">
      <c r="H596" t="s">
        <v>1231</v>
      </c>
      <c r="I596" t="s">
        <v>1232</v>
      </c>
      <c r="J596" t="s">
        <v>3</v>
      </c>
      <c r="K596">
        <v>1</v>
      </c>
      <c r="L596" t="s">
        <v>662</v>
      </c>
    </row>
    <row r="597" spans="8:12" x14ac:dyDescent="0.25">
      <c r="H597" t="s">
        <v>1233</v>
      </c>
      <c r="I597" t="s">
        <v>1234</v>
      </c>
      <c r="J597" t="s">
        <v>3</v>
      </c>
      <c r="K597">
        <v>1</v>
      </c>
      <c r="L597" t="s">
        <v>662</v>
      </c>
    </row>
    <row r="598" spans="8:12" x14ac:dyDescent="0.25">
      <c r="H598" t="s">
        <v>1235</v>
      </c>
      <c r="I598" t="s">
        <v>1236</v>
      </c>
      <c r="J598" t="s">
        <v>3</v>
      </c>
      <c r="K598">
        <v>1</v>
      </c>
      <c r="L598" t="s">
        <v>662</v>
      </c>
    </row>
    <row r="599" spans="8:12" x14ac:dyDescent="0.25">
      <c r="H599" t="s">
        <v>1237</v>
      </c>
      <c r="I599" t="s">
        <v>1238</v>
      </c>
      <c r="J599" t="s">
        <v>3</v>
      </c>
      <c r="K599">
        <v>1</v>
      </c>
      <c r="L599" t="s">
        <v>662</v>
      </c>
    </row>
    <row r="600" spans="8:12" x14ac:dyDescent="0.25">
      <c r="H600" t="s">
        <v>1239</v>
      </c>
      <c r="I600" t="s">
        <v>1240</v>
      </c>
      <c r="J600" t="s">
        <v>3</v>
      </c>
      <c r="K600">
        <v>1</v>
      </c>
      <c r="L600" t="s">
        <v>662</v>
      </c>
    </row>
    <row r="601" spans="8:12" x14ac:dyDescent="0.25">
      <c r="H601" t="s">
        <v>1241</v>
      </c>
      <c r="I601" t="s">
        <v>1242</v>
      </c>
      <c r="J601" t="s">
        <v>3</v>
      </c>
      <c r="K601">
        <v>1</v>
      </c>
      <c r="L601" t="s">
        <v>662</v>
      </c>
    </row>
    <row r="602" spans="8:12" x14ac:dyDescent="0.25">
      <c r="H602" t="s">
        <v>1243</v>
      </c>
      <c r="I602" t="s">
        <v>1244</v>
      </c>
      <c r="J602" t="s">
        <v>3</v>
      </c>
      <c r="K602">
        <v>1</v>
      </c>
      <c r="L602" t="s">
        <v>662</v>
      </c>
    </row>
    <row r="603" spans="8:12" x14ac:dyDescent="0.25">
      <c r="H603" t="s">
        <v>1245</v>
      </c>
      <c r="I603" t="s">
        <v>1246</v>
      </c>
      <c r="J603" t="s">
        <v>3</v>
      </c>
      <c r="K603">
        <v>1</v>
      </c>
      <c r="L603" t="s">
        <v>662</v>
      </c>
    </row>
    <row r="604" spans="8:12" x14ac:dyDescent="0.25">
      <c r="H604" t="s">
        <v>1247</v>
      </c>
      <c r="I604" t="s">
        <v>1248</v>
      </c>
      <c r="J604" t="s">
        <v>3</v>
      </c>
      <c r="K604">
        <v>1</v>
      </c>
      <c r="L604" t="s">
        <v>662</v>
      </c>
    </row>
    <row r="605" spans="8:12" x14ac:dyDescent="0.25">
      <c r="H605" t="s">
        <v>1249</v>
      </c>
      <c r="I605" t="s">
        <v>1250</v>
      </c>
      <c r="J605" t="s">
        <v>3</v>
      </c>
      <c r="K605">
        <v>1</v>
      </c>
      <c r="L605" t="s">
        <v>662</v>
      </c>
    </row>
    <row r="606" spans="8:12" x14ac:dyDescent="0.25">
      <c r="H606" t="s">
        <v>1251</v>
      </c>
      <c r="I606" t="s">
        <v>1252</v>
      </c>
      <c r="J606" t="s">
        <v>3</v>
      </c>
      <c r="K606">
        <v>1</v>
      </c>
      <c r="L606" t="s">
        <v>662</v>
      </c>
    </row>
    <row r="607" spans="8:12" x14ac:dyDescent="0.25">
      <c r="H607" t="s">
        <v>1253</v>
      </c>
      <c r="I607" t="s">
        <v>1254</v>
      </c>
      <c r="J607" t="s">
        <v>3</v>
      </c>
      <c r="K607">
        <v>1</v>
      </c>
      <c r="L607" t="s">
        <v>662</v>
      </c>
    </row>
    <row r="608" spans="8:12" x14ac:dyDescent="0.25">
      <c r="H608" t="s">
        <v>1255</v>
      </c>
      <c r="I608" t="s">
        <v>1256</v>
      </c>
      <c r="J608" t="s">
        <v>3</v>
      </c>
      <c r="K608">
        <v>1</v>
      </c>
      <c r="L608" t="s">
        <v>662</v>
      </c>
    </row>
    <row r="609" spans="8:12" x14ac:dyDescent="0.25">
      <c r="H609" t="s">
        <v>1257</v>
      </c>
      <c r="I609" t="s">
        <v>1258</v>
      </c>
      <c r="J609" t="s">
        <v>3</v>
      </c>
      <c r="K609">
        <v>1</v>
      </c>
      <c r="L609" t="s">
        <v>662</v>
      </c>
    </row>
    <row r="610" spans="8:12" x14ac:dyDescent="0.25">
      <c r="H610" t="s">
        <v>1259</v>
      </c>
      <c r="I610" t="s">
        <v>1260</v>
      </c>
      <c r="J610" t="s">
        <v>3</v>
      </c>
      <c r="K610">
        <v>1</v>
      </c>
      <c r="L610" t="s">
        <v>662</v>
      </c>
    </row>
    <row r="611" spans="8:12" x14ac:dyDescent="0.25">
      <c r="H611" t="s">
        <v>1261</v>
      </c>
      <c r="I611" t="s">
        <v>1262</v>
      </c>
      <c r="J611" t="s">
        <v>3</v>
      </c>
      <c r="K611">
        <v>1</v>
      </c>
      <c r="L611" t="s">
        <v>662</v>
      </c>
    </row>
    <row r="612" spans="8:12" x14ac:dyDescent="0.25">
      <c r="H612" t="s">
        <v>1263</v>
      </c>
      <c r="I612" t="s">
        <v>1264</v>
      </c>
      <c r="J612" t="s">
        <v>3</v>
      </c>
      <c r="K612">
        <v>1</v>
      </c>
      <c r="L612" t="s">
        <v>662</v>
      </c>
    </row>
    <row r="613" spans="8:12" x14ac:dyDescent="0.25">
      <c r="H613" t="s">
        <v>1265</v>
      </c>
      <c r="I613" t="s">
        <v>1266</v>
      </c>
      <c r="J613" t="s">
        <v>3</v>
      </c>
      <c r="K613">
        <v>1</v>
      </c>
      <c r="L613" t="s">
        <v>662</v>
      </c>
    </row>
    <row r="614" spans="8:12" x14ac:dyDescent="0.25">
      <c r="H614" t="s">
        <v>1267</v>
      </c>
      <c r="I614" t="s">
        <v>1268</v>
      </c>
      <c r="J614" t="s">
        <v>3</v>
      </c>
      <c r="K614">
        <v>1</v>
      </c>
      <c r="L614" t="s">
        <v>662</v>
      </c>
    </row>
    <row r="615" spans="8:12" x14ac:dyDescent="0.25">
      <c r="H615" t="s">
        <v>1269</v>
      </c>
      <c r="I615" t="s">
        <v>1270</v>
      </c>
      <c r="J615" t="s">
        <v>3</v>
      </c>
      <c r="K615">
        <v>1</v>
      </c>
      <c r="L615" t="s">
        <v>662</v>
      </c>
    </row>
    <row r="616" spans="8:12" x14ac:dyDescent="0.25">
      <c r="H616" t="s">
        <v>1271</v>
      </c>
      <c r="I616" t="s">
        <v>1272</v>
      </c>
      <c r="J616" t="s">
        <v>3</v>
      </c>
      <c r="K616">
        <v>1</v>
      </c>
      <c r="L616" t="s">
        <v>662</v>
      </c>
    </row>
    <row r="617" spans="8:12" x14ac:dyDescent="0.25">
      <c r="H617" t="s">
        <v>1273</v>
      </c>
      <c r="I617" t="s">
        <v>1274</v>
      </c>
      <c r="J617" t="s">
        <v>3</v>
      </c>
      <c r="K617">
        <v>1</v>
      </c>
      <c r="L617" t="s">
        <v>662</v>
      </c>
    </row>
    <row r="618" spans="8:12" x14ac:dyDescent="0.25">
      <c r="H618" t="s">
        <v>1275</v>
      </c>
      <c r="I618" t="s">
        <v>1276</v>
      </c>
      <c r="J618" t="s">
        <v>3</v>
      </c>
      <c r="K618">
        <v>1</v>
      </c>
      <c r="L618" t="s">
        <v>662</v>
      </c>
    </row>
    <row r="619" spans="8:12" x14ac:dyDescent="0.25">
      <c r="H619" t="s">
        <v>1277</v>
      </c>
      <c r="I619" t="s">
        <v>1278</v>
      </c>
      <c r="J619" t="s">
        <v>3</v>
      </c>
      <c r="K619">
        <v>1</v>
      </c>
      <c r="L619" t="s">
        <v>662</v>
      </c>
    </row>
    <row r="620" spans="8:12" x14ac:dyDescent="0.25">
      <c r="H620" t="s">
        <v>1279</v>
      </c>
      <c r="I620" t="s">
        <v>1280</v>
      </c>
      <c r="J620" t="s">
        <v>3</v>
      </c>
      <c r="K620">
        <v>1</v>
      </c>
      <c r="L620" t="s">
        <v>662</v>
      </c>
    </row>
    <row r="621" spans="8:12" x14ac:dyDescent="0.25">
      <c r="H621" t="s">
        <v>1281</v>
      </c>
      <c r="I621" t="s">
        <v>1282</v>
      </c>
      <c r="J621" t="s">
        <v>3</v>
      </c>
      <c r="K621">
        <v>1</v>
      </c>
      <c r="L621" t="s">
        <v>662</v>
      </c>
    </row>
    <row r="622" spans="8:12" x14ac:dyDescent="0.25">
      <c r="H622" t="s">
        <v>1283</v>
      </c>
      <c r="I622" t="s">
        <v>1284</v>
      </c>
      <c r="J622" t="s">
        <v>3</v>
      </c>
      <c r="K622">
        <v>1</v>
      </c>
      <c r="L622" t="s">
        <v>662</v>
      </c>
    </row>
    <row r="623" spans="8:12" x14ac:dyDescent="0.25">
      <c r="H623" t="s">
        <v>1285</v>
      </c>
      <c r="I623" t="s">
        <v>1286</v>
      </c>
      <c r="J623" t="s">
        <v>3</v>
      </c>
      <c r="K623">
        <v>1</v>
      </c>
      <c r="L623" t="s">
        <v>662</v>
      </c>
    </row>
    <row r="624" spans="8:12" x14ac:dyDescent="0.25">
      <c r="H624" t="s">
        <v>1287</v>
      </c>
      <c r="I624" t="s">
        <v>1288</v>
      </c>
      <c r="J624" t="s">
        <v>3</v>
      </c>
      <c r="K624">
        <v>1</v>
      </c>
      <c r="L624" t="s">
        <v>662</v>
      </c>
    </row>
    <row r="625" spans="8:12" x14ac:dyDescent="0.25">
      <c r="H625" t="s">
        <v>1289</v>
      </c>
      <c r="I625" t="s">
        <v>1290</v>
      </c>
      <c r="J625" t="s">
        <v>3</v>
      </c>
      <c r="K625">
        <v>1</v>
      </c>
      <c r="L625" t="s">
        <v>662</v>
      </c>
    </row>
    <row r="626" spans="8:12" x14ac:dyDescent="0.25">
      <c r="H626" t="s">
        <v>1291</v>
      </c>
      <c r="I626" t="s">
        <v>1292</v>
      </c>
      <c r="J626" t="s">
        <v>3</v>
      </c>
      <c r="K626">
        <v>1</v>
      </c>
      <c r="L626" t="s">
        <v>662</v>
      </c>
    </row>
    <row r="627" spans="8:12" x14ac:dyDescent="0.25">
      <c r="H627" t="s">
        <v>1293</v>
      </c>
      <c r="I627" t="s">
        <v>1294</v>
      </c>
      <c r="J627" t="s">
        <v>3</v>
      </c>
      <c r="K627">
        <v>1</v>
      </c>
      <c r="L627" t="s">
        <v>662</v>
      </c>
    </row>
    <row r="628" spans="8:12" x14ac:dyDescent="0.25">
      <c r="H628" t="s">
        <v>1295</v>
      </c>
      <c r="I628" t="s">
        <v>1296</v>
      </c>
      <c r="J628" t="s">
        <v>3</v>
      </c>
      <c r="K628">
        <v>1</v>
      </c>
      <c r="L628" t="s">
        <v>662</v>
      </c>
    </row>
    <row r="629" spans="8:12" x14ac:dyDescent="0.25">
      <c r="H629" t="s">
        <v>1297</v>
      </c>
      <c r="I629" t="s">
        <v>1298</v>
      </c>
      <c r="J629" t="s">
        <v>3</v>
      </c>
      <c r="K629">
        <v>1</v>
      </c>
      <c r="L629" t="s">
        <v>662</v>
      </c>
    </row>
    <row r="630" spans="8:12" x14ac:dyDescent="0.25">
      <c r="H630" t="s">
        <v>1299</v>
      </c>
      <c r="I630" t="s">
        <v>1300</v>
      </c>
      <c r="J630" t="s">
        <v>3</v>
      </c>
      <c r="K630">
        <v>1</v>
      </c>
      <c r="L630" t="s">
        <v>662</v>
      </c>
    </row>
    <row r="631" spans="8:12" x14ac:dyDescent="0.25">
      <c r="H631" t="s">
        <v>1301</v>
      </c>
      <c r="I631" t="s">
        <v>1302</v>
      </c>
      <c r="J631" t="s">
        <v>3</v>
      </c>
      <c r="K631">
        <v>1</v>
      </c>
      <c r="L631" t="s">
        <v>662</v>
      </c>
    </row>
    <row r="632" spans="8:12" x14ac:dyDescent="0.25">
      <c r="H632" t="s">
        <v>1303</v>
      </c>
      <c r="I632" t="s">
        <v>1304</v>
      </c>
      <c r="J632" t="s">
        <v>3</v>
      </c>
      <c r="K632">
        <v>1</v>
      </c>
      <c r="L632" t="s">
        <v>662</v>
      </c>
    </row>
    <row r="633" spans="8:12" x14ac:dyDescent="0.25">
      <c r="H633" t="s">
        <v>1305</v>
      </c>
      <c r="I633" t="s">
        <v>1306</v>
      </c>
      <c r="J633" t="s">
        <v>3</v>
      </c>
      <c r="K633">
        <v>1</v>
      </c>
      <c r="L633" t="s">
        <v>662</v>
      </c>
    </row>
    <row r="634" spans="8:12" x14ac:dyDescent="0.25">
      <c r="H634" t="s">
        <v>1307</v>
      </c>
      <c r="I634" t="s">
        <v>1308</v>
      </c>
      <c r="J634" t="s">
        <v>3</v>
      </c>
      <c r="K634">
        <v>1</v>
      </c>
      <c r="L634" t="s">
        <v>662</v>
      </c>
    </row>
    <row r="635" spans="8:12" x14ac:dyDescent="0.25">
      <c r="H635" t="s">
        <v>1309</v>
      </c>
      <c r="I635" t="s">
        <v>1310</v>
      </c>
      <c r="J635" t="s">
        <v>3</v>
      </c>
      <c r="K635">
        <v>1</v>
      </c>
      <c r="L635" t="s">
        <v>662</v>
      </c>
    </row>
    <row r="636" spans="8:12" x14ac:dyDescent="0.25">
      <c r="H636" t="s">
        <v>1311</v>
      </c>
      <c r="I636" t="s">
        <v>1312</v>
      </c>
      <c r="J636" t="s">
        <v>3</v>
      </c>
      <c r="K636">
        <v>1</v>
      </c>
      <c r="L636" t="s">
        <v>662</v>
      </c>
    </row>
    <row r="637" spans="8:12" x14ac:dyDescent="0.25">
      <c r="H637" t="s">
        <v>1313</v>
      </c>
      <c r="I637" t="s">
        <v>1314</v>
      </c>
      <c r="J637" t="s">
        <v>3</v>
      </c>
      <c r="K637">
        <v>1</v>
      </c>
      <c r="L637" t="s">
        <v>662</v>
      </c>
    </row>
    <row r="638" spans="8:12" x14ac:dyDescent="0.25">
      <c r="H638" t="s">
        <v>1315</v>
      </c>
      <c r="I638" t="s">
        <v>1316</v>
      </c>
      <c r="J638" t="s">
        <v>3</v>
      </c>
      <c r="K638">
        <v>1</v>
      </c>
      <c r="L638" t="s">
        <v>662</v>
      </c>
    </row>
    <row r="639" spans="8:12" x14ac:dyDescent="0.25">
      <c r="H639" t="s">
        <v>1317</v>
      </c>
      <c r="I639" t="s">
        <v>1318</v>
      </c>
      <c r="J639" t="s">
        <v>3</v>
      </c>
      <c r="K639">
        <v>1</v>
      </c>
      <c r="L639" t="s">
        <v>662</v>
      </c>
    </row>
    <row r="640" spans="8:12" x14ac:dyDescent="0.25">
      <c r="H640" t="s">
        <v>1319</v>
      </c>
      <c r="I640" t="s">
        <v>1320</v>
      </c>
      <c r="J640" t="s">
        <v>3</v>
      </c>
      <c r="K640">
        <v>1</v>
      </c>
      <c r="L640" t="s">
        <v>662</v>
      </c>
    </row>
    <row r="641" spans="8:12" x14ac:dyDescent="0.25">
      <c r="H641" t="s">
        <v>1321</v>
      </c>
      <c r="I641" t="s">
        <v>1322</v>
      </c>
      <c r="J641" t="s">
        <v>3</v>
      </c>
      <c r="K641">
        <v>1</v>
      </c>
      <c r="L641" t="s">
        <v>662</v>
      </c>
    </row>
    <row r="642" spans="8:12" x14ac:dyDescent="0.25">
      <c r="H642" t="s">
        <v>1323</v>
      </c>
      <c r="I642" t="s">
        <v>1324</v>
      </c>
      <c r="J642" t="s">
        <v>3</v>
      </c>
      <c r="K642">
        <v>1</v>
      </c>
      <c r="L642" t="s">
        <v>662</v>
      </c>
    </row>
    <row r="643" spans="8:12" x14ac:dyDescent="0.25">
      <c r="H643" t="s">
        <v>1325</v>
      </c>
      <c r="I643" t="s">
        <v>1326</v>
      </c>
      <c r="J643" t="s">
        <v>3</v>
      </c>
      <c r="K643">
        <v>1</v>
      </c>
      <c r="L643" t="s">
        <v>662</v>
      </c>
    </row>
    <row r="644" spans="8:12" x14ac:dyDescent="0.25">
      <c r="H644" t="s">
        <v>1327</v>
      </c>
      <c r="I644" t="s">
        <v>1328</v>
      </c>
      <c r="J644" t="s">
        <v>3</v>
      </c>
      <c r="K644">
        <v>1</v>
      </c>
      <c r="L644" t="s">
        <v>662</v>
      </c>
    </row>
    <row r="645" spans="8:12" x14ac:dyDescent="0.25">
      <c r="H645" t="s">
        <v>1329</v>
      </c>
      <c r="I645" t="s">
        <v>1330</v>
      </c>
      <c r="J645" t="s">
        <v>3</v>
      </c>
      <c r="K645">
        <v>1</v>
      </c>
      <c r="L645" t="s">
        <v>662</v>
      </c>
    </row>
    <row r="646" spans="8:12" x14ac:dyDescent="0.25">
      <c r="H646" t="s">
        <v>1331</v>
      </c>
      <c r="I646" t="s">
        <v>1332</v>
      </c>
      <c r="J646" t="s">
        <v>3</v>
      </c>
      <c r="K646">
        <v>1</v>
      </c>
      <c r="L646" t="s">
        <v>662</v>
      </c>
    </row>
    <row r="647" spans="8:12" x14ac:dyDescent="0.25">
      <c r="H647" t="s">
        <v>1333</v>
      </c>
      <c r="I647" t="s">
        <v>1334</v>
      </c>
      <c r="J647" t="s">
        <v>3</v>
      </c>
      <c r="K647">
        <v>1</v>
      </c>
      <c r="L647" t="s">
        <v>662</v>
      </c>
    </row>
    <row r="648" spans="8:12" x14ac:dyDescent="0.25">
      <c r="H648" t="s">
        <v>1335</v>
      </c>
      <c r="I648" t="s">
        <v>1336</v>
      </c>
      <c r="J648" t="s">
        <v>3</v>
      </c>
      <c r="K648">
        <v>1</v>
      </c>
      <c r="L648" t="s">
        <v>662</v>
      </c>
    </row>
    <row r="649" spans="8:12" x14ac:dyDescent="0.25">
      <c r="H649" t="s">
        <v>1337</v>
      </c>
      <c r="I649" t="s">
        <v>1338</v>
      </c>
      <c r="J649" t="s">
        <v>3</v>
      </c>
      <c r="K649">
        <v>1</v>
      </c>
      <c r="L649" t="s">
        <v>662</v>
      </c>
    </row>
    <row r="650" spans="8:12" x14ac:dyDescent="0.25">
      <c r="H650" t="s">
        <v>1339</v>
      </c>
      <c r="I650" t="s">
        <v>1340</v>
      </c>
      <c r="J650" t="s">
        <v>3</v>
      </c>
      <c r="K650">
        <v>1</v>
      </c>
      <c r="L650" t="s">
        <v>662</v>
      </c>
    </row>
    <row r="651" spans="8:12" x14ac:dyDescent="0.25">
      <c r="H651" t="s">
        <v>1341</v>
      </c>
      <c r="I651" t="s">
        <v>1342</v>
      </c>
      <c r="J651" t="s">
        <v>3</v>
      </c>
      <c r="K651">
        <v>1</v>
      </c>
      <c r="L651" t="s">
        <v>662</v>
      </c>
    </row>
    <row r="652" spans="8:12" x14ac:dyDescent="0.25">
      <c r="H652" t="s">
        <v>1343</v>
      </c>
      <c r="I652" t="s">
        <v>1344</v>
      </c>
      <c r="J652" t="s">
        <v>3</v>
      </c>
      <c r="K652">
        <v>1</v>
      </c>
      <c r="L652" t="s">
        <v>662</v>
      </c>
    </row>
    <row r="653" spans="8:12" x14ac:dyDescent="0.25">
      <c r="H653" t="s">
        <v>1345</v>
      </c>
      <c r="I653" t="s">
        <v>1346</v>
      </c>
      <c r="J653" t="s">
        <v>3</v>
      </c>
      <c r="K653">
        <v>1</v>
      </c>
      <c r="L653" t="s">
        <v>662</v>
      </c>
    </row>
    <row r="654" spans="8:12" x14ac:dyDescent="0.25">
      <c r="H654" t="s">
        <v>1347</v>
      </c>
      <c r="I654" t="s">
        <v>1348</v>
      </c>
      <c r="J654" t="s">
        <v>3</v>
      </c>
      <c r="K654">
        <v>1</v>
      </c>
      <c r="L654" t="s">
        <v>662</v>
      </c>
    </row>
    <row r="655" spans="8:12" x14ac:dyDescent="0.25">
      <c r="H655" t="s">
        <v>1349</v>
      </c>
      <c r="I655" t="s">
        <v>1350</v>
      </c>
      <c r="J655" t="s">
        <v>3</v>
      </c>
      <c r="K655">
        <v>1</v>
      </c>
      <c r="L655" t="s">
        <v>662</v>
      </c>
    </row>
    <row r="656" spans="8:12" x14ac:dyDescent="0.25">
      <c r="H656" t="s">
        <v>1351</v>
      </c>
      <c r="I656" t="s">
        <v>1352</v>
      </c>
      <c r="J656" t="s">
        <v>3</v>
      </c>
      <c r="K656">
        <v>1</v>
      </c>
      <c r="L656" t="s">
        <v>662</v>
      </c>
    </row>
    <row r="657" spans="8:12" x14ac:dyDescent="0.25">
      <c r="H657" t="s">
        <v>1353</v>
      </c>
      <c r="I657" t="s">
        <v>1354</v>
      </c>
      <c r="J657" t="s">
        <v>3</v>
      </c>
      <c r="K657">
        <v>1</v>
      </c>
      <c r="L657" t="s">
        <v>662</v>
      </c>
    </row>
    <row r="658" spans="8:12" x14ac:dyDescent="0.25">
      <c r="H658" t="s">
        <v>1355</v>
      </c>
      <c r="I658" t="s">
        <v>1356</v>
      </c>
      <c r="J658" t="s">
        <v>3</v>
      </c>
      <c r="K658">
        <v>1</v>
      </c>
      <c r="L658" t="s">
        <v>662</v>
      </c>
    </row>
    <row r="659" spans="8:12" x14ac:dyDescent="0.25">
      <c r="H659" t="s">
        <v>1357</v>
      </c>
      <c r="I659" t="s">
        <v>1358</v>
      </c>
      <c r="J659" t="s">
        <v>3</v>
      </c>
      <c r="K659">
        <v>1</v>
      </c>
      <c r="L659" t="s">
        <v>662</v>
      </c>
    </row>
    <row r="660" spans="8:12" x14ac:dyDescent="0.25">
      <c r="H660" t="s">
        <v>1359</v>
      </c>
      <c r="I660" t="s">
        <v>1360</v>
      </c>
      <c r="J660" t="s">
        <v>3</v>
      </c>
      <c r="K660">
        <v>1</v>
      </c>
      <c r="L660" t="s">
        <v>662</v>
      </c>
    </row>
    <row r="661" spans="8:12" x14ac:dyDescent="0.25">
      <c r="H661" t="s">
        <v>1361</v>
      </c>
      <c r="I661" t="s">
        <v>1362</v>
      </c>
      <c r="J661" t="s">
        <v>3</v>
      </c>
      <c r="K661">
        <v>1</v>
      </c>
      <c r="L661" t="s">
        <v>662</v>
      </c>
    </row>
    <row r="662" spans="8:12" x14ac:dyDescent="0.25">
      <c r="H662" t="s">
        <v>1363</v>
      </c>
      <c r="I662" t="s">
        <v>1364</v>
      </c>
      <c r="J662" t="s">
        <v>3</v>
      </c>
      <c r="K662">
        <v>1</v>
      </c>
      <c r="L662" t="s">
        <v>662</v>
      </c>
    </row>
    <row r="663" spans="8:12" x14ac:dyDescent="0.25">
      <c r="H663" t="s">
        <v>1365</v>
      </c>
      <c r="I663" t="s">
        <v>1366</v>
      </c>
      <c r="J663" t="s">
        <v>3</v>
      </c>
      <c r="K663">
        <v>1</v>
      </c>
      <c r="L663" t="s">
        <v>662</v>
      </c>
    </row>
    <row r="664" spans="8:12" x14ac:dyDescent="0.25">
      <c r="H664" t="s">
        <v>1367</v>
      </c>
      <c r="I664" t="s">
        <v>1368</v>
      </c>
      <c r="J664" t="s">
        <v>3</v>
      </c>
      <c r="K664">
        <v>1</v>
      </c>
      <c r="L664" t="s">
        <v>662</v>
      </c>
    </row>
    <row r="665" spans="8:12" x14ac:dyDescent="0.25">
      <c r="H665" t="s">
        <v>1369</v>
      </c>
      <c r="I665" t="s">
        <v>1370</v>
      </c>
      <c r="J665" t="s">
        <v>3</v>
      </c>
      <c r="K665">
        <v>1</v>
      </c>
      <c r="L665" t="s">
        <v>662</v>
      </c>
    </row>
    <row r="666" spans="8:12" x14ac:dyDescent="0.25">
      <c r="H666" t="s">
        <v>1371</v>
      </c>
      <c r="I666" t="s">
        <v>1372</v>
      </c>
      <c r="J666" t="s">
        <v>3</v>
      </c>
      <c r="K666">
        <v>1</v>
      </c>
      <c r="L666" t="s">
        <v>662</v>
      </c>
    </row>
    <row r="667" spans="8:12" x14ac:dyDescent="0.25">
      <c r="H667" t="s">
        <v>1373</v>
      </c>
      <c r="I667" t="s">
        <v>1374</v>
      </c>
      <c r="J667" t="s">
        <v>3</v>
      </c>
      <c r="K667">
        <v>1</v>
      </c>
      <c r="L667" t="s">
        <v>662</v>
      </c>
    </row>
    <row r="668" spans="8:12" x14ac:dyDescent="0.25">
      <c r="H668" t="s">
        <v>1375</v>
      </c>
      <c r="I668" t="s">
        <v>1376</v>
      </c>
      <c r="J668" t="s">
        <v>3</v>
      </c>
      <c r="K668">
        <v>1</v>
      </c>
      <c r="L668" t="s">
        <v>662</v>
      </c>
    </row>
    <row r="669" spans="8:12" x14ac:dyDescent="0.25">
      <c r="H669" t="s">
        <v>1377</v>
      </c>
      <c r="I669" t="s">
        <v>1378</v>
      </c>
      <c r="J669" t="s">
        <v>3</v>
      </c>
      <c r="K669">
        <v>1</v>
      </c>
      <c r="L669" t="s">
        <v>662</v>
      </c>
    </row>
    <row r="670" spans="8:12" x14ac:dyDescent="0.25">
      <c r="H670" t="s">
        <v>1379</v>
      </c>
      <c r="I670" t="s">
        <v>1380</v>
      </c>
      <c r="J670" t="s">
        <v>3</v>
      </c>
      <c r="K670">
        <v>1</v>
      </c>
      <c r="L670" t="s">
        <v>662</v>
      </c>
    </row>
    <row r="671" spans="8:12" x14ac:dyDescent="0.25">
      <c r="H671" t="s">
        <v>1381</v>
      </c>
      <c r="I671" t="s">
        <v>1382</v>
      </c>
      <c r="J671" t="s">
        <v>3</v>
      </c>
      <c r="K671">
        <v>1</v>
      </c>
      <c r="L671" t="s">
        <v>662</v>
      </c>
    </row>
    <row r="672" spans="8:12" x14ac:dyDescent="0.25">
      <c r="H672" t="s">
        <v>1383</v>
      </c>
      <c r="I672" t="s">
        <v>1384</v>
      </c>
      <c r="J672" t="s">
        <v>3</v>
      </c>
      <c r="K672">
        <v>1</v>
      </c>
      <c r="L672" t="s">
        <v>662</v>
      </c>
    </row>
    <row r="673" spans="8:12" x14ac:dyDescent="0.25">
      <c r="H673" t="s">
        <v>1385</v>
      </c>
      <c r="I673" t="s">
        <v>1386</v>
      </c>
      <c r="J673" t="s">
        <v>3</v>
      </c>
      <c r="K673">
        <v>1</v>
      </c>
      <c r="L673" t="s">
        <v>662</v>
      </c>
    </row>
    <row r="674" spans="8:12" x14ac:dyDescent="0.25">
      <c r="H674" t="s">
        <v>1387</v>
      </c>
      <c r="I674" t="s">
        <v>1388</v>
      </c>
      <c r="J674" t="s">
        <v>3</v>
      </c>
      <c r="K674">
        <v>1</v>
      </c>
      <c r="L674" t="s">
        <v>662</v>
      </c>
    </row>
    <row r="675" spans="8:12" x14ac:dyDescent="0.25">
      <c r="H675" t="s">
        <v>1389</v>
      </c>
      <c r="I675" t="s">
        <v>1390</v>
      </c>
      <c r="J675" t="s">
        <v>3</v>
      </c>
      <c r="K675">
        <v>1</v>
      </c>
      <c r="L675" t="s">
        <v>662</v>
      </c>
    </row>
    <row r="676" spans="8:12" x14ac:dyDescent="0.25">
      <c r="H676" t="s">
        <v>1391</v>
      </c>
      <c r="I676" t="s">
        <v>1392</v>
      </c>
      <c r="J676" t="s">
        <v>3</v>
      </c>
      <c r="K676">
        <v>1</v>
      </c>
      <c r="L676" t="s">
        <v>662</v>
      </c>
    </row>
    <row r="677" spans="8:12" x14ac:dyDescent="0.25">
      <c r="H677" t="s">
        <v>1393</v>
      </c>
      <c r="I677" t="s">
        <v>1394</v>
      </c>
      <c r="J677" t="s">
        <v>3</v>
      </c>
      <c r="K677">
        <v>1</v>
      </c>
      <c r="L677" t="s">
        <v>662</v>
      </c>
    </row>
    <row r="678" spans="8:12" x14ac:dyDescent="0.25">
      <c r="H678" t="s">
        <v>1395</v>
      </c>
      <c r="I678" t="s">
        <v>1396</v>
      </c>
      <c r="J678" t="s">
        <v>3</v>
      </c>
      <c r="K678">
        <v>1</v>
      </c>
      <c r="L678" t="s">
        <v>662</v>
      </c>
    </row>
    <row r="679" spans="8:12" x14ac:dyDescent="0.25">
      <c r="H679" t="s">
        <v>1397</v>
      </c>
      <c r="I679" t="s">
        <v>1398</v>
      </c>
      <c r="J679" t="s">
        <v>3</v>
      </c>
      <c r="K679">
        <v>1</v>
      </c>
      <c r="L679" t="s">
        <v>662</v>
      </c>
    </row>
    <row r="680" spans="8:12" x14ac:dyDescent="0.25">
      <c r="H680" t="s">
        <v>1399</v>
      </c>
      <c r="I680" t="s">
        <v>1400</v>
      </c>
      <c r="J680" t="s">
        <v>3</v>
      </c>
      <c r="K680">
        <v>1</v>
      </c>
      <c r="L680" t="s">
        <v>662</v>
      </c>
    </row>
    <row r="681" spans="8:12" x14ac:dyDescent="0.25">
      <c r="H681" t="s">
        <v>1401</v>
      </c>
      <c r="I681" t="s">
        <v>1402</v>
      </c>
      <c r="J681" t="s">
        <v>3</v>
      </c>
      <c r="K681">
        <v>1</v>
      </c>
      <c r="L681" t="s">
        <v>662</v>
      </c>
    </row>
    <row r="682" spans="8:12" x14ac:dyDescent="0.25">
      <c r="H682" t="s">
        <v>1403</v>
      </c>
      <c r="I682" t="s">
        <v>1404</v>
      </c>
      <c r="J682" t="s">
        <v>3</v>
      </c>
      <c r="K682">
        <v>1</v>
      </c>
      <c r="L682" t="s">
        <v>662</v>
      </c>
    </row>
    <row r="683" spans="8:12" x14ac:dyDescent="0.25">
      <c r="H683" t="s">
        <v>1405</v>
      </c>
      <c r="I683" t="s">
        <v>1406</v>
      </c>
      <c r="J683" t="s">
        <v>3</v>
      </c>
      <c r="K683">
        <v>1</v>
      </c>
      <c r="L683" t="s">
        <v>662</v>
      </c>
    </row>
    <row r="684" spans="8:12" x14ac:dyDescent="0.25">
      <c r="H684" t="s">
        <v>1407</v>
      </c>
      <c r="I684" t="s">
        <v>1408</v>
      </c>
      <c r="J684" t="s">
        <v>3</v>
      </c>
      <c r="K684">
        <v>1</v>
      </c>
      <c r="L684" t="s">
        <v>662</v>
      </c>
    </row>
    <row r="685" spans="8:12" x14ac:dyDescent="0.25">
      <c r="H685" t="s">
        <v>1409</v>
      </c>
      <c r="I685" t="s">
        <v>1410</v>
      </c>
      <c r="J685" t="s">
        <v>3</v>
      </c>
      <c r="K685">
        <v>1</v>
      </c>
      <c r="L685" t="s">
        <v>662</v>
      </c>
    </row>
    <row r="686" spans="8:12" x14ac:dyDescent="0.25">
      <c r="H686" t="s">
        <v>1411</v>
      </c>
      <c r="I686" t="s">
        <v>1412</v>
      </c>
      <c r="J686" t="s">
        <v>3</v>
      </c>
      <c r="K686">
        <v>1</v>
      </c>
      <c r="L686" t="s">
        <v>662</v>
      </c>
    </row>
    <row r="687" spans="8:12" x14ac:dyDescent="0.25">
      <c r="H687" t="s">
        <v>1413</v>
      </c>
      <c r="I687" t="s">
        <v>1414</v>
      </c>
      <c r="J687" t="s">
        <v>3</v>
      </c>
      <c r="K687">
        <v>1</v>
      </c>
      <c r="L687" t="s">
        <v>662</v>
      </c>
    </row>
    <row r="688" spans="8:12" x14ac:dyDescent="0.25">
      <c r="H688" t="s">
        <v>1415</v>
      </c>
      <c r="I688" t="s">
        <v>1416</v>
      </c>
      <c r="J688" t="s">
        <v>3</v>
      </c>
      <c r="K688">
        <v>1</v>
      </c>
      <c r="L688" t="s">
        <v>662</v>
      </c>
    </row>
    <row r="689" spans="8:12" x14ac:dyDescent="0.25">
      <c r="H689" t="s">
        <v>1417</v>
      </c>
      <c r="I689" t="s">
        <v>1418</v>
      </c>
      <c r="J689" t="s">
        <v>3</v>
      </c>
      <c r="K689">
        <v>1</v>
      </c>
      <c r="L689" t="s">
        <v>662</v>
      </c>
    </row>
    <row r="690" spans="8:12" x14ac:dyDescent="0.25">
      <c r="H690" t="s">
        <v>1419</v>
      </c>
      <c r="I690" t="s">
        <v>1420</v>
      </c>
      <c r="J690" t="s">
        <v>3</v>
      </c>
      <c r="K690">
        <v>1</v>
      </c>
      <c r="L690" t="s">
        <v>662</v>
      </c>
    </row>
    <row r="691" spans="8:12" x14ac:dyDescent="0.25">
      <c r="H691" t="s">
        <v>1421</v>
      </c>
      <c r="I691" t="s">
        <v>1422</v>
      </c>
      <c r="J691" t="s">
        <v>3</v>
      </c>
      <c r="K691">
        <v>1</v>
      </c>
      <c r="L691" t="s">
        <v>662</v>
      </c>
    </row>
    <row r="692" spans="8:12" x14ac:dyDescent="0.25">
      <c r="H692" t="s">
        <v>1423</v>
      </c>
      <c r="I692" t="s">
        <v>1424</v>
      </c>
      <c r="J692" t="s">
        <v>3</v>
      </c>
      <c r="K692">
        <v>1</v>
      </c>
      <c r="L692" t="s">
        <v>662</v>
      </c>
    </row>
    <row r="693" spans="8:12" x14ac:dyDescent="0.25">
      <c r="H693" t="s">
        <v>1425</v>
      </c>
      <c r="I693" t="s">
        <v>1426</v>
      </c>
      <c r="J693" t="s">
        <v>3</v>
      </c>
      <c r="K693">
        <v>1</v>
      </c>
      <c r="L693" t="s">
        <v>662</v>
      </c>
    </row>
    <row r="694" spans="8:12" x14ac:dyDescent="0.25">
      <c r="H694" t="s">
        <v>1427</v>
      </c>
      <c r="I694" t="s">
        <v>1428</v>
      </c>
      <c r="J694" t="s">
        <v>3</v>
      </c>
      <c r="K694">
        <v>1</v>
      </c>
      <c r="L694" t="s">
        <v>662</v>
      </c>
    </row>
    <row r="695" spans="8:12" x14ac:dyDescent="0.25">
      <c r="H695" t="s">
        <v>1429</v>
      </c>
      <c r="I695" t="s">
        <v>1430</v>
      </c>
      <c r="J695" t="s">
        <v>3</v>
      </c>
      <c r="K695">
        <v>1</v>
      </c>
      <c r="L695" t="s">
        <v>662</v>
      </c>
    </row>
    <row r="696" spans="8:12" x14ac:dyDescent="0.25">
      <c r="H696" t="s">
        <v>1431</v>
      </c>
      <c r="I696" t="s">
        <v>1432</v>
      </c>
      <c r="J696" t="s">
        <v>3</v>
      </c>
      <c r="K696">
        <v>1</v>
      </c>
      <c r="L696" t="s">
        <v>662</v>
      </c>
    </row>
    <row r="697" spans="8:12" x14ac:dyDescent="0.25">
      <c r="H697" t="s">
        <v>1433</v>
      </c>
      <c r="I697" t="s">
        <v>1434</v>
      </c>
      <c r="J697" t="s">
        <v>3</v>
      </c>
      <c r="K697">
        <v>1</v>
      </c>
      <c r="L697" t="s">
        <v>662</v>
      </c>
    </row>
    <row r="698" spans="8:12" x14ac:dyDescent="0.25">
      <c r="H698" t="s">
        <v>1435</v>
      </c>
      <c r="I698" t="s">
        <v>1436</v>
      </c>
      <c r="J698" t="s">
        <v>3</v>
      </c>
      <c r="K698">
        <v>1</v>
      </c>
      <c r="L698" t="s">
        <v>662</v>
      </c>
    </row>
    <row r="699" spans="8:12" x14ac:dyDescent="0.25">
      <c r="H699" t="s">
        <v>1437</v>
      </c>
      <c r="I699" t="s">
        <v>1438</v>
      </c>
      <c r="J699" t="s">
        <v>3</v>
      </c>
      <c r="K699">
        <v>1</v>
      </c>
      <c r="L699" t="s">
        <v>662</v>
      </c>
    </row>
    <row r="700" spans="8:12" x14ac:dyDescent="0.25">
      <c r="H700" t="s">
        <v>1439</v>
      </c>
      <c r="I700" t="s">
        <v>1440</v>
      </c>
      <c r="J700" t="s">
        <v>3</v>
      </c>
      <c r="K700">
        <v>1</v>
      </c>
      <c r="L700" t="s">
        <v>662</v>
      </c>
    </row>
    <row r="701" spans="8:12" x14ac:dyDescent="0.25">
      <c r="H701" t="s">
        <v>1441</v>
      </c>
      <c r="I701" t="s">
        <v>1442</v>
      </c>
      <c r="J701" t="s">
        <v>3</v>
      </c>
      <c r="K701">
        <v>1</v>
      </c>
      <c r="L701" t="s">
        <v>662</v>
      </c>
    </row>
    <row r="702" spans="8:12" x14ac:dyDescent="0.25">
      <c r="H702" t="s">
        <v>1443</v>
      </c>
      <c r="I702" t="s">
        <v>1444</v>
      </c>
      <c r="J702" t="s">
        <v>3</v>
      </c>
      <c r="K702">
        <v>1</v>
      </c>
      <c r="L702" t="s">
        <v>662</v>
      </c>
    </row>
    <row r="703" spans="8:12" x14ac:dyDescent="0.25">
      <c r="H703" t="s">
        <v>1445</v>
      </c>
      <c r="I703" t="s">
        <v>1446</v>
      </c>
      <c r="J703" t="s">
        <v>3</v>
      </c>
      <c r="K703">
        <v>1</v>
      </c>
      <c r="L703" t="s">
        <v>662</v>
      </c>
    </row>
    <row r="704" spans="8:12" x14ac:dyDescent="0.25">
      <c r="H704" t="s">
        <v>1447</v>
      </c>
      <c r="I704" t="s">
        <v>1448</v>
      </c>
      <c r="J704" t="s">
        <v>3</v>
      </c>
      <c r="K704">
        <v>1</v>
      </c>
      <c r="L704" t="s">
        <v>662</v>
      </c>
    </row>
    <row r="705" spans="8:12" x14ac:dyDescent="0.25">
      <c r="H705" t="s">
        <v>1449</v>
      </c>
      <c r="I705" t="s">
        <v>1450</v>
      </c>
      <c r="J705" t="s">
        <v>3</v>
      </c>
      <c r="K705">
        <v>1</v>
      </c>
      <c r="L705" t="s">
        <v>662</v>
      </c>
    </row>
    <row r="706" spans="8:12" x14ac:dyDescent="0.25">
      <c r="H706" t="s">
        <v>1451</v>
      </c>
      <c r="I706" t="s">
        <v>1452</v>
      </c>
      <c r="J706" t="s">
        <v>3</v>
      </c>
      <c r="K706">
        <v>1</v>
      </c>
      <c r="L706" t="s">
        <v>662</v>
      </c>
    </row>
    <row r="707" spans="8:12" x14ac:dyDescent="0.25">
      <c r="H707" t="s">
        <v>1453</v>
      </c>
      <c r="I707" t="s">
        <v>1454</v>
      </c>
      <c r="J707" t="s">
        <v>3</v>
      </c>
      <c r="K707">
        <v>1</v>
      </c>
      <c r="L707" t="s">
        <v>662</v>
      </c>
    </row>
    <row r="708" spans="8:12" x14ac:dyDescent="0.25">
      <c r="H708" t="s">
        <v>1455</v>
      </c>
      <c r="I708" t="s">
        <v>1456</v>
      </c>
      <c r="J708" t="s">
        <v>3</v>
      </c>
      <c r="K708">
        <v>1</v>
      </c>
      <c r="L708" t="s">
        <v>662</v>
      </c>
    </row>
    <row r="709" spans="8:12" x14ac:dyDescent="0.25">
      <c r="H709" t="s">
        <v>1057</v>
      </c>
      <c r="I709" t="s">
        <v>1058</v>
      </c>
      <c r="J709" t="s">
        <v>3</v>
      </c>
      <c r="K709">
        <v>1</v>
      </c>
      <c r="L709" t="s">
        <v>662</v>
      </c>
    </row>
    <row r="710" spans="8:12" x14ac:dyDescent="0.25">
      <c r="H710" t="s">
        <v>1059</v>
      </c>
      <c r="I710" t="s">
        <v>1060</v>
      </c>
      <c r="J710" t="s">
        <v>3</v>
      </c>
      <c r="K710">
        <v>1</v>
      </c>
      <c r="L710" t="s">
        <v>662</v>
      </c>
    </row>
    <row r="711" spans="8:12" x14ac:dyDescent="0.25">
      <c r="H711" t="s">
        <v>1061</v>
      </c>
      <c r="I711" t="s">
        <v>1062</v>
      </c>
      <c r="J711" t="s">
        <v>3</v>
      </c>
      <c r="K711">
        <v>1</v>
      </c>
      <c r="L711" t="s">
        <v>662</v>
      </c>
    </row>
    <row r="712" spans="8:12" x14ac:dyDescent="0.25">
      <c r="H712" t="s">
        <v>1063</v>
      </c>
      <c r="I712" t="s">
        <v>1064</v>
      </c>
      <c r="J712" t="s">
        <v>3</v>
      </c>
      <c r="K712">
        <v>1</v>
      </c>
      <c r="L712" t="s">
        <v>662</v>
      </c>
    </row>
    <row r="713" spans="8:12" x14ac:dyDescent="0.25">
      <c r="H713" t="s">
        <v>1065</v>
      </c>
      <c r="I713" t="s">
        <v>1066</v>
      </c>
      <c r="J713" t="s">
        <v>3</v>
      </c>
      <c r="K713">
        <v>1</v>
      </c>
      <c r="L713" t="s">
        <v>662</v>
      </c>
    </row>
    <row r="714" spans="8:12" x14ac:dyDescent="0.25">
      <c r="H714" t="s">
        <v>1067</v>
      </c>
      <c r="I714" t="s">
        <v>1068</v>
      </c>
      <c r="J714" t="s">
        <v>3</v>
      </c>
      <c r="K714">
        <v>1</v>
      </c>
      <c r="L714" t="s">
        <v>662</v>
      </c>
    </row>
    <row r="715" spans="8:12" x14ac:dyDescent="0.25">
      <c r="H715" t="s">
        <v>1069</v>
      </c>
      <c r="I715" t="s">
        <v>1070</v>
      </c>
      <c r="J715" t="s">
        <v>3</v>
      </c>
      <c r="K715">
        <v>1</v>
      </c>
      <c r="L715" t="s">
        <v>662</v>
      </c>
    </row>
    <row r="716" spans="8:12" x14ac:dyDescent="0.25">
      <c r="H716" t="s">
        <v>1071</v>
      </c>
      <c r="I716" t="s">
        <v>1072</v>
      </c>
      <c r="J716" t="s">
        <v>3</v>
      </c>
      <c r="K716">
        <v>1</v>
      </c>
      <c r="L716" t="s">
        <v>662</v>
      </c>
    </row>
    <row r="717" spans="8:12" x14ac:dyDescent="0.25">
      <c r="H717" t="s">
        <v>1073</v>
      </c>
      <c r="I717" t="s">
        <v>1074</v>
      </c>
      <c r="J717" t="s">
        <v>3</v>
      </c>
      <c r="K717">
        <v>1</v>
      </c>
      <c r="L717" t="s">
        <v>662</v>
      </c>
    </row>
    <row r="718" spans="8:12" x14ac:dyDescent="0.25">
      <c r="H718" t="s">
        <v>1075</v>
      </c>
      <c r="I718" t="s">
        <v>1076</v>
      </c>
      <c r="J718" t="s">
        <v>3</v>
      </c>
      <c r="K718">
        <v>1</v>
      </c>
      <c r="L718" t="s">
        <v>662</v>
      </c>
    </row>
    <row r="719" spans="8:12" x14ac:dyDescent="0.25">
      <c r="H719" t="s">
        <v>1077</v>
      </c>
      <c r="I719" t="s">
        <v>1078</v>
      </c>
      <c r="J719" t="s">
        <v>3</v>
      </c>
      <c r="K719">
        <v>1</v>
      </c>
      <c r="L719" t="s">
        <v>662</v>
      </c>
    </row>
    <row r="720" spans="8:12" x14ac:dyDescent="0.25">
      <c r="H720" t="s">
        <v>1079</v>
      </c>
      <c r="I720" t="s">
        <v>1080</v>
      </c>
      <c r="J720" t="s">
        <v>3</v>
      </c>
      <c r="K720">
        <v>1</v>
      </c>
      <c r="L720" t="s">
        <v>662</v>
      </c>
    </row>
    <row r="721" spans="8:12" x14ac:dyDescent="0.25">
      <c r="H721" t="s">
        <v>1081</v>
      </c>
      <c r="I721" t="s">
        <v>1082</v>
      </c>
      <c r="J721" t="s">
        <v>3</v>
      </c>
      <c r="K721">
        <v>1</v>
      </c>
      <c r="L721" t="s">
        <v>662</v>
      </c>
    </row>
    <row r="722" spans="8:12" x14ac:dyDescent="0.25">
      <c r="H722" t="s">
        <v>1083</v>
      </c>
      <c r="I722" t="s">
        <v>1084</v>
      </c>
      <c r="J722" t="s">
        <v>3</v>
      </c>
      <c r="K722">
        <v>1</v>
      </c>
      <c r="L722" t="s">
        <v>662</v>
      </c>
    </row>
    <row r="723" spans="8:12" x14ac:dyDescent="0.25">
      <c r="H723" t="s">
        <v>1085</v>
      </c>
      <c r="I723" t="s">
        <v>1086</v>
      </c>
      <c r="J723" t="s">
        <v>3</v>
      </c>
      <c r="K723">
        <v>1</v>
      </c>
      <c r="L723" t="s">
        <v>662</v>
      </c>
    </row>
    <row r="724" spans="8:12" x14ac:dyDescent="0.25">
      <c r="H724" t="s">
        <v>1087</v>
      </c>
      <c r="I724" t="s">
        <v>1088</v>
      </c>
      <c r="J724" t="s">
        <v>3</v>
      </c>
      <c r="K724">
        <v>1</v>
      </c>
      <c r="L724" t="s">
        <v>662</v>
      </c>
    </row>
    <row r="725" spans="8:12" x14ac:dyDescent="0.25">
      <c r="H725" t="s">
        <v>1089</v>
      </c>
      <c r="I725" t="s">
        <v>1090</v>
      </c>
      <c r="J725" t="s">
        <v>3</v>
      </c>
      <c r="K725">
        <v>1</v>
      </c>
      <c r="L725" t="s">
        <v>662</v>
      </c>
    </row>
    <row r="726" spans="8:12" x14ac:dyDescent="0.25">
      <c r="H726" t="s">
        <v>1091</v>
      </c>
      <c r="I726" t="s">
        <v>1092</v>
      </c>
      <c r="J726" t="s">
        <v>3</v>
      </c>
      <c r="K726">
        <v>1</v>
      </c>
      <c r="L726" t="s">
        <v>662</v>
      </c>
    </row>
    <row r="727" spans="8:12" x14ac:dyDescent="0.25">
      <c r="H727" t="s">
        <v>1093</v>
      </c>
      <c r="I727" t="s">
        <v>1094</v>
      </c>
      <c r="J727" t="s">
        <v>3</v>
      </c>
      <c r="K727">
        <v>1</v>
      </c>
      <c r="L727" t="s">
        <v>662</v>
      </c>
    </row>
    <row r="728" spans="8:12" x14ac:dyDescent="0.25">
      <c r="H728" t="s">
        <v>1095</v>
      </c>
      <c r="I728" t="s">
        <v>1096</v>
      </c>
      <c r="J728" t="s">
        <v>3</v>
      </c>
      <c r="K728">
        <v>1</v>
      </c>
      <c r="L728" t="s">
        <v>662</v>
      </c>
    </row>
    <row r="729" spans="8:12" x14ac:dyDescent="0.25">
      <c r="H729" t="s">
        <v>1097</v>
      </c>
      <c r="I729" t="s">
        <v>1098</v>
      </c>
      <c r="J729" t="s">
        <v>3</v>
      </c>
      <c r="K729">
        <v>1</v>
      </c>
      <c r="L729" t="s">
        <v>662</v>
      </c>
    </row>
    <row r="730" spans="8:12" x14ac:dyDescent="0.25">
      <c r="H730" t="s">
        <v>1099</v>
      </c>
      <c r="I730" t="s">
        <v>1100</v>
      </c>
      <c r="J730" t="s">
        <v>3</v>
      </c>
      <c r="K730">
        <v>1</v>
      </c>
      <c r="L730" t="s">
        <v>662</v>
      </c>
    </row>
    <row r="731" spans="8:12" x14ac:dyDescent="0.25">
      <c r="H731" t="s">
        <v>1101</v>
      </c>
      <c r="I731" t="s">
        <v>1102</v>
      </c>
      <c r="J731" t="s">
        <v>3</v>
      </c>
      <c r="K731">
        <v>1</v>
      </c>
      <c r="L731" t="s">
        <v>662</v>
      </c>
    </row>
    <row r="732" spans="8:12" x14ac:dyDescent="0.25">
      <c r="H732" t="s">
        <v>1103</v>
      </c>
      <c r="I732" t="s">
        <v>1104</v>
      </c>
      <c r="J732" t="s">
        <v>3</v>
      </c>
      <c r="K732">
        <v>1</v>
      </c>
      <c r="L732" t="s">
        <v>662</v>
      </c>
    </row>
    <row r="733" spans="8:12" x14ac:dyDescent="0.25">
      <c r="H733" t="s">
        <v>1105</v>
      </c>
      <c r="I733" t="s">
        <v>1106</v>
      </c>
      <c r="J733" t="s">
        <v>3</v>
      </c>
      <c r="K733">
        <v>1</v>
      </c>
      <c r="L733" t="s">
        <v>662</v>
      </c>
    </row>
    <row r="734" spans="8:12" x14ac:dyDescent="0.25">
      <c r="H734" t="s">
        <v>1107</v>
      </c>
      <c r="I734" t="s">
        <v>1108</v>
      </c>
      <c r="J734" t="s">
        <v>3</v>
      </c>
      <c r="K734">
        <v>1</v>
      </c>
      <c r="L734" t="s">
        <v>662</v>
      </c>
    </row>
    <row r="735" spans="8:12" x14ac:dyDescent="0.25">
      <c r="H735" t="s">
        <v>1109</v>
      </c>
      <c r="I735" t="s">
        <v>1110</v>
      </c>
      <c r="J735" t="s">
        <v>3</v>
      </c>
      <c r="K735">
        <v>1</v>
      </c>
      <c r="L735" t="s">
        <v>662</v>
      </c>
    </row>
    <row r="736" spans="8:12" x14ac:dyDescent="0.25">
      <c r="H736" t="s">
        <v>1111</v>
      </c>
      <c r="I736" t="s">
        <v>1112</v>
      </c>
      <c r="J736" t="s">
        <v>3</v>
      </c>
      <c r="K736">
        <v>1</v>
      </c>
      <c r="L736" t="s">
        <v>662</v>
      </c>
    </row>
    <row r="737" spans="8:12" x14ac:dyDescent="0.25">
      <c r="H737" t="s">
        <v>1113</v>
      </c>
      <c r="I737" t="s">
        <v>1114</v>
      </c>
      <c r="J737" t="s">
        <v>3</v>
      </c>
      <c r="K737">
        <v>1</v>
      </c>
      <c r="L737" t="s">
        <v>662</v>
      </c>
    </row>
    <row r="738" spans="8:12" x14ac:dyDescent="0.25">
      <c r="H738" t="s">
        <v>1115</v>
      </c>
      <c r="I738" t="s">
        <v>1116</v>
      </c>
      <c r="J738" t="s">
        <v>3</v>
      </c>
      <c r="K738">
        <v>1</v>
      </c>
      <c r="L738" t="s">
        <v>662</v>
      </c>
    </row>
    <row r="739" spans="8:12" x14ac:dyDescent="0.25">
      <c r="H739" t="s">
        <v>1117</v>
      </c>
      <c r="I739" t="s">
        <v>1118</v>
      </c>
      <c r="J739" t="s">
        <v>3</v>
      </c>
      <c r="K739">
        <v>1</v>
      </c>
      <c r="L739" t="s">
        <v>662</v>
      </c>
    </row>
    <row r="740" spans="8:12" x14ac:dyDescent="0.25">
      <c r="H740" t="s">
        <v>1119</v>
      </c>
      <c r="I740" t="s">
        <v>1120</v>
      </c>
      <c r="J740" t="s">
        <v>3</v>
      </c>
      <c r="K740">
        <v>1</v>
      </c>
      <c r="L740" t="s">
        <v>662</v>
      </c>
    </row>
    <row r="741" spans="8:12" x14ac:dyDescent="0.25">
      <c r="H741" t="s">
        <v>1121</v>
      </c>
      <c r="I741" t="s">
        <v>1122</v>
      </c>
      <c r="J741" t="s">
        <v>3</v>
      </c>
      <c r="K741">
        <v>1</v>
      </c>
      <c r="L741" t="s">
        <v>662</v>
      </c>
    </row>
    <row r="742" spans="8:12" x14ac:dyDescent="0.25">
      <c r="H742" t="s">
        <v>1123</v>
      </c>
      <c r="I742" t="s">
        <v>1124</v>
      </c>
      <c r="J742" t="s">
        <v>3</v>
      </c>
      <c r="K742">
        <v>1</v>
      </c>
      <c r="L742" t="s">
        <v>662</v>
      </c>
    </row>
    <row r="743" spans="8:12" x14ac:dyDescent="0.25">
      <c r="H743" t="s">
        <v>1125</v>
      </c>
      <c r="I743" t="s">
        <v>1126</v>
      </c>
      <c r="J743" t="s">
        <v>3</v>
      </c>
      <c r="K743">
        <v>1</v>
      </c>
      <c r="L743" t="s">
        <v>662</v>
      </c>
    </row>
    <row r="744" spans="8:12" x14ac:dyDescent="0.25">
      <c r="H744" t="s">
        <v>1127</v>
      </c>
      <c r="I744" t="s">
        <v>1128</v>
      </c>
      <c r="J744" t="s">
        <v>3</v>
      </c>
      <c r="K744">
        <v>1</v>
      </c>
      <c r="L744" t="s">
        <v>662</v>
      </c>
    </row>
    <row r="745" spans="8:12" x14ac:dyDescent="0.25">
      <c r="H745" t="s">
        <v>1129</v>
      </c>
      <c r="I745" t="s">
        <v>1130</v>
      </c>
      <c r="J745" t="s">
        <v>3</v>
      </c>
      <c r="K745">
        <v>1</v>
      </c>
      <c r="L745" t="s">
        <v>662</v>
      </c>
    </row>
    <row r="746" spans="8:12" x14ac:dyDescent="0.25">
      <c r="H746" t="s">
        <v>1131</v>
      </c>
      <c r="I746" t="s">
        <v>1132</v>
      </c>
      <c r="J746" t="s">
        <v>3</v>
      </c>
      <c r="K746">
        <v>1</v>
      </c>
      <c r="L746" t="s">
        <v>662</v>
      </c>
    </row>
    <row r="747" spans="8:12" x14ac:dyDescent="0.25">
      <c r="H747" t="s">
        <v>1133</v>
      </c>
      <c r="I747" t="s">
        <v>1134</v>
      </c>
      <c r="J747" t="s">
        <v>3</v>
      </c>
      <c r="K747">
        <v>1</v>
      </c>
      <c r="L747" t="s">
        <v>662</v>
      </c>
    </row>
    <row r="748" spans="8:12" x14ac:dyDescent="0.25">
      <c r="H748" t="s">
        <v>1135</v>
      </c>
      <c r="I748" t="s">
        <v>1136</v>
      </c>
      <c r="J748" t="s">
        <v>3</v>
      </c>
      <c r="K748">
        <v>1</v>
      </c>
      <c r="L748" t="s">
        <v>662</v>
      </c>
    </row>
    <row r="749" spans="8:12" x14ac:dyDescent="0.25">
      <c r="H749" t="s">
        <v>1137</v>
      </c>
      <c r="I749" t="s">
        <v>1138</v>
      </c>
      <c r="J749" t="s">
        <v>3</v>
      </c>
      <c r="K749">
        <v>1</v>
      </c>
      <c r="L749" t="s">
        <v>662</v>
      </c>
    </row>
    <row r="750" spans="8:12" x14ac:dyDescent="0.25">
      <c r="H750" t="s">
        <v>1139</v>
      </c>
      <c r="I750" t="s">
        <v>1140</v>
      </c>
      <c r="J750" t="s">
        <v>3</v>
      </c>
      <c r="K750">
        <v>1</v>
      </c>
      <c r="L750" t="s">
        <v>662</v>
      </c>
    </row>
    <row r="751" spans="8:12" x14ac:dyDescent="0.25">
      <c r="H751" t="s">
        <v>1141</v>
      </c>
      <c r="I751" t="s">
        <v>1142</v>
      </c>
      <c r="J751" t="s">
        <v>3</v>
      </c>
      <c r="K751">
        <v>1</v>
      </c>
      <c r="L751" t="s">
        <v>662</v>
      </c>
    </row>
    <row r="752" spans="8:12" x14ac:dyDescent="0.25">
      <c r="H752" t="s">
        <v>1143</v>
      </c>
      <c r="I752" t="s">
        <v>1144</v>
      </c>
      <c r="J752" t="s">
        <v>3</v>
      </c>
      <c r="K752">
        <v>1</v>
      </c>
      <c r="L752" t="s">
        <v>662</v>
      </c>
    </row>
    <row r="753" spans="8:12" x14ac:dyDescent="0.25">
      <c r="H753" t="s">
        <v>1145</v>
      </c>
      <c r="I753" t="s">
        <v>1146</v>
      </c>
      <c r="J753" t="s">
        <v>3</v>
      </c>
      <c r="K753">
        <v>1</v>
      </c>
      <c r="L753" t="s">
        <v>662</v>
      </c>
    </row>
    <row r="754" spans="8:12" x14ac:dyDescent="0.25">
      <c r="H754" t="s">
        <v>1147</v>
      </c>
      <c r="I754" t="s">
        <v>1148</v>
      </c>
      <c r="J754" t="s">
        <v>3</v>
      </c>
      <c r="K754">
        <v>1</v>
      </c>
      <c r="L754" t="s">
        <v>662</v>
      </c>
    </row>
    <row r="755" spans="8:12" x14ac:dyDescent="0.25">
      <c r="H755" t="s">
        <v>1149</v>
      </c>
      <c r="I755" t="s">
        <v>1150</v>
      </c>
      <c r="J755" t="s">
        <v>3</v>
      </c>
      <c r="K755">
        <v>1</v>
      </c>
      <c r="L755" t="s">
        <v>662</v>
      </c>
    </row>
    <row r="756" spans="8:12" x14ac:dyDescent="0.25">
      <c r="H756" t="s">
        <v>1151</v>
      </c>
      <c r="I756" t="s">
        <v>1152</v>
      </c>
      <c r="J756" t="s">
        <v>3</v>
      </c>
      <c r="K756">
        <v>1</v>
      </c>
      <c r="L756" t="s">
        <v>662</v>
      </c>
    </row>
    <row r="757" spans="8:12" x14ac:dyDescent="0.25">
      <c r="H757" t="s">
        <v>1153</v>
      </c>
      <c r="I757" t="s">
        <v>1154</v>
      </c>
      <c r="J757" t="s">
        <v>3</v>
      </c>
      <c r="K757">
        <v>1</v>
      </c>
      <c r="L757" t="s">
        <v>662</v>
      </c>
    </row>
    <row r="758" spans="8:12" x14ac:dyDescent="0.25">
      <c r="H758" t="s">
        <v>1155</v>
      </c>
      <c r="I758" t="s">
        <v>1156</v>
      </c>
      <c r="J758" t="s">
        <v>3</v>
      </c>
      <c r="K758">
        <v>1</v>
      </c>
      <c r="L758" t="s">
        <v>662</v>
      </c>
    </row>
    <row r="759" spans="8:12" x14ac:dyDescent="0.25">
      <c r="H759" t="s">
        <v>1157</v>
      </c>
      <c r="I759" t="s">
        <v>1158</v>
      </c>
      <c r="J759" t="s">
        <v>3</v>
      </c>
      <c r="K759">
        <v>1</v>
      </c>
      <c r="L759" t="s">
        <v>662</v>
      </c>
    </row>
    <row r="760" spans="8:12" x14ac:dyDescent="0.25">
      <c r="H760" t="s">
        <v>1159</v>
      </c>
      <c r="I760" t="s">
        <v>1160</v>
      </c>
      <c r="J760" t="s">
        <v>3</v>
      </c>
      <c r="K760">
        <v>1</v>
      </c>
      <c r="L760" t="s">
        <v>662</v>
      </c>
    </row>
    <row r="761" spans="8:12" x14ac:dyDescent="0.25">
      <c r="H761" t="s">
        <v>1161</v>
      </c>
      <c r="I761" t="s">
        <v>1162</v>
      </c>
      <c r="J761" t="s">
        <v>3</v>
      </c>
      <c r="K761">
        <v>1</v>
      </c>
      <c r="L761" t="s">
        <v>662</v>
      </c>
    </row>
    <row r="762" spans="8:12" x14ac:dyDescent="0.25">
      <c r="H762" t="s">
        <v>1163</v>
      </c>
      <c r="I762" t="s">
        <v>1164</v>
      </c>
      <c r="J762" t="s">
        <v>3</v>
      </c>
      <c r="K762">
        <v>1</v>
      </c>
      <c r="L762" t="s">
        <v>662</v>
      </c>
    </row>
    <row r="763" spans="8:12" x14ac:dyDescent="0.25">
      <c r="H763" t="s">
        <v>1165</v>
      </c>
      <c r="I763" t="s">
        <v>1166</v>
      </c>
      <c r="J763" t="s">
        <v>3</v>
      </c>
      <c r="K763">
        <v>1</v>
      </c>
      <c r="L763" t="s">
        <v>662</v>
      </c>
    </row>
    <row r="764" spans="8:12" x14ac:dyDescent="0.25">
      <c r="H764" t="s">
        <v>1167</v>
      </c>
      <c r="I764" t="s">
        <v>1168</v>
      </c>
      <c r="J764" t="s">
        <v>3</v>
      </c>
      <c r="K764">
        <v>1</v>
      </c>
      <c r="L764" t="s">
        <v>662</v>
      </c>
    </row>
    <row r="765" spans="8:12" x14ac:dyDescent="0.25">
      <c r="H765" t="s">
        <v>1169</v>
      </c>
      <c r="I765" t="s">
        <v>1170</v>
      </c>
      <c r="J765" t="s">
        <v>3</v>
      </c>
      <c r="K765">
        <v>1</v>
      </c>
      <c r="L765" t="s">
        <v>662</v>
      </c>
    </row>
    <row r="766" spans="8:12" x14ac:dyDescent="0.25">
      <c r="H766" t="s">
        <v>1171</v>
      </c>
      <c r="I766" t="s">
        <v>1172</v>
      </c>
      <c r="J766" t="s">
        <v>3</v>
      </c>
      <c r="K766">
        <v>1</v>
      </c>
      <c r="L766" t="s">
        <v>662</v>
      </c>
    </row>
    <row r="767" spans="8:12" x14ac:dyDescent="0.25">
      <c r="H767" t="s">
        <v>1173</v>
      </c>
      <c r="I767" t="s">
        <v>1174</v>
      </c>
      <c r="J767" t="s">
        <v>3</v>
      </c>
      <c r="K767">
        <v>1</v>
      </c>
      <c r="L767" t="s">
        <v>662</v>
      </c>
    </row>
    <row r="768" spans="8:12" x14ac:dyDescent="0.25">
      <c r="H768" t="s">
        <v>1175</v>
      </c>
      <c r="I768" t="s">
        <v>1176</v>
      </c>
      <c r="J768" t="s">
        <v>3</v>
      </c>
      <c r="K768">
        <v>1</v>
      </c>
      <c r="L768" t="s">
        <v>662</v>
      </c>
    </row>
    <row r="769" spans="8:12" x14ac:dyDescent="0.25">
      <c r="H769" t="s">
        <v>1177</v>
      </c>
      <c r="I769" t="s">
        <v>1178</v>
      </c>
      <c r="J769" t="s">
        <v>3</v>
      </c>
      <c r="K769">
        <v>1</v>
      </c>
      <c r="L769" t="s">
        <v>662</v>
      </c>
    </row>
    <row r="770" spans="8:12" x14ac:dyDescent="0.25">
      <c r="H770" t="s">
        <v>1179</v>
      </c>
      <c r="I770" t="s">
        <v>1180</v>
      </c>
      <c r="J770" t="s">
        <v>3</v>
      </c>
      <c r="K770">
        <v>1</v>
      </c>
      <c r="L770" t="s">
        <v>662</v>
      </c>
    </row>
    <row r="771" spans="8:12" x14ac:dyDescent="0.25">
      <c r="H771" t="s">
        <v>1181</v>
      </c>
      <c r="I771" t="s">
        <v>1182</v>
      </c>
      <c r="J771" t="s">
        <v>3</v>
      </c>
      <c r="K771">
        <v>1</v>
      </c>
      <c r="L771" t="s">
        <v>662</v>
      </c>
    </row>
    <row r="772" spans="8:12" x14ac:dyDescent="0.25">
      <c r="H772" t="s">
        <v>1183</v>
      </c>
      <c r="I772" t="s">
        <v>1184</v>
      </c>
      <c r="J772" t="s">
        <v>3</v>
      </c>
      <c r="K772">
        <v>1</v>
      </c>
      <c r="L772" t="s">
        <v>662</v>
      </c>
    </row>
    <row r="773" spans="8:12" x14ac:dyDescent="0.25">
      <c r="H773" t="s">
        <v>1185</v>
      </c>
      <c r="I773" t="s">
        <v>1186</v>
      </c>
      <c r="J773" t="s">
        <v>3</v>
      </c>
      <c r="K773">
        <v>1</v>
      </c>
      <c r="L773" t="s">
        <v>662</v>
      </c>
    </row>
    <row r="774" spans="8:12" x14ac:dyDescent="0.25">
      <c r="H774" t="s">
        <v>1187</v>
      </c>
      <c r="I774" t="s">
        <v>1188</v>
      </c>
      <c r="J774" t="s">
        <v>3</v>
      </c>
      <c r="K774">
        <v>1</v>
      </c>
      <c r="L774" t="s">
        <v>662</v>
      </c>
    </row>
    <row r="775" spans="8:12" x14ac:dyDescent="0.25">
      <c r="H775" t="s">
        <v>1189</v>
      </c>
      <c r="I775" t="s">
        <v>1190</v>
      </c>
      <c r="J775" t="s">
        <v>3</v>
      </c>
      <c r="K775">
        <v>1</v>
      </c>
      <c r="L775" t="s">
        <v>662</v>
      </c>
    </row>
    <row r="776" spans="8:12" x14ac:dyDescent="0.25">
      <c r="H776" t="s">
        <v>1191</v>
      </c>
      <c r="I776" t="s">
        <v>1192</v>
      </c>
      <c r="J776" t="s">
        <v>3</v>
      </c>
      <c r="K776">
        <v>1</v>
      </c>
      <c r="L776" t="s">
        <v>662</v>
      </c>
    </row>
    <row r="777" spans="8:12" x14ac:dyDescent="0.25">
      <c r="H777" t="s">
        <v>1193</v>
      </c>
      <c r="I777" t="s">
        <v>1194</v>
      </c>
      <c r="J777" t="s">
        <v>3</v>
      </c>
      <c r="K777">
        <v>1</v>
      </c>
      <c r="L777" t="s">
        <v>662</v>
      </c>
    </row>
    <row r="778" spans="8:12" x14ac:dyDescent="0.25">
      <c r="H778" t="s">
        <v>1195</v>
      </c>
      <c r="I778" t="s">
        <v>1196</v>
      </c>
      <c r="J778" t="s">
        <v>3</v>
      </c>
      <c r="K778">
        <v>1</v>
      </c>
      <c r="L778" t="s">
        <v>662</v>
      </c>
    </row>
    <row r="779" spans="8:12" x14ac:dyDescent="0.25">
      <c r="H779" t="s">
        <v>1197</v>
      </c>
      <c r="I779" t="s">
        <v>1198</v>
      </c>
      <c r="J779" t="s">
        <v>3</v>
      </c>
      <c r="K779">
        <v>1</v>
      </c>
      <c r="L779" t="s">
        <v>662</v>
      </c>
    </row>
    <row r="780" spans="8:12" x14ac:dyDescent="0.25">
      <c r="H780" t="s">
        <v>1199</v>
      </c>
      <c r="I780" t="s">
        <v>1200</v>
      </c>
      <c r="J780" t="s">
        <v>3</v>
      </c>
      <c r="K780">
        <v>1</v>
      </c>
      <c r="L780" t="s">
        <v>662</v>
      </c>
    </row>
    <row r="781" spans="8:12" x14ac:dyDescent="0.25">
      <c r="H781" t="s">
        <v>1201</v>
      </c>
      <c r="I781" t="s">
        <v>1202</v>
      </c>
      <c r="J781" t="s">
        <v>3</v>
      </c>
      <c r="K781">
        <v>1</v>
      </c>
      <c r="L781" t="s">
        <v>662</v>
      </c>
    </row>
    <row r="782" spans="8:12" x14ac:dyDescent="0.25">
      <c r="H782" t="s">
        <v>1203</v>
      </c>
      <c r="I782" t="s">
        <v>1204</v>
      </c>
      <c r="J782" t="s">
        <v>3</v>
      </c>
      <c r="K782">
        <v>1</v>
      </c>
      <c r="L782" t="s">
        <v>662</v>
      </c>
    </row>
    <row r="783" spans="8:12" x14ac:dyDescent="0.25">
      <c r="H783" t="s">
        <v>1205</v>
      </c>
      <c r="I783" t="s">
        <v>1206</v>
      </c>
      <c r="J783" t="s">
        <v>3</v>
      </c>
      <c r="K783">
        <v>1</v>
      </c>
      <c r="L783" t="s">
        <v>662</v>
      </c>
    </row>
    <row r="784" spans="8:12" x14ac:dyDescent="0.25">
      <c r="H784" t="s">
        <v>1207</v>
      </c>
      <c r="I784" t="s">
        <v>1208</v>
      </c>
      <c r="J784" t="s">
        <v>3</v>
      </c>
      <c r="K784">
        <v>1</v>
      </c>
      <c r="L784" t="s">
        <v>662</v>
      </c>
    </row>
    <row r="785" spans="8:12" x14ac:dyDescent="0.25">
      <c r="H785" t="s">
        <v>1209</v>
      </c>
      <c r="I785" t="s">
        <v>1210</v>
      </c>
      <c r="J785" t="s">
        <v>3</v>
      </c>
      <c r="K785">
        <v>1</v>
      </c>
      <c r="L785" t="s">
        <v>662</v>
      </c>
    </row>
    <row r="786" spans="8:12" x14ac:dyDescent="0.25">
      <c r="H786" t="s">
        <v>1211</v>
      </c>
      <c r="I786" t="s">
        <v>1212</v>
      </c>
      <c r="J786" t="s">
        <v>3</v>
      </c>
      <c r="K786">
        <v>1</v>
      </c>
      <c r="L786" t="s">
        <v>662</v>
      </c>
    </row>
    <row r="787" spans="8:12" x14ac:dyDescent="0.25">
      <c r="H787" t="s">
        <v>1213</v>
      </c>
      <c r="I787" t="s">
        <v>1214</v>
      </c>
      <c r="J787" t="s">
        <v>3</v>
      </c>
      <c r="K787">
        <v>1</v>
      </c>
      <c r="L787" t="s">
        <v>662</v>
      </c>
    </row>
    <row r="788" spans="8:12" x14ac:dyDescent="0.25">
      <c r="H788" t="s">
        <v>1215</v>
      </c>
      <c r="I788" t="s">
        <v>1216</v>
      </c>
      <c r="J788" t="s">
        <v>3</v>
      </c>
      <c r="K788">
        <v>1</v>
      </c>
      <c r="L788" t="s">
        <v>662</v>
      </c>
    </row>
    <row r="789" spans="8:12" x14ac:dyDescent="0.25">
      <c r="H789" t="s">
        <v>1217</v>
      </c>
      <c r="I789" t="s">
        <v>1218</v>
      </c>
      <c r="J789" t="s">
        <v>3</v>
      </c>
      <c r="K789">
        <v>1</v>
      </c>
      <c r="L789" t="s">
        <v>662</v>
      </c>
    </row>
    <row r="790" spans="8:12" x14ac:dyDescent="0.25">
      <c r="H790" t="s">
        <v>1219</v>
      </c>
      <c r="I790" t="s">
        <v>1220</v>
      </c>
      <c r="J790" t="s">
        <v>3</v>
      </c>
      <c r="K790">
        <v>1</v>
      </c>
      <c r="L790" t="s">
        <v>662</v>
      </c>
    </row>
    <row r="791" spans="8:12" x14ac:dyDescent="0.25">
      <c r="H791" t="s">
        <v>1221</v>
      </c>
      <c r="I791" t="s">
        <v>1222</v>
      </c>
      <c r="J791" t="s">
        <v>3</v>
      </c>
      <c r="K791">
        <v>1</v>
      </c>
      <c r="L791" t="s">
        <v>662</v>
      </c>
    </row>
    <row r="792" spans="8:12" x14ac:dyDescent="0.25">
      <c r="H792" t="s">
        <v>1223</v>
      </c>
      <c r="I792" t="s">
        <v>1224</v>
      </c>
      <c r="J792" t="s">
        <v>3</v>
      </c>
      <c r="K792">
        <v>1</v>
      </c>
      <c r="L792" t="s">
        <v>662</v>
      </c>
    </row>
    <row r="793" spans="8:12" x14ac:dyDescent="0.25">
      <c r="H793" t="s">
        <v>1225</v>
      </c>
      <c r="I793" t="s">
        <v>1226</v>
      </c>
      <c r="J793" t="s">
        <v>3</v>
      </c>
      <c r="K793">
        <v>1</v>
      </c>
      <c r="L793" t="s">
        <v>662</v>
      </c>
    </row>
    <row r="794" spans="8:12" x14ac:dyDescent="0.25">
      <c r="H794" t="s">
        <v>1227</v>
      </c>
      <c r="I794" t="s">
        <v>1228</v>
      </c>
      <c r="J794" t="s">
        <v>3</v>
      </c>
      <c r="K794">
        <v>1</v>
      </c>
      <c r="L794" t="s">
        <v>662</v>
      </c>
    </row>
    <row r="795" spans="8:12" x14ac:dyDescent="0.25">
      <c r="H795" t="s">
        <v>1229</v>
      </c>
      <c r="I795" t="s">
        <v>1230</v>
      </c>
      <c r="J795" t="s">
        <v>3</v>
      </c>
      <c r="K795">
        <v>1</v>
      </c>
      <c r="L795" t="s">
        <v>662</v>
      </c>
    </row>
    <row r="796" spans="8:12" x14ac:dyDescent="0.25">
      <c r="H796" t="s">
        <v>1231</v>
      </c>
      <c r="I796" t="s">
        <v>1232</v>
      </c>
      <c r="J796" t="s">
        <v>3</v>
      </c>
      <c r="K796">
        <v>1</v>
      </c>
      <c r="L796" t="s">
        <v>662</v>
      </c>
    </row>
    <row r="797" spans="8:12" x14ac:dyDescent="0.25">
      <c r="H797" t="s">
        <v>1233</v>
      </c>
      <c r="I797" t="s">
        <v>1234</v>
      </c>
      <c r="J797" t="s">
        <v>3</v>
      </c>
      <c r="K797">
        <v>1</v>
      </c>
      <c r="L797" t="s">
        <v>662</v>
      </c>
    </row>
    <row r="798" spans="8:12" x14ac:dyDescent="0.25">
      <c r="H798" t="s">
        <v>1235</v>
      </c>
      <c r="I798" t="s">
        <v>1236</v>
      </c>
      <c r="J798" t="s">
        <v>3</v>
      </c>
      <c r="K798">
        <v>1</v>
      </c>
      <c r="L798" t="s">
        <v>662</v>
      </c>
    </row>
    <row r="799" spans="8:12" x14ac:dyDescent="0.25">
      <c r="H799" t="s">
        <v>1237</v>
      </c>
      <c r="I799" t="s">
        <v>1238</v>
      </c>
      <c r="J799" t="s">
        <v>3</v>
      </c>
      <c r="K799">
        <v>1</v>
      </c>
      <c r="L799" t="s">
        <v>662</v>
      </c>
    </row>
    <row r="800" spans="8:12" x14ac:dyDescent="0.25">
      <c r="H800" t="s">
        <v>1239</v>
      </c>
      <c r="I800" t="s">
        <v>1240</v>
      </c>
      <c r="J800" t="s">
        <v>3</v>
      </c>
      <c r="K800">
        <v>1</v>
      </c>
      <c r="L800" t="s">
        <v>662</v>
      </c>
    </row>
    <row r="801" spans="8:12" x14ac:dyDescent="0.25">
      <c r="H801" t="s">
        <v>1241</v>
      </c>
      <c r="I801" t="s">
        <v>1242</v>
      </c>
      <c r="J801" t="s">
        <v>3</v>
      </c>
      <c r="K801">
        <v>1</v>
      </c>
      <c r="L801" t="s">
        <v>662</v>
      </c>
    </row>
    <row r="802" spans="8:12" x14ac:dyDescent="0.25">
      <c r="H802" t="s">
        <v>1243</v>
      </c>
      <c r="I802" t="s">
        <v>1244</v>
      </c>
      <c r="J802" t="s">
        <v>3</v>
      </c>
      <c r="K802">
        <v>1</v>
      </c>
      <c r="L802" t="s">
        <v>662</v>
      </c>
    </row>
    <row r="803" spans="8:12" x14ac:dyDescent="0.25">
      <c r="H803" t="s">
        <v>1245</v>
      </c>
      <c r="I803" t="s">
        <v>1246</v>
      </c>
      <c r="J803" t="s">
        <v>3</v>
      </c>
      <c r="K803">
        <v>1</v>
      </c>
      <c r="L803" t="s">
        <v>662</v>
      </c>
    </row>
    <row r="804" spans="8:12" x14ac:dyDescent="0.25">
      <c r="H804" t="s">
        <v>1247</v>
      </c>
      <c r="I804" t="s">
        <v>1248</v>
      </c>
      <c r="J804" t="s">
        <v>3</v>
      </c>
      <c r="K804">
        <v>1</v>
      </c>
      <c r="L804" t="s">
        <v>662</v>
      </c>
    </row>
    <row r="805" spans="8:12" x14ac:dyDescent="0.25">
      <c r="H805" t="s">
        <v>1249</v>
      </c>
      <c r="I805" t="s">
        <v>1250</v>
      </c>
      <c r="J805" t="s">
        <v>3</v>
      </c>
      <c r="K805">
        <v>1</v>
      </c>
      <c r="L805" t="s">
        <v>662</v>
      </c>
    </row>
    <row r="806" spans="8:12" x14ac:dyDescent="0.25">
      <c r="H806" t="s">
        <v>1251</v>
      </c>
      <c r="I806" t="s">
        <v>1252</v>
      </c>
      <c r="J806" t="s">
        <v>3</v>
      </c>
      <c r="K806">
        <v>1</v>
      </c>
      <c r="L806" t="s">
        <v>662</v>
      </c>
    </row>
    <row r="807" spans="8:12" x14ac:dyDescent="0.25">
      <c r="H807" t="s">
        <v>1253</v>
      </c>
      <c r="I807" t="s">
        <v>1254</v>
      </c>
      <c r="J807" t="s">
        <v>3</v>
      </c>
      <c r="K807">
        <v>1</v>
      </c>
      <c r="L807" t="s">
        <v>662</v>
      </c>
    </row>
    <row r="808" spans="8:12" x14ac:dyDescent="0.25">
      <c r="H808" t="s">
        <v>1255</v>
      </c>
      <c r="I808" t="s">
        <v>1256</v>
      </c>
      <c r="J808" t="s">
        <v>3</v>
      </c>
      <c r="K808">
        <v>1</v>
      </c>
      <c r="L808" t="s">
        <v>662</v>
      </c>
    </row>
    <row r="809" spans="8:12" x14ac:dyDescent="0.25">
      <c r="H809" t="s">
        <v>1257</v>
      </c>
      <c r="I809" t="s">
        <v>1258</v>
      </c>
      <c r="J809" t="s">
        <v>3</v>
      </c>
      <c r="K809">
        <v>1</v>
      </c>
      <c r="L809" t="s">
        <v>662</v>
      </c>
    </row>
    <row r="810" spans="8:12" x14ac:dyDescent="0.25">
      <c r="H810" t="s">
        <v>1259</v>
      </c>
      <c r="I810" t="s">
        <v>1260</v>
      </c>
      <c r="J810" t="s">
        <v>3</v>
      </c>
      <c r="K810">
        <v>1</v>
      </c>
      <c r="L810" t="s">
        <v>662</v>
      </c>
    </row>
    <row r="811" spans="8:12" x14ac:dyDescent="0.25">
      <c r="H811" t="s">
        <v>1261</v>
      </c>
      <c r="I811" t="s">
        <v>1262</v>
      </c>
      <c r="J811" t="s">
        <v>3</v>
      </c>
      <c r="K811">
        <v>1</v>
      </c>
      <c r="L811" t="s">
        <v>662</v>
      </c>
    </row>
    <row r="812" spans="8:12" x14ac:dyDescent="0.25">
      <c r="H812" t="s">
        <v>1263</v>
      </c>
      <c r="I812" t="s">
        <v>1264</v>
      </c>
      <c r="J812" t="s">
        <v>3</v>
      </c>
      <c r="K812">
        <v>1</v>
      </c>
      <c r="L812" t="s">
        <v>662</v>
      </c>
    </row>
    <row r="813" spans="8:12" x14ac:dyDescent="0.25">
      <c r="H813" t="s">
        <v>1265</v>
      </c>
      <c r="I813" t="s">
        <v>1266</v>
      </c>
      <c r="J813" t="s">
        <v>3</v>
      </c>
      <c r="K813">
        <v>1</v>
      </c>
      <c r="L813" t="s">
        <v>662</v>
      </c>
    </row>
    <row r="814" spans="8:12" x14ac:dyDescent="0.25">
      <c r="H814" t="s">
        <v>1267</v>
      </c>
      <c r="I814" t="s">
        <v>1268</v>
      </c>
      <c r="J814" t="s">
        <v>3</v>
      </c>
      <c r="K814">
        <v>1</v>
      </c>
      <c r="L814" t="s">
        <v>662</v>
      </c>
    </row>
    <row r="815" spans="8:12" x14ac:dyDescent="0.25">
      <c r="H815" t="s">
        <v>1269</v>
      </c>
      <c r="I815" t="s">
        <v>1270</v>
      </c>
      <c r="J815" t="s">
        <v>3</v>
      </c>
      <c r="K815">
        <v>1</v>
      </c>
      <c r="L815" t="s">
        <v>662</v>
      </c>
    </row>
    <row r="816" spans="8:12" x14ac:dyDescent="0.25">
      <c r="H816" t="s">
        <v>1271</v>
      </c>
      <c r="I816" t="s">
        <v>1272</v>
      </c>
      <c r="J816" t="s">
        <v>3</v>
      </c>
      <c r="K816">
        <v>1</v>
      </c>
      <c r="L816" t="s">
        <v>662</v>
      </c>
    </row>
    <row r="817" spans="8:12" x14ac:dyDescent="0.25">
      <c r="H817" t="s">
        <v>1273</v>
      </c>
      <c r="I817" t="s">
        <v>1274</v>
      </c>
      <c r="J817" t="s">
        <v>3</v>
      </c>
      <c r="K817">
        <v>1</v>
      </c>
      <c r="L817" t="s">
        <v>662</v>
      </c>
    </row>
    <row r="818" spans="8:12" x14ac:dyDescent="0.25">
      <c r="H818" t="s">
        <v>1275</v>
      </c>
      <c r="I818" t="s">
        <v>1276</v>
      </c>
      <c r="J818" t="s">
        <v>3</v>
      </c>
      <c r="K818">
        <v>1</v>
      </c>
      <c r="L818" t="s">
        <v>662</v>
      </c>
    </row>
    <row r="819" spans="8:12" x14ac:dyDescent="0.25">
      <c r="H819" t="s">
        <v>1277</v>
      </c>
      <c r="I819" t="s">
        <v>1278</v>
      </c>
      <c r="J819" t="s">
        <v>3</v>
      </c>
      <c r="K819">
        <v>1</v>
      </c>
      <c r="L819" t="s">
        <v>662</v>
      </c>
    </row>
    <row r="820" spans="8:12" x14ac:dyDescent="0.25">
      <c r="H820" t="s">
        <v>1279</v>
      </c>
      <c r="I820" t="s">
        <v>1280</v>
      </c>
      <c r="J820" t="s">
        <v>3</v>
      </c>
      <c r="K820">
        <v>1</v>
      </c>
      <c r="L820" t="s">
        <v>662</v>
      </c>
    </row>
    <row r="821" spans="8:12" x14ac:dyDescent="0.25">
      <c r="H821" t="s">
        <v>1281</v>
      </c>
      <c r="I821" t="s">
        <v>1282</v>
      </c>
      <c r="J821" t="s">
        <v>3</v>
      </c>
      <c r="K821">
        <v>1</v>
      </c>
      <c r="L821" t="s">
        <v>662</v>
      </c>
    </row>
    <row r="822" spans="8:12" x14ac:dyDescent="0.25">
      <c r="H822" t="s">
        <v>1283</v>
      </c>
      <c r="I822" t="s">
        <v>1284</v>
      </c>
      <c r="J822" t="s">
        <v>3</v>
      </c>
      <c r="K822">
        <v>1</v>
      </c>
      <c r="L822" t="s">
        <v>662</v>
      </c>
    </row>
    <row r="823" spans="8:12" x14ac:dyDescent="0.25">
      <c r="H823" t="s">
        <v>1285</v>
      </c>
      <c r="I823" t="s">
        <v>1286</v>
      </c>
      <c r="J823" t="s">
        <v>3</v>
      </c>
      <c r="K823">
        <v>1</v>
      </c>
      <c r="L823" t="s">
        <v>662</v>
      </c>
    </row>
    <row r="824" spans="8:12" x14ac:dyDescent="0.25">
      <c r="H824" t="s">
        <v>1287</v>
      </c>
      <c r="I824" t="s">
        <v>1288</v>
      </c>
      <c r="J824" t="s">
        <v>3</v>
      </c>
      <c r="K824">
        <v>1</v>
      </c>
      <c r="L824" t="s">
        <v>662</v>
      </c>
    </row>
    <row r="825" spans="8:12" x14ac:dyDescent="0.25">
      <c r="H825" t="s">
        <v>1289</v>
      </c>
      <c r="I825" t="s">
        <v>1290</v>
      </c>
      <c r="J825" t="s">
        <v>3</v>
      </c>
      <c r="K825">
        <v>1</v>
      </c>
      <c r="L825" t="s">
        <v>662</v>
      </c>
    </row>
    <row r="826" spans="8:12" x14ac:dyDescent="0.25">
      <c r="H826" t="s">
        <v>1291</v>
      </c>
      <c r="I826" t="s">
        <v>1292</v>
      </c>
      <c r="J826" t="s">
        <v>3</v>
      </c>
      <c r="K826">
        <v>1</v>
      </c>
      <c r="L826" t="s">
        <v>662</v>
      </c>
    </row>
    <row r="827" spans="8:12" x14ac:dyDescent="0.25">
      <c r="H827" t="s">
        <v>1293</v>
      </c>
      <c r="I827" t="s">
        <v>1294</v>
      </c>
      <c r="J827" t="s">
        <v>3</v>
      </c>
      <c r="K827">
        <v>1</v>
      </c>
      <c r="L827" t="s">
        <v>662</v>
      </c>
    </row>
    <row r="828" spans="8:12" x14ac:dyDescent="0.25">
      <c r="H828" t="s">
        <v>1295</v>
      </c>
      <c r="I828" t="s">
        <v>1296</v>
      </c>
      <c r="J828" t="s">
        <v>3</v>
      </c>
      <c r="K828">
        <v>1</v>
      </c>
      <c r="L828" t="s">
        <v>662</v>
      </c>
    </row>
    <row r="829" spans="8:12" x14ac:dyDescent="0.25">
      <c r="H829" t="s">
        <v>1297</v>
      </c>
      <c r="I829" t="s">
        <v>1298</v>
      </c>
      <c r="J829" t="s">
        <v>3</v>
      </c>
      <c r="K829">
        <v>1</v>
      </c>
      <c r="L829" t="s">
        <v>662</v>
      </c>
    </row>
    <row r="830" spans="8:12" x14ac:dyDescent="0.25">
      <c r="H830" t="s">
        <v>1299</v>
      </c>
      <c r="I830" t="s">
        <v>1300</v>
      </c>
      <c r="J830" t="s">
        <v>3</v>
      </c>
      <c r="K830">
        <v>1</v>
      </c>
      <c r="L830" t="s">
        <v>662</v>
      </c>
    </row>
    <row r="831" spans="8:12" x14ac:dyDescent="0.25">
      <c r="H831" t="s">
        <v>1301</v>
      </c>
      <c r="I831" t="s">
        <v>1302</v>
      </c>
      <c r="J831" t="s">
        <v>3</v>
      </c>
      <c r="K831">
        <v>1</v>
      </c>
      <c r="L831" t="s">
        <v>662</v>
      </c>
    </row>
    <row r="832" spans="8:12" x14ac:dyDescent="0.25">
      <c r="H832" t="s">
        <v>1303</v>
      </c>
      <c r="I832" t="s">
        <v>1304</v>
      </c>
      <c r="J832" t="s">
        <v>3</v>
      </c>
      <c r="K832">
        <v>1</v>
      </c>
      <c r="L832" t="s">
        <v>662</v>
      </c>
    </row>
    <row r="833" spans="8:12" x14ac:dyDescent="0.25">
      <c r="H833" t="s">
        <v>1305</v>
      </c>
      <c r="I833" t="s">
        <v>1306</v>
      </c>
      <c r="J833" t="s">
        <v>3</v>
      </c>
      <c r="K833">
        <v>1</v>
      </c>
      <c r="L833" t="s">
        <v>662</v>
      </c>
    </row>
    <row r="834" spans="8:12" x14ac:dyDescent="0.25">
      <c r="H834" t="s">
        <v>1307</v>
      </c>
      <c r="I834" t="s">
        <v>1308</v>
      </c>
      <c r="J834" t="s">
        <v>3</v>
      </c>
      <c r="K834">
        <v>1</v>
      </c>
      <c r="L834" t="s">
        <v>662</v>
      </c>
    </row>
    <row r="835" spans="8:12" x14ac:dyDescent="0.25">
      <c r="H835" t="s">
        <v>1309</v>
      </c>
      <c r="I835" t="s">
        <v>1310</v>
      </c>
      <c r="J835" t="s">
        <v>3</v>
      </c>
      <c r="K835">
        <v>1</v>
      </c>
      <c r="L835" t="s">
        <v>662</v>
      </c>
    </row>
    <row r="836" spans="8:12" x14ac:dyDescent="0.25">
      <c r="H836" t="s">
        <v>1311</v>
      </c>
      <c r="I836" t="s">
        <v>1312</v>
      </c>
      <c r="J836" t="s">
        <v>3</v>
      </c>
      <c r="K836">
        <v>1</v>
      </c>
      <c r="L836" t="s">
        <v>662</v>
      </c>
    </row>
    <row r="837" spans="8:12" x14ac:dyDescent="0.25">
      <c r="H837" t="s">
        <v>1313</v>
      </c>
      <c r="I837" t="s">
        <v>1314</v>
      </c>
      <c r="J837" t="s">
        <v>3</v>
      </c>
      <c r="K837">
        <v>1</v>
      </c>
      <c r="L837" t="s">
        <v>662</v>
      </c>
    </row>
    <row r="838" spans="8:12" x14ac:dyDescent="0.25">
      <c r="H838" t="s">
        <v>1315</v>
      </c>
      <c r="I838" t="s">
        <v>1316</v>
      </c>
      <c r="J838" t="s">
        <v>3</v>
      </c>
      <c r="K838">
        <v>1</v>
      </c>
      <c r="L838" t="s">
        <v>662</v>
      </c>
    </row>
    <row r="839" spans="8:12" x14ac:dyDescent="0.25">
      <c r="H839" t="s">
        <v>1317</v>
      </c>
      <c r="I839" t="s">
        <v>1318</v>
      </c>
      <c r="J839" t="s">
        <v>3</v>
      </c>
      <c r="K839">
        <v>1</v>
      </c>
      <c r="L839" t="s">
        <v>662</v>
      </c>
    </row>
    <row r="840" spans="8:12" x14ac:dyDescent="0.25">
      <c r="H840" t="s">
        <v>1319</v>
      </c>
      <c r="I840" t="s">
        <v>1320</v>
      </c>
      <c r="J840" t="s">
        <v>3</v>
      </c>
      <c r="K840">
        <v>1</v>
      </c>
      <c r="L840" t="s">
        <v>662</v>
      </c>
    </row>
    <row r="841" spans="8:12" x14ac:dyDescent="0.25">
      <c r="H841" t="s">
        <v>1321</v>
      </c>
      <c r="I841" t="s">
        <v>1322</v>
      </c>
      <c r="J841" t="s">
        <v>3</v>
      </c>
      <c r="K841">
        <v>1</v>
      </c>
      <c r="L841" t="s">
        <v>662</v>
      </c>
    </row>
    <row r="842" spans="8:12" x14ac:dyDescent="0.25">
      <c r="H842" t="s">
        <v>1323</v>
      </c>
      <c r="I842" t="s">
        <v>1324</v>
      </c>
      <c r="J842" t="s">
        <v>3</v>
      </c>
      <c r="K842">
        <v>1</v>
      </c>
      <c r="L842" t="s">
        <v>662</v>
      </c>
    </row>
    <row r="843" spans="8:12" x14ac:dyDescent="0.25">
      <c r="H843" t="s">
        <v>1325</v>
      </c>
      <c r="I843" t="s">
        <v>1326</v>
      </c>
      <c r="J843" t="s">
        <v>3</v>
      </c>
      <c r="K843">
        <v>1</v>
      </c>
      <c r="L843" t="s">
        <v>662</v>
      </c>
    </row>
    <row r="844" spans="8:12" x14ac:dyDescent="0.25">
      <c r="H844" t="s">
        <v>1327</v>
      </c>
      <c r="I844" t="s">
        <v>1328</v>
      </c>
      <c r="J844" t="s">
        <v>3</v>
      </c>
      <c r="K844">
        <v>1</v>
      </c>
      <c r="L844" t="s">
        <v>662</v>
      </c>
    </row>
    <row r="845" spans="8:12" x14ac:dyDescent="0.25">
      <c r="H845" t="s">
        <v>1329</v>
      </c>
      <c r="I845" t="s">
        <v>1330</v>
      </c>
      <c r="J845" t="s">
        <v>3</v>
      </c>
      <c r="K845">
        <v>1</v>
      </c>
      <c r="L845" t="s">
        <v>662</v>
      </c>
    </row>
    <row r="846" spans="8:12" x14ac:dyDescent="0.25">
      <c r="H846" t="s">
        <v>1331</v>
      </c>
      <c r="I846" t="s">
        <v>1332</v>
      </c>
      <c r="J846" t="s">
        <v>3</v>
      </c>
      <c r="K846">
        <v>1</v>
      </c>
      <c r="L846" t="s">
        <v>662</v>
      </c>
    </row>
    <row r="847" spans="8:12" x14ac:dyDescent="0.25">
      <c r="H847" t="s">
        <v>1333</v>
      </c>
      <c r="I847" t="s">
        <v>1334</v>
      </c>
      <c r="J847" t="s">
        <v>3</v>
      </c>
      <c r="K847">
        <v>1</v>
      </c>
      <c r="L847" t="s">
        <v>662</v>
      </c>
    </row>
    <row r="848" spans="8:12" x14ac:dyDescent="0.25">
      <c r="H848" t="s">
        <v>1335</v>
      </c>
      <c r="I848" t="s">
        <v>1336</v>
      </c>
      <c r="J848" t="s">
        <v>3</v>
      </c>
      <c r="K848">
        <v>1</v>
      </c>
      <c r="L848" t="s">
        <v>662</v>
      </c>
    </row>
    <row r="849" spans="8:12" x14ac:dyDescent="0.25">
      <c r="H849" t="s">
        <v>1337</v>
      </c>
      <c r="I849" t="s">
        <v>1338</v>
      </c>
      <c r="J849" t="s">
        <v>3</v>
      </c>
      <c r="K849">
        <v>1</v>
      </c>
      <c r="L849" t="s">
        <v>662</v>
      </c>
    </row>
    <row r="850" spans="8:12" x14ac:dyDescent="0.25">
      <c r="H850" t="s">
        <v>1339</v>
      </c>
      <c r="I850" t="s">
        <v>1340</v>
      </c>
      <c r="J850" t="s">
        <v>3</v>
      </c>
      <c r="K850">
        <v>1</v>
      </c>
      <c r="L850" t="s">
        <v>662</v>
      </c>
    </row>
    <row r="851" spans="8:12" x14ac:dyDescent="0.25">
      <c r="H851" t="s">
        <v>1341</v>
      </c>
      <c r="I851" t="s">
        <v>1342</v>
      </c>
      <c r="J851" t="s">
        <v>3</v>
      </c>
      <c r="K851">
        <v>1</v>
      </c>
      <c r="L851" t="s">
        <v>662</v>
      </c>
    </row>
    <row r="852" spans="8:12" x14ac:dyDescent="0.25">
      <c r="H852" t="s">
        <v>1343</v>
      </c>
      <c r="I852" t="s">
        <v>1344</v>
      </c>
      <c r="J852" t="s">
        <v>3</v>
      </c>
      <c r="K852">
        <v>1</v>
      </c>
      <c r="L852" t="s">
        <v>662</v>
      </c>
    </row>
    <row r="853" spans="8:12" x14ac:dyDescent="0.25">
      <c r="H853" t="s">
        <v>1345</v>
      </c>
      <c r="I853" t="s">
        <v>1346</v>
      </c>
      <c r="J853" t="s">
        <v>3</v>
      </c>
      <c r="K853">
        <v>1</v>
      </c>
      <c r="L853" t="s">
        <v>662</v>
      </c>
    </row>
    <row r="854" spans="8:12" x14ac:dyDescent="0.25">
      <c r="H854" t="s">
        <v>1347</v>
      </c>
      <c r="I854" t="s">
        <v>1348</v>
      </c>
      <c r="J854" t="s">
        <v>3</v>
      </c>
      <c r="K854">
        <v>1</v>
      </c>
      <c r="L854" t="s">
        <v>662</v>
      </c>
    </row>
    <row r="855" spans="8:12" x14ac:dyDescent="0.25">
      <c r="H855" t="s">
        <v>1349</v>
      </c>
      <c r="I855" t="s">
        <v>1350</v>
      </c>
      <c r="J855" t="s">
        <v>3</v>
      </c>
      <c r="K855">
        <v>1</v>
      </c>
      <c r="L855" t="s">
        <v>662</v>
      </c>
    </row>
    <row r="856" spans="8:12" x14ac:dyDescent="0.25">
      <c r="H856" t="s">
        <v>1351</v>
      </c>
      <c r="I856" t="s">
        <v>1352</v>
      </c>
      <c r="J856" t="s">
        <v>3</v>
      </c>
      <c r="K856">
        <v>1</v>
      </c>
      <c r="L856" t="s">
        <v>662</v>
      </c>
    </row>
    <row r="857" spans="8:12" x14ac:dyDescent="0.25">
      <c r="H857" t="s">
        <v>1353</v>
      </c>
      <c r="I857" t="s">
        <v>1354</v>
      </c>
      <c r="J857" t="s">
        <v>3</v>
      </c>
      <c r="K857">
        <v>1</v>
      </c>
      <c r="L857" t="s">
        <v>662</v>
      </c>
    </row>
    <row r="858" spans="8:12" x14ac:dyDescent="0.25">
      <c r="H858" t="s">
        <v>1355</v>
      </c>
      <c r="I858" t="s">
        <v>1356</v>
      </c>
      <c r="J858" t="s">
        <v>3</v>
      </c>
      <c r="K858">
        <v>1</v>
      </c>
      <c r="L858" t="s">
        <v>662</v>
      </c>
    </row>
    <row r="859" spans="8:12" x14ac:dyDescent="0.25">
      <c r="H859" t="s">
        <v>1357</v>
      </c>
      <c r="I859" t="s">
        <v>1358</v>
      </c>
      <c r="J859" t="s">
        <v>3</v>
      </c>
      <c r="K859">
        <v>1</v>
      </c>
      <c r="L859" t="s">
        <v>662</v>
      </c>
    </row>
    <row r="860" spans="8:12" x14ac:dyDescent="0.25">
      <c r="H860" t="s">
        <v>1359</v>
      </c>
      <c r="I860" t="s">
        <v>1360</v>
      </c>
      <c r="J860" t="s">
        <v>3</v>
      </c>
      <c r="K860">
        <v>1</v>
      </c>
      <c r="L860" t="s">
        <v>662</v>
      </c>
    </row>
    <row r="861" spans="8:12" x14ac:dyDescent="0.25">
      <c r="H861" t="s">
        <v>1361</v>
      </c>
      <c r="I861" t="s">
        <v>1362</v>
      </c>
      <c r="J861" t="s">
        <v>3</v>
      </c>
      <c r="K861">
        <v>1</v>
      </c>
      <c r="L861" t="s">
        <v>662</v>
      </c>
    </row>
    <row r="862" spans="8:12" x14ac:dyDescent="0.25">
      <c r="H862" t="s">
        <v>1363</v>
      </c>
      <c r="I862" t="s">
        <v>1364</v>
      </c>
      <c r="J862" t="s">
        <v>3</v>
      </c>
      <c r="K862">
        <v>1</v>
      </c>
      <c r="L862" t="s">
        <v>662</v>
      </c>
    </row>
    <row r="863" spans="8:12" x14ac:dyDescent="0.25">
      <c r="H863" t="s">
        <v>1365</v>
      </c>
      <c r="I863" t="s">
        <v>1366</v>
      </c>
      <c r="J863" t="s">
        <v>3</v>
      </c>
      <c r="K863">
        <v>1</v>
      </c>
      <c r="L863" t="s">
        <v>662</v>
      </c>
    </row>
    <row r="864" spans="8:12" x14ac:dyDescent="0.25">
      <c r="H864" t="s">
        <v>1367</v>
      </c>
      <c r="I864" t="s">
        <v>1368</v>
      </c>
      <c r="J864" t="s">
        <v>3</v>
      </c>
      <c r="K864">
        <v>1</v>
      </c>
      <c r="L864" t="s">
        <v>662</v>
      </c>
    </row>
    <row r="865" spans="8:12" x14ac:dyDescent="0.25">
      <c r="H865" t="s">
        <v>1369</v>
      </c>
      <c r="I865" t="s">
        <v>1370</v>
      </c>
      <c r="J865" t="s">
        <v>3</v>
      </c>
      <c r="K865">
        <v>1</v>
      </c>
      <c r="L865" t="s">
        <v>662</v>
      </c>
    </row>
    <row r="866" spans="8:12" x14ac:dyDescent="0.25">
      <c r="H866" t="s">
        <v>1371</v>
      </c>
      <c r="I866" t="s">
        <v>1372</v>
      </c>
      <c r="J866" t="s">
        <v>3</v>
      </c>
      <c r="K866">
        <v>1</v>
      </c>
      <c r="L866" t="s">
        <v>662</v>
      </c>
    </row>
    <row r="867" spans="8:12" x14ac:dyDescent="0.25">
      <c r="H867" t="s">
        <v>1373</v>
      </c>
      <c r="I867" t="s">
        <v>1374</v>
      </c>
      <c r="J867" t="s">
        <v>3</v>
      </c>
      <c r="K867">
        <v>1</v>
      </c>
      <c r="L867" t="s">
        <v>662</v>
      </c>
    </row>
    <row r="868" spans="8:12" x14ac:dyDescent="0.25">
      <c r="H868" t="s">
        <v>1375</v>
      </c>
      <c r="I868" t="s">
        <v>1376</v>
      </c>
      <c r="J868" t="s">
        <v>3</v>
      </c>
      <c r="K868">
        <v>1</v>
      </c>
      <c r="L868" t="s">
        <v>662</v>
      </c>
    </row>
    <row r="869" spans="8:12" x14ac:dyDescent="0.25">
      <c r="H869" t="s">
        <v>1377</v>
      </c>
      <c r="I869" t="s">
        <v>1378</v>
      </c>
      <c r="J869" t="s">
        <v>3</v>
      </c>
      <c r="K869">
        <v>1</v>
      </c>
      <c r="L869" t="s">
        <v>662</v>
      </c>
    </row>
    <row r="870" spans="8:12" x14ac:dyDescent="0.25">
      <c r="H870" t="s">
        <v>1379</v>
      </c>
      <c r="I870" t="s">
        <v>1380</v>
      </c>
      <c r="J870" t="s">
        <v>3</v>
      </c>
      <c r="K870">
        <v>1</v>
      </c>
      <c r="L870" t="s">
        <v>662</v>
      </c>
    </row>
    <row r="871" spans="8:12" x14ac:dyDescent="0.25">
      <c r="H871" t="s">
        <v>1381</v>
      </c>
      <c r="I871" t="s">
        <v>1382</v>
      </c>
      <c r="J871" t="s">
        <v>3</v>
      </c>
      <c r="K871">
        <v>1</v>
      </c>
      <c r="L871" t="s">
        <v>662</v>
      </c>
    </row>
    <row r="872" spans="8:12" x14ac:dyDescent="0.25">
      <c r="H872" t="s">
        <v>1383</v>
      </c>
      <c r="I872" t="s">
        <v>1384</v>
      </c>
      <c r="J872" t="s">
        <v>3</v>
      </c>
      <c r="K872">
        <v>1</v>
      </c>
      <c r="L872" t="s">
        <v>662</v>
      </c>
    </row>
    <row r="873" spans="8:12" x14ac:dyDescent="0.25">
      <c r="H873" t="s">
        <v>1385</v>
      </c>
      <c r="I873" t="s">
        <v>1386</v>
      </c>
      <c r="J873" t="s">
        <v>3</v>
      </c>
      <c r="K873">
        <v>1</v>
      </c>
      <c r="L873" t="s">
        <v>662</v>
      </c>
    </row>
    <row r="874" spans="8:12" x14ac:dyDescent="0.25">
      <c r="H874" t="s">
        <v>1387</v>
      </c>
      <c r="I874" t="s">
        <v>1388</v>
      </c>
      <c r="J874" t="s">
        <v>3</v>
      </c>
      <c r="K874">
        <v>1</v>
      </c>
      <c r="L874" t="s">
        <v>662</v>
      </c>
    </row>
    <row r="875" spans="8:12" x14ac:dyDescent="0.25">
      <c r="H875" t="s">
        <v>1389</v>
      </c>
      <c r="I875" t="s">
        <v>1390</v>
      </c>
      <c r="J875" t="s">
        <v>3</v>
      </c>
      <c r="K875">
        <v>1</v>
      </c>
      <c r="L875" t="s">
        <v>662</v>
      </c>
    </row>
    <row r="876" spans="8:12" x14ac:dyDescent="0.25">
      <c r="H876" t="s">
        <v>1391</v>
      </c>
      <c r="I876" t="s">
        <v>1392</v>
      </c>
      <c r="J876" t="s">
        <v>3</v>
      </c>
      <c r="K876">
        <v>1</v>
      </c>
      <c r="L876" t="s">
        <v>662</v>
      </c>
    </row>
    <row r="877" spans="8:12" x14ac:dyDescent="0.25">
      <c r="H877" t="s">
        <v>1393</v>
      </c>
      <c r="I877" t="s">
        <v>1394</v>
      </c>
      <c r="J877" t="s">
        <v>3</v>
      </c>
      <c r="K877">
        <v>1</v>
      </c>
      <c r="L877" t="s">
        <v>662</v>
      </c>
    </row>
    <row r="878" spans="8:12" x14ac:dyDescent="0.25">
      <c r="H878" t="s">
        <v>1395</v>
      </c>
      <c r="I878" t="s">
        <v>1396</v>
      </c>
      <c r="J878" t="s">
        <v>3</v>
      </c>
      <c r="K878">
        <v>1</v>
      </c>
      <c r="L878" t="s">
        <v>662</v>
      </c>
    </row>
    <row r="879" spans="8:12" x14ac:dyDescent="0.25">
      <c r="H879" t="s">
        <v>1397</v>
      </c>
      <c r="I879" t="s">
        <v>1398</v>
      </c>
      <c r="J879" t="s">
        <v>3</v>
      </c>
      <c r="K879">
        <v>1</v>
      </c>
      <c r="L879" t="s">
        <v>662</v>
      </c>
    </row>
    <row r="880" spans="8:12" x14ac:dyDescent="0.25">
      <c r="H880" t="s">
        <v>1399</v>
      </c>
      <c r="I880" t="s">
        <v>1400</v>
      </c>
      <c r="J880" t="s">
        <v>3</v>
      </c>
      <c r="K880">
        <v>1</v>
      </c>
      <c r="L880" t="s">
        <v>662</v>
      </c>
    </row>
    <row r="881" spans="8:12" x14ac:dyDescent="0.25">
      <c r="H881" t="s">
        <v>1401</v>
      </c>
      <c r="I881" t="s">
        <v>1402</v>
      </c>
      <c r="J881" t="s">
        <v>3</v>
      </c>
      <c r="K881">
        <v>1</v>
      </c>
      <c r="L881" t="s">
        <v>662</v>
      </c>
    </row>
    <row r="882" spans="8:12" x14ac:dyDescent="0.25">
      <c r="H882" t="s">
        <v>1403</v>
      </c>
      <c r="I882" t="s">
        <v>1404</v>
      </c>
      <c r="J882" t="s">
        <v>3</v>
      </c>
      <c r="K882">
        <v>1</v>
      </c>
      <c r="L882" t="s">
        <v>662</v>
      </c>
    </row>
    <row r="883" spans="8:12" x14ac:dyDescent="0.25">
      <c r="H883" t="s">
        <v>1405</v>
      </c>
      <c r="I883" t="s">
        <v>1406</v>
      </c>
      <c r="J883" t="s">
        <v>3</v>
      </c>
      <c r="K883">
        <v>1</v>
      </c>
      <c r="L883" t="s">
        <v>662</v>
      </c>
    </row>
    <row r="884" spans="8:12" x14ac:dyDescent="0.25">
      <c r="H884" t="s">
        <v>1407</v>
      </c>
      <c r="I884" t="s">
        <v>1408</v>
      </c>
      <c r="J884" t="s">
        <v>3</v>
      </c>
      <c r="K884">
        <v>1</v>
      </c>
      <c r="L884" t="s">
        <v>662</v>
      </c>
    </row>
    <row r="885" spans="8:12" x14ac:dyDescent="0.25">
      <c r="H885" t="s">
        <v>1409</v>
      </c>
      <c r="I885" t="s">
        <v>1410</v>
      </c>
      <c r="J885" t="s">
        <v>3</v>
      </c>
      <c r="K885">
        <v>1</v>
      </c>
      <c r="L885" t="s">
        <v>662</v>
      </c>
    </row>
    <row r="886" spans="8:12" x14ac:dyDescent="0.25">
      <c r="H886" t="s">
        <v>1411</v>
      </c>
      <c r="I886" t="s">
        <v>1412</v>
      </c>
      <c r="J886" t="s">
        <v>3</v>
      </c>
      <c r="K886">
        <v>1</v>
      </c>
      <c r="L886" t="s">
        <v>662</v>
      </c>
    </row>
    <row r="887" spans="8:12" x14ac:dyDescent="0.25">
      <c r="H887" t="s">
        <v>1413</v>
      </c>
      <c r="I887" t="s">
        <v>1414</v>
      </c>
      <c r="J887" t="s">
        <v>3</v>
      </c>
      <c r="K887">
        <v>1</v>
      </c>
      <c r="L887" t="s">
        <v>662</v>
      </c>
    </row>
    <row r="888" spans="8:12" x14ac:dyDescent="0.25">
      <c r="H888" t="s">
        <v>1415</v>
      </c>
      <c r="I888" t="s">
        <v>1416</v>
      </c>
      <c r="J888" t="s">
        <v>3</v>
      </c>
      <c r="K888">
        <v>1</v>
      </c>
      <c r="L888" t="s">
        <v>662</v>
      </c>
    </row>
    <row r="889" spans="8:12" x14ac:dyDescent="0.25">
      <c r="H889" t="s">
        <v>1417</v>
      </c>
      <c r="I889" t="s">
        <v>1418</v>
      </c>
      <c r="J889" t="s">
        <v>3</v>
      </c>
      <c r="K889">
        <v>1</v>
      </c>
      <c r="L889" t="s">
        <v>662</v>
      </c>
    </row>
    <row r="890" spans="8:12" x14ac:dyDescent="0.25">
      <c r="H890" t="s">
        <v>1419</v>
      </c>
      <c r="I890" t="s">
        <v>1420</v>
      </c>
      <c r="J890" t="s">
        <v>3</v>
      </c>
      <c r="K890">
        <v>1</v>
      </c>
      <c r="L890" t="s">
        <v>662</v>
      </c>
    </row>
    <row r="891" spans="8:12" x14ac:dyDescent="0.25">
      <c r="H891" t="s">
        <v>1421</v>
      </c>
      <c r="I891" t="s">
        <v>1422</v>
      </c>
      <c r="J891" t="s">
        <v>3</v>
      </c>
      <c r="K891">
        <v>1</v>
      </c>
      <c r="L891" t="s">
        <v>662</v>
      </c>
    </row>
    <row r="892" spans="8:12" x14ac:dyDescent="0.25">
      <c r="H892" t="s">
        <v>1423</v>
      </c>
      <c r="I892" t="s">
        <v>1424</v>
      </c>
      <c r="J892" t="s">
        <v>3</v>
      </c>
      <c r="K892">
        <v>1</v>
      </c>
      <c r="L892" t="s">
        <v>662</v>
      </c>
    </row>
    <row r="893" spans="8:12" x14ac:dyDescent="0.25">
      <c r="H893" t="s">
        <v>1425</v>
      </c>
      <c r="I893" t="s">
        <v>1426</v>
      </c>
      <c r="J893" t="s">
        <v>3</v>
      </c>
      <c r="K893">
        <v>1</v>
      </c>
      <c r="L893" t="s">
        <v>662</v>
      </c>
    </row>
    <row r="894" spans="8:12" x14ac:dyDescent="0.25">
      <c r="H894" t="s">
        <v>1427</v>
      </c>
      <c r="I894" t="s">
        <v>1428</v>
      </c>
      <c r="J894" t="s">
        <v>3</v>
      </c>
      <c r="K894">
        <v>1</v>
      </c>
      <c r="L894" t="s">
        <v>662</v>
      </c>
    </row>
    <row r="895" spans="8:12" x14ac:dyDescent="0.25">
      <c r="H895" t="s">
        <v>1429</v>
      </c>
      <c r="I895" t="s">
        <v>1430</v>
      </c>
      <c r="J895" t="s">
        <v>3</v>
      </c>
      <c r="K895">
        <v>1</v>
      </c>
      <c r="L895" t="s">
        <v>662</v>
      </c>
    </row>
    <row r="896" spans="8:12" x14ac:dyDescent="0.25">
      <c r="H896" t="s">
        <v>1431</v>
      </c>
      <c r="I896" t="s">
        <v>1432</v>
      </c>
      <c r="J896" t="s">
        <v>3</v>
      </c>
      <c r="K896">
        <v>1</v>
      </c>
      <c r="L896" t="s">
        <v>662</v>
      </c>
    </row>
    <row r="897" spans="8:12" x14ac:dyDescent="0.25">
      <c r="H897" t="s">
        <v>1433</v>
      </c>
      <c r="I897" t="s">
        <v>1434</v>
      </c>
      <c r="J897" t="s">
        <v>3</v>
      </c>
      <c r="K897">
        <v>1</v>
      </c>
      <c r="L897" t="s">
        <v>662</v>
      </c>
    </row>
    <row r="898" spans="8:12" x14ac:dyDescent="0.25">
      <c r="H898" t="s">
        <v>1435</v>
      </c>
      <c r="I898" t="s">
        <v>1436</v>
      </c>
      <c r="J898" t="s">
        <v>3</v>
      </c>
      <c r="K898">
        <v>1</v>
      </c>
      <c r="L898" t="s">
        <v>662</v>
      </c>
    </row>
    <row r="899" spans="8:12" x14ac:dyDescent="0.25">
      <c r="H899" t="s">
        <v>1437</v>
      </c>
      <c r="I899" t="s">
        <v>1438</v>
      </c>
      <c r="J899" t="s">
        <v>3</v>
      </c>
      <c r="K899">
        <v>1</v>
      </c>
      <c r="L899" t="s">
        <v>662</v>
      </c>
    </row>
    <row r="900" spans="8:12" x14ac:dyDescent="0.25">
      <c r="H900" t="s">
        <v>1439</v>
      </c>
      <c r="I900" t="s">
        <v>1440</v>
      </c>
      <c r="J900" t="s">
        <v>3</v>
      </c>
      <c r="K900">
        <v>1</v>
      </c>
      <c r="L900" t="s">
        <v>662</v>
      </c>
    </row>
    <row r="901" spans="8:12" x14ac:dyDescent="0.25">
      <c r="H901" t="s">
        <v>1441</v>
      </c>
      <c r="I901" t="s">
        <v>1442</v>
      </c>
      <c r="J901" t="s">
        <v>3</v>
      </c>
      <c r="K901">
        <v>1</v>
      </c>
      <c r="L901" t="s">
        <v>662</v>
      </c>
    </row>
    <row r="902" spans="8:12" x14ac:dyDescent="0.25">
      <c r="H902" t="s">
        <v>1443</v>
      </c>
      <c r="I902" t="s">
        <v>1444</v>
      </c>
      <c r="J902" t="s">
        <v>3</v>
      </c>
      <c r="K902">
        <v>1</v>
      </c>
      <c r="L902" t="s">
        <v>662</v>
      </c>
    </row>
    <row r="903" spans="8:12" x14ac:dyDescent="0.25">
      <c r="H903" t="s">
        <v>1445</v>
      </c>
      <c r="I903" t="s">
        <v>1446</v>
      </c>
      <c r="J903" t="s">
        <v>3</v>
      </c>
      <c r="K903">
        <v>1</v>
      </c>
      <c r="L903" t="s">
        <v>662</v>
      </c>
    </row>
    <row r="904" spans="8:12" x14ac:dyDescent="0.25">
      <c r="H904" t="s">
        <v>1447</v>
      </c>
      <c r="I904" t="s">
        <v>1448</v>
      </c>
      <c r="J904" t="s">
        <v>3</v>
      </c>
      <c r="K904">
        <v>1</v>
      </c>
      <c r="L904" t="s">
        <v>662</v>
      </c>
    </row>
    <row r="905" spans="8:12" x14ac:dyDescent="0.25">
      <c r="H905" t="s">
        <v>1449</v>
      </c>
      <c r="I905" t="s">
        <v>1450</v>
      </c>
      <c r="J905" t="s">
        <v>3</v>
      </c>
      <c r="K905">
        <v>1</v>
      </c>
      <c r="L905" t="s">
        <v>662</v>
      </c>
    </row>
    <row r="906" spans="8:12" x14ac:dyDescent="0.25">
      <c r="H906" t="s">
        <v>1451</v>
      </c>
      <c r="I906" t="s">
        <v>1452</v>
      </c>
      <c r="J906" t="s">
        <v>3</v>
      </c>
      <c r="K906">
        <v>1</v>
      </c>
      <c r="L906" t="s">
        <v>662</v>
      </c>
    </row>
    <row r="907" spans="8:12" x14ac:dyDescent="0.25">
      <c r="H907" t="s">
        <v>1453</v>
      </c>
      <c r="I907" t="s">
        <v>1454</v>
      </c>
      <c r="J907" t="s">
        <v>3</v>
      </c>
      <c r="K907">
        <v>1</v>
      </c>
      <c r="L907" t="s">
        <v>662</v>
      </c>
    </row>
    <row r="908" spans="8:12" x14ac:dyDescent="0.25">
      <c r="H908" t="s">
        <v>1455</v>
      </c>
      <c r="I908" t="s">
        <v>1456</v>
      </c>
      <c r="J908" t="s">
        <v>3</v>
      </c>
      <c r="K908">
        <v>1</v>
      </c>
      <c r="L908" t="s">
        <v>662</v>
      </c>
    </row>
  </sheetData>
  <sheetProtection selectLockedCells="1" selectUnlockedCells="1"/>
  <mergeCells count="1">
    <mergeCell ref="C4:D4"/>
  </mergeCells>
  <pageMargins left="0.7" right="0.7" top="0.75" bottom="0.75" header="0.3" footer="0.3"/>
  <ignoredErrors>
    <ignoredError sqref="B3:B7" unlocked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D158D9-FC4C-489A-B801-A6CF62A20B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</vt:lpstr>
      <vt:lpstr>NEW_ACCOUNTS</vt:lpstr>
      <vt:lpstr>USER</vt:lpstr>
      <vt:lpstr>ACCOUNT_DISTRO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Duncan</dc:creator>
  <cp:lastModifiedBy>Duncan Ferguson</cp:lastModifiedBy>
  <dcterms:created xsi:type="dcterms:W3CDTF">2019-02-09T23:02:19Z</dcterms:created>
  <dcterms:modified xsi:type="dcterms:W3CDTF">2021-06-23T22:44:06Z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4be628f4-f44b-4654-b967-af4571577c55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